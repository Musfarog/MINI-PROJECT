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i Project\"/>
    </mc:Choice>
  </mc:AlternateContent>
  <bookViews>
    <workbookView xWindow="0" yWindow="0" windowWidth="28800" windowHeight="12180"/>
  </bookViews>
  <sheets>
    <sheet name="Marketing data cleaned" sheetId="1" r:id="rId1"/>
    <sheet name="Cleaning process" sheetId="2" r:id="rId2"/>
    <sheet name="Pivot chart" sheetId="4" r:id="rId3"/>
    <sheet name="Sheet1" sheetId="3" r:id="rId4"/>
  </sheets>
  <calcPr calcId="162913"/>
  <pivotCaches>
    <pivotCache cacheId="6" r:id="rId5"/>
  </pivotCaches>
</workbook>
</file>

<file path=xl/calcChain.xml><?xml version="1.0" encoding="utf-8"?>
<calcChain xmlns="http://schemas.openxmlformats.org/spreadsheetml/2006/main">
  <c r="AB2" i="1" l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</calcChain>
</file>

<file path=xl/sharedStrings.xml><?xml version="1.0" encoding="utf-8"?>
<sst xmlns="http://schemas.openxmlformats.org/spreadsheetml/2006/main" count="6785" uniqueCount="75">
  <si>
    <t>ID</t>
  </si>
  <si>
    <t>Education</t>
  </si>
  <si>
    <t>Marital_Status</t>
  </si>
  <si>
    <t xml:space="preserve"> Income </t>
  </si>
  <si>
    <t>Recency</t>
  </si>
  <si>
    <t>Country</t>
  </si>
  <si>
    <t>Graduation</t>
  </si>
  <si>
    <t>Divorced</t>
  </si>
  <si>
    <t>Spain</t>
  </si>
  <si>
    <t>Single</t>
  </si>
  <si>
    <t>Canada</t>
  </si>
  <si>
    <t>Married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</si>
  <si>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</si>
  <si>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</si>
  <si>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</si>
  <si>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</si>
  <si>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</si>
  <si>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</si>
  <si>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</si>
  <si>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</si>
  <si>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</si>
  <si>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</si>
  <si>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Mexico</t>
  </si>
  <si>
    <t>Data cleaning Steps</t>
  </si>
  <si>
    <t>1)Organising Data</t>
  </si>
  <si>
    <t>2)Checked if there any Duplictes are there</t>
  </si>
  <si>
    <t xml:space="preserve">3)changing  data type </t>
  </si>
  <si>
    <t>Total kids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</si>
  <si>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</si>
  <si>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</si>
  <si>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</si>
  <si>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</si>
  <si>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</si>
  <si>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</si>
  <si>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</si>
  <si>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</si>
  <si>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</si>
  <si>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</si>
  <si>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</si>
  <si>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</si>
  <si>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</si>
  <si>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income</t>
  </si>
  <si>
    <t>Date_Customer</t>
  </si>
  <si>
    <t>Birth_Year</t>
  </si>
  <si>
    <t>Fruits Spending</t>
  </si>
  <si>
    <t xml:space="preserve">Wine Spending </t>
  </si>
  <si>
    <t>Meat Spending</t>
  </si>
  <si>
    <t>Fish Spending</t>
  </si>
  <si>
    <t>Sweet Spending</t>
  </si>
  <si>
    <t>Gold Spending</t>
  </si>
  <si>
    <t>Deal_Purchases</t>
  </si>
  <si>
    <t>Web_Purchases</t>
  </si>
  <si>
    <t>Catalog_Purchases</t>
  </si>
  <si>
    <t>Store_Purchases</t>
  </si>
  <si>
    <t>Monthly_Web_Visits</t>
  </si>
  <si>
    <t>Accepted_Campaign_3</t>
  </si>
  <si>
    <t>Accepted_Campaign_4</t>
  </si>
  <si>
    <t>Accepted_Campaign_5</t>
  </si>
  <si>
    <t>Accepted_Campaign_1</t>
  </si>
  <si>
    <t>Accepted_Campaign_2</t>
  </si>
  <si>
    <t>Campaign_Response</t>
  </si>
  <si>
    <t>Complaint_Status</t>
  </si>
  <si>
    <t>5)fixed colom header for more acuracy</t>
  </si>
  <si>
    <t>Usa</t>
  </si>
  <si>
    <t>6)using find and replace changed maritial status colomn which had accidental entry</t>
  </si>
  <si>
    <t xml:space="preserve">4)null or blank  values in income column  been treared with mean </t>
  </si>
  <si>
    <t>7)used proper for country</t>
  </si>
  <si>
    <t>Row Labels</t>
  </si>
  <si>
    <t>Grand Total</t>
  </si>
  <si>
    <t>Total amount of purchase</t>
  </si>
  <si>
    <t>Sum of Total amount of purchase</t>
  </si>
  <si>
    <t>Total purchase</t>
  </si>
  <si>
    <t xml:space="preserve">Total Campaign Accepted </t>
  </si>
  <si>
    <t>9)extra column for total amount of purchase</t>
  </si>
  <si>
    <t>8)created  new column for total 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</si>
</sst>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_([$$-409]* #,##0.00_);_([$$-409]* \(#,##0.00\);_([$$-409]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2" fontId="0" fillId="0" borderId="0" xfId="0" applyNumberFormat="1"/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  <xf numFmtId="2" fontId="0" fillId="0" borderId="0" xfId="0" applyNumberForma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9" fillId="34" borderId="0" xfId="0" applyFont="1" applyFill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52.713782407409" createdVersion="6" refreshedVersion="6" minRefreshableVersion="3" recordCount="2240">
  <cacheSource type="worksheet">
    <worksheetSource name="Table1"/>
  </cacheSource>
  <cacheFields count="28">
    <cacheField name="Date_Customer" numFmtId="14">
      <sharedItems containsSemiMixedTypes="0" containsNonDate="0" containsDate="1" containsString="0" minDate="2012-07-30T00:00:00" maxDate="2014-06-30T00:00:00"/>
    </cacheField>
    <cacheField name="ID" numFmtId="12">
      <sharedItems containsSemiMixedTypes="0" containsString="0" containsNumber="1" containsInteger="1" minValue="0" maxValue="11191"/>
    </cacheField>
    <cacheField name="Birth_Year" numFmtId="12">
      <sharedItems containsSemiMixedTypes="0" containsString="0" containsNumber="1" containsInteger="1" minValue="1893" maxValue="1996"/>
    </cacheField>
    <cacheField name="Country" numFmtId="12">
      <sharedItems count="8">
        <s v="Spain"/>
        <s v="Canada"/>
        <s v="Usa"/>
        <s v="Australia"/>
        <s v="Germany"/>
        <s v="India"/>
        <s v="Saudi Arabia"/>
        <s v="Mexico"/>
      </sharedItems>
    </cacheField>
    <cacheField name="Education" numFmtId="49">
      <sharedItems/>
    </cacheField>
    <cacheField name="Marital_Status" numFmtId="49">
      <sharedItems/>
    </cacheField>
    <cacheField name=" Income " numFmtId="165">
      <sharedItems containsSemiMixedTypes="0" containsString="0" containsNumber="1" minValue="1730" maxValue="666666"/>
    </cacheField>
    <cacheField name="Total kids" numFmtId="2">
      <sharedItems containsSemiMixedTypes="0" containsString="0" containsNumber="1" containsInteger="1" minValue="0" maxValue="3"/>
    </cacheField>
    <cacheField name="Recency" numFmtId="2">
      <sharedItems containsSemiMixedTypes="0" containsString="0" containsNumber="1" containsInteger="1" minValue="0" maxValue="99"/>
    </cacheField>
    <cacheField name="Wine Spending " numFmtId="164">
      <sharedItems containsSemiMixedTypes="0" containsString="0" containsNumber="1" containsInteger="1" minValue="0" maxValue="1493"/>
    </cacheField>
    <cacheField name="Fruits Spending" numFmtId="164">
      <sharedItems containsSemiMixedTypes="0" containsString="0" containsNumber="1" containsInteger="1" minValue="0" maxValue="199"/>
    </cacheField>
    <cacheField name="Meat Spending" numFmtId="164">
      <sharedItems containsSemiMixedTypes="0" containsString="0" containsNumber="1" containsInteger="1" minValue="0" maxValue="1725"/>
    </cacheField>
    <cacheField name="Fish Spending" numFmtId="164">
      <sharedItems containsSemiMixedTypes="0" containsString="0" containsNumber="1" containsInteger="1" minValue="0" maxValue="259"/>
    </cacheField>
    <cacheField name="Sweet Spending" numFmtId="164">
      <sharedItems containsSemiMixedTypes="0" containsString="0" containsNumber="1" containsInteger="1" minValue="0" maxValue="263"/>
    </cacheField>
    <cacheField name="Gold Spending" numFmtId="164">
      <sharedItems containsSemiMixedTypes="0" containsString="0" containsNumber="1" containsInteger="1" minValue="0" maxValue="362"/>
    </cacheField>
    <cacheField name="Total amount of purchase" numFmtId="164">
      <sharedItems containsSemiMixedTypes="0" containsString="0" containsNumber="1" containsInteger="1" minValue="5" maxValue="2525"/>
    </cacheField>
    <cacheField name="Deal_Purchases" numFmtId="2">
      <sharedItems containsSemiMixedTypes="0" containsString="0" containsNumber="1" containsInteger="1" minValue="0" maxValue="15"/>
    </cacheField>
    <cacheField name="Web_Purchases" numFmtId="2">
      <sharedItems containsSemiMixedTypes="0" containsString="0" containsNumber="1" containsInteger="1" minValue="0" maxValue="27"/>
    </cacheField>
    <cacheField name="Catalog_Purchases" numFmtId="2">
      <sharedItems containsSemiMixedTypes="0" containsString="0" containsNumber="1" containsInteger="1" minValue="0" maxValue="28"/>
    </cacheField>
    <cacheField name="Store_Purchases" numFmtId="2">
      <sharedItems containsSemiMixedTypes="0" containsString="0" containsNumber="1" containsInteger="1" minValue="0" maxValue="13"/>
    </cacheField>
    <cacheField name="Monthly_Web_Visits" numFmtId="2">
      <sharedItems containsSemiMixedTypes="0" containsString="0" containsNumber="1" containsInteger="1" minValue="0" maxValue="20"/>
    </cacheField>
    <cacheField name="Accepted_Campaign_3" numFmtId="2">
      <sharedItems containsSemiMixedTypes="0" containsString="0" containsNumber="1" containsInteger="1" minValue="0" maxValue="1"/>
    </cacheField>
    <cacheField name="Accepted_Campaign_4" numFmtId="2">
      <sharedItems containsSemiMixedTypes="0" containsString="0" containsNumber="1" containsInteger="1" minValue="0" maxValue="1"/>
    </cacheField>
    <cacheField name="Accepted_Campaign_5" numFmtId="2">
      <sharedItems containsSemiMixedTypes="0" containsString="0" containsNumber="1" containsInteger="1" minValue="0" maxValue="1"/>
    </cacheField>
    <cacheField name="Accepted_Campaign_1" numFmtId="2">
      <sharedItems containsSemiMixedTypes="0" containsString="0" containsNumber="1" containsInteger="1" minValue="0" maxValue="1"/>
    </cacheField>
    <cacheField name="Accepted_Campaign_2" numFmtId="2">
      <sharedItems containsSemiMixedTypes="0" containsString="0" containsNumber="1" containsInteger="1" minValue="0" maxValue="1"/>
    </cacheField>
    <cacheField name="Campaign_Response" numFmtId="2">
      <sharedItems containsSemiMixedTypes="0" containsString="0" containsNumber="1" containsInteger="1" minValue="0" maxValue="1"/>
    </cacheField>
    <cacheField name="Complaint_Status" numFmtId="2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40">
  <r>
    <d v="2014-06-16T00:00:00"/>
    <n v="1826"/>
    <n v="1970"/>
    <x v="0"/>
    <s v="Graduation"/>
    <s v="Divorced"/>
    <n v="84835"/>
    <n v="0"/>
    <n v="0"/>
    <n v="189"/>
    <n v="104"/>
    <n v="379"/>
    <n v="111"/>
    <n v="189"/>
    <n v="218"/>
    <n v="1190"/>
    <n v="1"/>
    <n v="4"/>
    <n v="4"/>
    <n v="6"/>
    <n v="1"/>
    <n v="0"/>
    <n v="0"/>
    <n v="0"/>
    <n v="0"/>
    <n v="0"/>
    <n v="1"/>
    <n v="0"/>
  </r>
  <r>
    <d v="2014-06-15T00:00:00"/>
    <n v="1"/>
    <n v="1961"/>
    <x v="1"/>
    <s v="Graduation"/>
    <s v="Single"/>
    <n v="57091"/>
    <n v="0"/>
    <n v="0"/>
    <n v="464"/>
    <n v="5"/>
    <n v="64"/>
    <n v="7"/>
    <n v="0"/>
    <n v="37"/>
    <n v="577"/>
    <n v="1"/>
    <n v="7"/>
    <n v="3"/>
    <n v="7"/>
    <n v="5"/>
    <n v="0"/>
    <n v="0"/>
    <n v="0"/>
    <n v="0"/>
    <n v="1"/>
    <n v="1"/>
    <n v="0"/>
  </r>
  <r>
    <d v="2014-05-13T00:00:00"/>
    <n v="10476"/>
    <n v="1958"/>
    <x v="2"/>
    <s v="Graduation"/>
    <s v="Married"/>
    <n v="67267"/>
    <n v="1"/>
    <n v="0"/>
    <n v="134"/>
    <n v="11"/>
    <n v="59"/>
    <n v="15"/>
    <n v="2"/>
    <n v="30"/>
    <n v="251"/>
    <n v="1"/>
    <n v="3"/>
    <n v="2"/>
    <n v="5"/>
    <n v="2"/>
    <n v="0"/>
    <n v="0"/>
    <n v="0"/>
    <n v="0"/>
    <n v="0"/>
    <n v="0"/>
    <n v="0"/>
  </r>
  <r>
    <d v="2014-05-11T00:00:00"/>
    <n v="1386"/>
    <n v="1967"/>
    <x v="3"/>
    <s v="Graduation"/>
    <s v="Together"/>
    <n v="32474"/>
    <n v="2"/>
    <n v="0"/>
    <n v="10"/>
    <n v="0"/>
    <n v="1"/>
    <n v="0"/>
    <n v="0"/>
    <n v="0"/>
    <n v="11"/>
    <n v="1"/>
    <n v="1"/>
    <n v="0"/>
    <n v="2"/>
    <n v="7"/>
    <n v="0"/>
    <n v="0"/>
    <n v="0"/>
    <n v="0"/>
    <n v="0"/>
    <n v="0"/>
    <n v="0"/>
  </r>
  <r>
    <d v="2014-04-08T00:00:00"/>
    <n v="5371"/>
    <n v="1989"/>
    <x v="0"/>
    <s v="Graduation"/>
    <s v="Single"/>
    <n v="21474"/>
    <n v="1"/>
    <n v="0"/>
    <n v="6"/>
    <n v="16"/>
    <n v="24"/>
    <n v="11"/>
    <n v="0"/>
    <n v="34"/>
    <n v="91"/>
    <n v="2"/>
    <n v="3"/>
    <n v="1"/>
    <n v="2"/>
    <n v="7"/>
    <n v="1"/>
    <n v="0"/>
    <n v="0"/>
    <n v="0"/>
    <n v="0"/>
    <n v="1"/>
    <n v="0"/>
  </r>
  <r>
    <d v="2014-03-17T00:00:00"/>
    <n v="7348"/>
    <n v="1958"/>
    <x v="0"/>
    <s v="PhD"/>
    <s v="Single"/>
    <n v="71691"/>
    <n v="0"/>
    <n v="0"/>
    <n v="336"/>
    <n v="130"/>
    <n v="411"/>
    <n v="240"/>
    <n v="32"/>
    <n v="43"/>
    <n v="1192"/>
    <n v="1"/>
    <n v="4"/>
    <n v="7"/>
    <n v="5"/>
    <n v="2"/>
    <n v="0"/>
    <n v="0"/>
    <n v="0"/>
    <n v="0"/>
    <n v="0"/>
    <n v="1"/>
    <n v="0"/>
  </r>
  <r>
    <d v="2014-01-29T00:00:00"/>
    <n v="4073"/>
    <n v="1954"/>
    <x v="4"/>
    <s v="2n Cycle"/>
    <s v="Married"/>
    <n v="63564"/>
    <n v="0"/>
    <n v="0"/>
    <n v="769"/>
    <n v="80"/>
    <n v="252"/>
    <n v="15"/>
    <n v="34"/>
    <n v="65"/>
    <n v="1215"/>
    <n v="1"/>
    <n v="10"/>
    <n v="10"/>
    <n v="7"/>
    <n v="6"/>
    <n v="1"/>
    <n v="0"/>
    <n v="0"/>
    <n v="0"/>
    <n v="0"/>
    <n v="1"/>
    <n v="0"/>
  </r>
  <r>
    <d v="2014-01-18T00:00:00"/>
    <n v="1991"/>
    <n v="1967"/>
    <x v="0"/>
    <s v="Graduation"/>
    <s v="Together"/>
    <n v="44931"/>
    <n v="1"/>
    <n v="0"/>
    <n v="78"/>
    <n v="0"/>
    <n v="11"/>
    <n v="0"/>
    <n v="0"/>
    <n v="7"/>
    <n v="96"/>
    <n v="1"/>
    <n v="2"/>
    <n v="1"/>
    <n v="3"/>
    <n v="5"/>
    <n v="0"/>
    <n v="0"/>
    <n v="0"/>
    <n v="0"/>
    <n v="0"/>
    <n v="0"/>
    <n v="0"/>
  </r>
  <r>
    <d v="2014-01-11T00:00:00"/>
    <n v="4047"/>
    <n v="1954"/>
    <x v="2"/>
    <s v="PhD"/>
    <s v="Married"/>
    <n v="65324"/>
    <n v="1"/>
    <n v="0"/>
    <n v="384"/>
    <n v="0"/>
    <n v="102"/>
    <n v="21"/>
    <n v="32"/>
    <n v="5"/>
    <n v="544"/>
    <n v="3"/>
    <n v="6"/>
    <n v="2"/>
    <n v="9"/>
    <n v="4"/>
    <n v="0"/>
    <n v="0"/>
    <n v="0"/>
    <n v="0"/>
    <n v="0"/>
    <n v="0"/>
    <n v="0"/>
  </r>
  <r>
    <d v="2014-01-11T00:00:00"/>
    <n v="9477"/>
    <n v="1954"/>
    <x v="5"/>
    <s v="PhD"/>
    <s v="Married"/>
    <n v="65324"/>
    <n v="1"/>
    <n v="0"/>
    <n v="384"/>
    <n v="0"/>
    <n v="102"/>
    <n v="21"/>
    <n v="32"/>
    <n v="5"/>
    <n v="544"/>
    <n v="3"/>
    <n v="6"/>
    <n v="2"/>
    <n v="9"/>
    <n v="4"/>
    <n v="0"/>
    <n v="0"/>
    <n v="0"/>
    <n v="0"/>
    <n v="0"/>
    <n v="0"/>
    <n v="0"/>
  </r>
  <r>
    <d v="2013-12-27T00:00:00"/>
    <n v="2079"/>
    <n v="1947"/>
    <x v="2"/>
    <s v="2n Cycle"/>
    <s v="Married"/>
    <n v="81044"/>
    <n v="0"/>
    <n v="0"/>
    <n v="450"/>
    <n v="26"/>
    <n v="535"/>
    <n v="73"/>
    <n v="98"/>
    <n v="26"/>
    <n v="1208"/>
    <n v="1"/>
    <n v="5"/>
    <n v="6"/>
    <n v="10"/>
    <n v="1"/>
    <n v="0"/>
    <n v="0"/>
    <n v="0"/>
    <n v="0"/>
    <n v="0"/>
    <n v="0"/>
    <n v="0"/>
  </r>
  <r>
    <d v="2013-12-09T00:00:00"/>
    <n v="5642"/>
    <n v="1979"/>
    <x v="0"/>
    <s v="Master"/>
    <s v="Together"/>
    <n v="62499"/>
    <n v="1"/>
    <n v="0"/>
    <n v="140"/>
    <n v="4"/>
    <n v="61"/>
    <n v="0"/>
    <n v="13"/>
    <n v="4"/>
    <n v="222"/>
    <n v="2"/>
    <n v="3"/>
    <n v="1"/>
    <n v="6"/>
    <n v="4"/>
    <n v="0"/>
    <n v="0"/>
    <n v="0"/>
    <n v="0"/>
    <n v="0"/>
    <n v="0"/>
    <n v="0"/>
  </r>
  <r>
    <d v="2013-12-07T00:00:00"/>
    <n v="10530"/>
    <n v="1959"/>
    <x v="5"/>
    <s v="PhD"/>
    <s v="Widow"/>
    <n v="67786"/>
    <n v="0"/>
    <n v="0"/>
    <n v="431"/>
    <n v="82"/>
    <n v="441"/>
    <n v="80"/>
    <n v="20"/>
    <n v="102"/>
    <n v="1156"/>
    <n v="1"/>
    <n v="3"/>
    <n v="6"/>
    <n v="6"/>
    <n v="1"/>
    <n v="0"/>
    <n v="0"/>
    <n v="0"/>
    <n v="0"/>
    <n v="0"/>
    <n v="1"/>
    <n v="0"/>
  </r>
  <r>
    <d v="2013-10-16T00:00:00"/>
    <n v="2964"/>
    <n v="1981"/>
    <x v="1"/>
    <s v="Graduation"/>
    <s v="Married"/>
    <n v="26872"/>
    <n v="0"/>
    <n v="0"/>
    <n v="3"/>
    <n v="10"/>
    <n v="8"/>
    <n v="3"/>
    <n v="16"/>
    <n v="32"/>
    <n v="72"/>
    <n v="1"/>
    <n v="1"/>
    <n v="1"/>
    <n v="2"/>
    <n v="6"/>
    <n v="0"/>
    <n v="0"/>
    <n v="0"/>
    <n v="0"/>
    <n v="0"/>
    <n v="0"/>
    <n v="0"/>
  </r>
  <r>
    <d v="2013-10-05T00:00:00"/>
    <n v="10311"/>
    <n v="1969"/>
    <x v="0"/>
    <s v="Graduation"/>
    <s v="Married"/>
    <n v="4428"/>
    <n v="1"/>
    <n v="0"/>
    <n v="16"/>
    <n v="4"/>
    <n v="12"/>
    <n v="2"/>
    <n v="4"/>
    <n v="321"/>
    <n v="359"/>
    <n v="0"/>
    <n v="25"/>
    <n v="0"/>
    <n v="0"/>
    <n v="1"/>
    <n v="0"/>
    <n v="0"/>
    <n v="0"/>
    <n v="0"/>
    <n v="0"/>
    <n v="0"/>
    <n v="0"/>
  </r>
  <r>
    <d v="2013-09-11T00:00:00"/>
    <n v="837"/>
    <n v="1977"/>
    <x v="0"/>
    <s v="Graduation"/>
    <s v="Married"/>
    <n v="54809"/>
    <n v="2"/>
    <n v="0"/>
    <n v="63"/>
    <n v="6"/>
    <n v="57"/>
    <n v="13"/>
    <n v="13"/>
    <n v="22"/>
    <n v="174"/>
    <n v="4"/>
    <n v="2"/>
    <n v="1"/>
    <n v="5"/>
    <n v="4"/>
    <n v="0"/>
    <n v="0"/>
    <n v="0"/>
    <n v="0"/>
    <n v="0"/>
    <n v="0"/>
    <n v="0"/>
  </r>
  <r>
    <d v="2013-09-11T00:00:00"/>
    <n v="10521"/>
    <n v="1977"/>
    <x v="0"/>
    <s v="Graduation"/>
    <s v="Married"/>
    <n v="54809"/>
    <n v="2"/>
    <n v="0"/>
    <n v="63"/>
    <n v="6"/>
    <n v="57"/>
    <n v="13"/>
    <n v="13"/>
    <n v="22"/>
    <n v="174"/>
    <n v="4"/>
    <n v="2"/>
    <n v="1"/>
    <n v="5"/>
    <n v="4"/>
    <n v="0"/>
    <n v="0"/>
    <n v="0"/>
    <n v="0"/>
    <n v="0"/>
    <n v="1"/>
    <n v="0"/>
  </r>
  <r>
    <d v="2013-08-01T00:00:00"/>
    <n v="10175"/>
    <n v="1958"/>
    <x v="0"/>
    <s v="PhD"/>
    <s v="Divorced"/>
    <n v="32173"/>
    <n v="1"/>
    <n v="0"/>
    <n v="18"/>
    <n v="0"/>
    <n v="2"/>
    <n v="0"/>
    <n v="0"/>
    <n v="2"/>
    <n v="22"/>
    <n v="1"/>
    <n v="1"/>
    <n v="0"/>
    <n v="3"/>
    <n v="4"/>
    <n v="0"/>
    <n v="0"/>
    <n v="0"/>
    <n v="0"/>
    <n v="0"/>
    <n v="0"/>
    <n v="0"/>
  </r>
  <r>
    <d v="2013-07-23T00:00:00"/>
    <n v="1473"/>
    <n v="1960"/>
    <x v="1"/>
    <s v="2n Cycle"/>
    <s v="Single"/>
    <n v="47823"/>
    <n v="1"/>
    <n v="0"/>
    <n v="53"/>
    <n v="1"/>
    <n v="5"/>
    <n v="2"/>
    <n v="1"/>
    <n v="10"/>
    <n v="72"/>
    <n v="2"/>
    <n v="2"/>
    <n v="0"/>
    <n v="3"/>
    <n v="8"/>
    <n v="0"/>
    <n v="0"/>
    <n v="0"/>
    <n v="0"/>
    <n v="0"/>
    <n v="0"/>
    <n v="0"/>
  </r>
  <r>
    <d v="2013-07-01T00:00:00"/>
    <n v="2795"/>
    <n v="1958"/>
    <x v="1"/>
    <s v="Master"/>
    <s v="Single"/>
    <n v="30523"/>
    <n v="3"/>
    <n v="0"/>
    <n v="5"/>
    <n v="0"/>
    <n v="3"/>
    <n v="0"/>
    <n v="0"/>
    <n v="5"/>
    <n v="13"/>
    <n v="1"/>
    <n v="1"/>
    <n v="0"/>
    <n v="2"/>
    <n v="7"/>
    <n v="0"/>
    <n v="0"/>
    <n v="0"/>
    <n v="0"/>
    <n v="0"/>
    <n v="0"/>
    <n v="0"/>
  </r>
  <r>
    <d v="2013-05-28T00:00:00"/>
    <n v="2285"/>
    <n v="1954"/>
    <x v="6"/>
    <s v="Master"/>
    <s v="Together"/>
    <n v="36634"/>
    <n v="1"/>
    <n v="0"/>
    <n v="213"/>
    <n v="9"/>
    <n v="76"/>
    <n v="4"/>
    <n v="3"/>
    <n v="30"/>
    <n v="335"/>
    <n v="3"/>
    <n v="5"/>
    <n v="2"/>
    <n v="5"/>
    <n v="7"/>
    <n v="0"/>
    <n v="0"/>
    <n v="0"/>
    <n v="0"/>
    <n v="0"/>
    <n v="0"/>
    <n v="0"/>
  </r>
  <r>
    <d v="2013-03-26T00:00:00"/>
    <n v="115"/>
    <n v="1966"/>
    <x v="5"/>
    <s v="Master"/>
    <s v="Single"/>
    <n v="43456"/>
    <n v="1"/>
    <n v="0"/>
    <n v="275"/>
    <n v="11"/>
    <n v="68"/>
    <n v="25"/>
    <n v="7"/>
    <n v="7"/>
    <n v="393"/>
    <n v="3"/>
    <n v="5"/>
    <n v="1"/>
    <n v="8"/>
    <n v="5"/>
    <n v="0"/>
    <n v="0"/>
    <n v="0"/>
    <n v="0"/>
    <n v="0"/>
    <n v="0"/>
    <n v="0"/>
  </r>
  <r>
    <d v="2013-03-15T00:00:00"/>
    <n v="10470"/>
    <n v="1979"/>
    <x v="4"/>
    <s v="Master"/>
    <s v="Married"/>
    <n v="40662"/>
    <n v="1"/>
    <n v="0"/>
    <n v="40"/>
    <n v="2"/>
    <n v="23"/>
    <n v="0"/>
    <n v="4"/>
    <n v="23"/>
    <n v="92"/>
    <n v="2"/>
    <n v="2"/>
    <n v="1"/>
    <n v="3"/>
    <n v="4"/>
    <n v="0"/>
    <n v="0"/>
    <n v="0"/>
    <n v="0"/>
    <n v="0"/>
    <n v="0"/>
    <n v="0"/>
  </r>
  <r>
    <d v="2013-02-12T00:00:00"/>
    <n v="4065"/>
    <n v="1976"/>
    <x v="0"/>
    <s v="PhD"/>
    <s v="Married"/>
    <n v="49544"/>
    <n v="1"/>
    <n v="0"/>
    <n v="308"/>
    <n v="0"/>
    <n v="73"/>
    <n v="0"/>
    <n v="0"/>
    <n v="23"/>
    <n v="404"/>
    <n v="2"/>
    <n v="5"/>
    <n v="1"/>
    <n v="8"/>
    <n v="7"/>
    <n v="0"/>
    <n v="0"/>
    <n v="0"/>
    <n v="0"/>
    <n v="0"/>
    <n v="0"/>
    <n v="0"/>
  </r>
  <r>
    <d v="2012-11-23T00:00:00"/>
    <n v="10968"/>
    <n v="1969"/>
    <x v="5"/>
    <s v="Graduation"/>
    <s v="Single"/>
    <n v="57731"/>
    <n v="1"/>
    <n v="0"/>
    <n v="266"/>
    <n v="21"/>
    <n v="300"/>
    <n v="65"/>
    <n v="8"/>
    <n v="44"/>
    <n v="704"/>
    <n v="4"/>
    <n v="8"/>
    <n v="8"/>
    <n v="6"/>
    <n v="6"/>
    <n v="0"/>
    <n v="0"/>
    <n v="0"/>
    <n v="0"/>
    <n v="0"/>
    <n v="0"/>
    <n v="0"/>
  </r>
  <r>
    <d v="2012-10-13T00:00:00"/>
    <n v="5985"/>
    <n v="1965"/>
    <x v="0"/>
    <s v="Master"/>
    <s v="Single"/>
    <n v="33168"/>
    <n v="1"/>
    <n v="0"/>
    <n v="80"/>
    <n v="1"/>
    <n v="37"/>
    <n v="0"/>
    <n v="1"/>
    <n v="3"/>
    <n v="122"/>
    <n v="3"/>
    <n v="2"/>
    <n v="1"/>
    <n v="4"/>
    <n v="7"/>
    <n v="0"/>
    <n v="0"/>
    <n v="0"/>
    <n v="0"/>
    <n v="0"/>
    <n v="0"/>
    <n v="0"/>
  </r>
  <r>
    <d v="2012-09-14T00:00:00"/>
    <n v="5430"/>
    <n v="1956"/>
    <x v="0"/>
    <s v="Graduation"/>
    <s v="Together"/>
    <n v="54450"/>
    <n v="2"/>
    <n v="0"/>
    <n v="454"/>
    <n v="0"/>
    <n v="171"/>
    <n v="8"/>
    <n v="19"/>
    <n v="32"/>
    <n v="684"/>
    <n v="12"/>
    <n v="9"/>
    <n v="2"/>
    <n v="8"/>
    <n v="8"/>
    <n v="0"/>
    <n v="0"/>
    <n v="0"/>
    <n v="0"/>
    <n v="0"/>
    <n v="0"/>
    <n v="0"/>
  </r>
  <r>
    <d v="2012-09-14T00:00:00"/>
    <n v="8432"/>
    <n v="1956"/>
    <x v="0"/>
    <s v="Graduation"/>
    <s v="Together"/>
    <n v="54450"/>
    <n v="2"/>
    <n v="0"/>
    <n v="454"/>
    <n v="0"/>
    <n v="171"/>
    <n v="8"/>
    <n v="19"/>
    <n v="32"/>
    <n v="684"/>
    <n v="12"/>
    <n v="9"/>
    <n v="2"/>
    <n v="8"/>
    <n v="8"/>
    <n v="0"/>
    <n v="0"/>
    <n v="0"/>
    <n v="0"/>
    <n v="0"/>
    <n v="0"/>
    <n v="0"/>
  </r>
  <r>
    <d v="2014-06-29T00:00:00"/>
    <n v="453"/>
    <n v="1956"/>
    <x v="0"/>
    <s v="PhD"/>
    <s v="Widow"/>
    <n v="35340"/>
    <n v="2"/>
    <n v="1"/>
    <n v="27"/>
    <n v="0"/>
    <n v="12"/>
    <n v="0"/>
    <n v="1"/>
    <n v="5"/>
    <n v="45"/>
    <n v="2"/>
    <n v="2"/>
    <n v="0"/>
    <n v="3"/>
    <n v="5"/>
    <n v="0"/>
    <n v="0"/>
    <n v="0"/>
    <n v="0"/>
    <n v="0"/>
    <n v="0"/>
    <n v="0"/>
  </r>
  <r>
    <d v="2014-05-31T00:00:00"/>
    <n v="9687"/>
    <n v="1975"/>
    <x v="1"/>
    <s v="Graduation"/>
    <s v="Single"/>
    <n v="73170"/>
    <n v="0"/>
    <n v="1"/>
    <n v="184"/>
    <n v="174"/>
    <n v="256"/>
    <n v="50"/>
    <n v="30"/>
    <n v="32"/>
    <n v="726"/>
    <n v="1"/>
    <n v="5"/>
    <n v="4"/>
    <n v="6"/>
    <n v="2"/>
    <n v="0"/>
    <n v="0"/>
    <n v="0"/>
    <n v="0"/>
    <n v="0"/>
    <n v="0"/>
    <n v="0"/>
  </r>
  <r>
    <d v="2014-05-30T00:00:00"/>
    <n v="8890"/>
    <n v="1971"/>
    <x v="0"/>
    <s v="PhD"/>
    <s v="Divorced"/>
    <n v="65808"/>
    <n v="2"/>
    <n v="1"/>
    <n v="155"/>
    <n v="7"/>
    <n v="80"/>
    <n v="13"/>
    <n v="7"/>
    <n v="10"/>
    <n v="272"/>
    <n v="3"/>
    <n v="5"/>
    <n v="1"/>
    <n v="5"/>
    <n v="6"/>
    <n v="0"/>
    <n v="0"/>
    <n v="0"/>
    <n v="0"/>
    <n v="0"/>
    <n v="0"/>
    <n v="0"/>
  </r>
  <r>
    <d v="2014-04-27T00:00:00"/>
    <n v="9264"/>
    <n v="1986"/>
    <x v="1"/>
    <s v="Graduation"/>
    <s v="Married"/>
    <n v="79529"/>
    <n v="0"/>
    <n v="1"/>
    <n v="423"/>
    <n v="42"/>
    <n v="706"/>
    <n v="73"/>
    <n v="197"/>
    <n v="197"/>
    <n v="1638"/>
    <n v="1"/>
    <n v="4"/>
    <n v="8"/>
    <n v="9"/>
    <n v="2"/>
    <n v="0"/>
    <n v="0"/>
    <n v="0"/>
    <n v="0"/>
    <n v="0"/>
    <n v="0"/>
    <n v="0"/>
  </r>
  <r>
    <d v="2014-04-11T00:00:00"/>
    <n v="5824"/>
    <n v="1972"/>
    <x v="3"/>
    <s v="PhD"/>
    <s v="Together"/>
    <n v="34578"/>
    <n v="3"/>
    <n v="1"/>
    <n v="7"/>
    <n v="0"/>
    <n v="1"/>
    <n v="0"/>
    <n v="0"/>
    <n v="0"/>
    <n v="8"/>
    <n v="1"/>
    <n v="1"/>
    <n v="0"/>
    <n v="2"/>
    <n v="6"/>
    <n v="0"/>
    <n v="0"/>
    <n v="0"/>
    <n v="0"/>
    <n v="0"/>
    <n v="0"/>
    <n v="0"/>
  </r>
  <r>
    <d v="2014-03-17T00:00:00"/>
    <n v="5794"/>
    <n v="1974"/>
    <x v="5"/>
    <s v="PhD"/>
    <s v="Married"/>
    <n v="46374"/>
    <n v="1"/>
    <n v="1"/>
    <n v="408"/>
    <n v="0"/>
    <n v="21"/>
    <n v="0"/>
    <n v="0"/>
    <n v="17"/>
    <n v="446"/>
    <n v="3"/>
    <n v="7"/>
    <n v="1"/>
    <n v="7"/>
    <n v="8"/>
    <n v="0"/>
    <n v="1"/>
    <n v="0"/>
    <n v="1"/>
    <n v="0"/>
    <n v="1"/>
    <n v="0"/>
  </r>
  <r>
    <d v="2013-10-29T00:00:00"/>
    <n v="3068"/>
    <n v="1990"/>
    <x v="0"/>
    <s v="Graduation"/>
    <s v="Married"/>
    <n v="18351"/>
    <n v="0"/>
    <n v="1"/>
    <n v="1"/>
    <n v="12"/>
    <n v="9"/>
    <n v="0"/>
    <n v="14"/>
    <n v="7"/>
    <n v="43"/>
    <n v="1"/>
    <n v="2"/>
    <n v="0"/>
    <n v="3"/>
    <n v="7"/>
    <n v="0"/>
    <n v="0"/>
    <n v="0"/>
    <n v="0"/>
    <n v="0"/>
    <n v="0"/>
    <n v="0"/>
  </r>
  <r>
    <d v="2013-10-09T00:00:00"/>
    <n v="7962"/>
    <n v="1987"/>
    <x v="0"/>
    <s v="PhD"/>
    <s v="Single"/>
    <n v="95169"/>
    <n v="0"/>
    <n v="1"/>
    <n v="1285"/>
    <n v="21"/>
    <n v="449"/>
    <n v="106"/>
    <n v="20"/>
    <n v="20"/>
    <n v="1901"/>
    <n v="1"/>
    <n v="4"/>
    <n v="3"/>
    <n v="4"/>
    <n v="1"/>
    <n v="0"/>
    <n v="0"/>
    <n v="1"/>
    <n v="1"/>
    <n v="0"/>
    <n v="1"/>
    <n v="0"/>
  </r>
  <r>
    <d v="2013-08-01T00:00:00"/>
    <n v="2681"/>
    <n v="1984"/>
    <x v="0"/>
    <s v="2n Cycle"/>
    <s v="Married"/>
    <n v="65370"/>
    <n v="0"/>
    <n v="1"/>
    <n v="71"/>
    <n v="22"/>
    <n v="112"/>
    <n v="138"/>
    <n v="89"/>
    <n v="29"/>
    <n v="461"/>
    <n v="1"/>
    <n v="2"/>
    <n v="3"/>
    <n v="13"/>
    <n v="1"/>
    <n v="0"/>
    <n v="0"/>
    <n v="0"/>
    <n v="0"/>
    <n v="0"/>
    <n v="0"/>
    <n v="0"/>
  </r>
  <r>
    <d v="2013-05-10T00:00:00"/>
    <n v="10141"/>
    <n v="1960"/>
    <x v="6"/>
    <s v="Master"/>
    <s v="Divorced"/>
    <n v="39228"/>
    <n v="0"/>
    <n v="1"/>
    <n v="7"/>
    <n v="1"/>
    <n v="6"/>
    <n v="0"/>
    <n v="3"/>
    <n v="3"/>
    <n v="20"/>
    <n v="1"/>
    <n v="0"/>
    <n v="0"/>
    <n v="3"/>
    <n v="4"/>
    <n v="0"/>
    <n v="0"/>
    <n v="0"/>
    <n v="0"/>
    <n v="0"/>
    <n v="0"/>
    <n v="0"/>
  </r>
  <r>
    <d v="2013-05-09T00:00:00"/>
    <n v="3725"/>
    <n v="1961"/>
    <x v="0"/>
    <s v="PhD"/>
    <s v="Single"/>
    <n v="84865"/>
    <n v="0"/>
    <n v="1"/>
    <n v="1248"/>
    <n v="16"/>
    <n v="349"/>
    <n v="43"/>
    <n v="16"/>
    <n v="16"/>
    <n v="1688"/>
    <n v="1"/>
    <n v="2"/>
    <n v="4"/>
    <n v="9"/>
    <n v="4"/>
    <n v="0"/>
    <n v="1"/>
    <n v="1"/>
    <n v="1"/>
    <n v="1"/>
    <n v="1"/>
    <n v="0"/>
  </r>
  <r>
    <d v="2013-04-25T00:00:00"/>
    <n v="3767"/>
    <n v="1968"/>
    <x v="0"/>
    <s v="Graduation"/>
    <s v="Married"/>
    <n v="61314"/>
    <n v="1"/>
    <n v="1"/>
    <n v="378"/>
    <n v="0"/>
    <n v="189"/>
    <n v="97"/>
    <n v="172"/>
    <n v="172"/>
    <n v="1008"/>
    <n v="2"/>
    <n v="5"/>
    <n v="5"/>
    <n v="12"/>
    <n v="3"/>
    <n v="0"/>
    <n v="0"/>
    <n v="0"/>
    <n v="0"/>
    <n v="0"/>
    <n v="0"/>
    <n v="0"/>
  </r>
  <r>
    <d v="2013-04-20T00:00:00"/>
    <n v="5585"/>
    <n v="1972"/>
    <x v="1"/>
    <s v="Graduation"/>
    <s v="Single"/>
    <n v="21359"/>
    <n v="1"/>
    <n v="1"/>
    <n v="12"/>
    <n v="2"/>
    <n v="17"/>
    <n v="6"/>
    <n v="1"/>
    <n v="10"/>
    <n v="48"/>
    <n v="2"/>
    <n v="2"/>
    <n v="0"/>
    <n v="3"/>
    <n v="8"/>
    <n v="0"/>
    <n v="0"/>
    <n v="0"/>
    <n v="0"/>
    <n v="0"/>
    <n v="1"/>
    <n v="0"/>
  </r>
  <r>
    <d v="2013-03-30T00:00:00"/>
    <n v="7030"/>
    <n v="1955"/>
    <x v="0"/>
    <s v="PhD"/>
    <s v="Married"/>
    <n v="66465"/>
    <n v="1"/>
    <n v="1"/>
    <n v="1200"/>
    <n v="0"/>
    <n v="204"/>
    <n v="38"/>
    <n v="29"/>
    <n v="14"/>
    <n v="1485"/>
    <n v="3"/>
    <n v="11"/>
    <n v="9"/>
    <n v="12"/>
    <n v="6"/>
    <n v="0"/>
    <n v="0"/>
    <n v="0"/>
    <n v="1"/>
    <n v="0"/>
    <n v="0"/>
    <n v="0"/>
  </r>
  <r>
    <d v="2013-03-01T00:00:00"/>
    <n v="1524"/>
    <n v="1983"/>
    <x v="0"/>
    <s v="2n Cycle"/>
    <s v="Single"/>
    <n v="81698"/>
    <n v="0"/>
    <n v="1"/>
    <n v="709"/>
    <n v="45"/>
    <n v="115"/>
    <n v="30"/>
    <n v="160"/>
    <n v="45"/>
    <n v="1104"/>
    <n v="1"/>
    <n v="8"/>
    <n v="2"/>
    <n v="5"/>
    <n v="5"/>
    <n v="0"/>
    <n v="0"/>
    <n v="0"/>
    <n v="1"/>
    <n v="0"/>
    <n v="1"/>
    <n v="0"/>
  </r>
  <r>
    <d v="2013-02-14T00:00:00"/>
    <n v="3657"/>
    <n v="1986"/>
    <x v="0"/>
    <s v="Graduation"/>
    <s v="Single"/>
    <n v="39146"/>
    <n v="1"/>
    <n v="1"/>
    <n v="94"/>
    <n v="1"/>
    <n v="33"/>
    <n v="13"/>
    <n v="12"/>
    <n v="12"/>
    <n v="165"/>
    <n v="3"/>
    <n v="4"/>
    <n v="0"/>
    <n v="4"/>
    <n v="8"/>
    <n v="0"/>
    <n v="0"/>
    <n v="0"/>
    <n v="0"/>
    <n v="0"/>
    <n v="0"/>
    <n v="0"/>
  </r>
  <r>
    <d v="2013-02-14T00:00:00"/>
    <n v="5740"/>
    <n v="1970"/>
    <x v="0"/>
    <s v="2n Cycle"/>
    <s v="Divorced"/>
    <n v="25959"/>
    <n v="2"/>
    <n v="1"/>
    <n v="4"/>
    <n v="2"/>
    <n v="12"/>
    <n v="7"/>
    <n v="5"/>
    <n v="26"/>
    <n v="56"/>
    <n v="2"/>
    <n v="1"/>
    <n v="2"/>
    <n v="2"/>
    <n v="6"/>
    <n v="0"/>
    <n v="0"/>
    <n v="0"/>
    <n v="0"/>
    <n v="0"/>
    <n v="1"/>
    <n v="0"/>
  </r>
  <r>
    <d v="2013-01-11T00:00:00"/>
    <n v="9595"/>
    <n v="1961"/>
    <x v="0"/>
    <s v="Graduation"/>
    <s v="Together"/>
    <n v="64260"/>
    <n v="0"/>
    <n v="1"/>
    <n v="539"/>
    <n v="169"/>
    <n v="816"/>
    <n v="20"/>
    <n v="0"/>
    <n v="30"/>
    <n v="1574"/>
    <n v="1"/>
    <n v="4"/>
    <n v="5"/>
    <n v="4"/>
    <n v="3"/>
    <n v="0"/>
    <n v="0"/>
    <n v="0"/>
    <n v="0"/>
    <n v="0"/>
    <n v="1"/>
    <n v="0"/>
  </r>
  <r>
    <d v="2013-01-03T00:00:00"/>
    <n v="3158"/>
    <n v="1973"/>
    <x v="0"/>
    <s v="Graduation"/>
    <s v="Married"/>
    <n v="32300"/>
    <n v="1"/>
    <n v="1"/>
    <n v="13"/>
    <n v="3"/>
    <n v="6"/>
    <n v="6"/>
    <n v="5"/>
    <n v="6"/>
    <n v="39"/>
    <n v="1"/>
    <n v="1"/>
    <n v="0"/>
    <n v="3"/>
    <n v="8"/>
    <n v="0"/>
    <n v="0"/>
    <n v="0"/>
    <n v="0"/>
    <n v="0"/>
    <n v="0"/>
    <n v="0"/>
  </r>
  <r>
    <d v="2012-12-19T00:00:00"/>
    <n v="5114"/>
    <n v="1965"/>
    <x v="3"/>
    <s v="Master"/>
    <s v="Married"/>
    <n v="74806"/>
    <n v="1"/>
    <n v="1"/>
    <n v="670"/>
    <n v="9"/>
    <n v="249"/>
    <n v="0"/>
    <n v="28"/>
    <n v="9"/>
    <n v="965"/>
    <n v="2"/>
    <n v="5"/>
    <n v="4"/>
    <n v="5"/>
    <n v="4"/>
    <n v="0"/>
    <n v="0"/>
    <n v="0"/>
    <n v="0"/>
    <n v="0"/>
    <n v="0"/>
    <n v="0"/>
  </r>
  <r>
    <d v="2012-12-15T00:00:00"/>
    <n v="340"/>
    <n v="1970"/>
    <x v="4"/>
    <s v="Graduation"/>
    <s v="Divorced"/>
    <n v="72967"/>
    <n v="1"/>
    <n v="1"/>
    <n v="158"/>
    <n v="35"/>
    <n v="179"/>
    <n v="0"/>
    <n v="0"/>
    <n v="125"/>
    <n v="497"/>
    <n v="2"/>
    <n v="7"/>
    <n v="2"/>
    <n v="8"/>
    <n v="5"/>
    <n v="1"/>
    <n v="0"/>
    <n v="0"/>
    <n v="0"/>
    <n v="0"/>
    <n v="1"/>
    <n v="0"/>
  </r>
  <r>
    <d v="2012-12-02T00:00:00"/>
    <n v="8805"/>
    <n v="1960"/>
    <x v="2"/>
    <s v="Graduation"/>
    <s v="Single"/>
    <n v="48904"/>
    <n v="1"/>
    <n v="1"/>
    <n v="283"/>
    <n v="10"/>
    <n v="38"/>
    <n v="0"/>
    <n v="13"/>
    <n v="27"/>
    <n v="371"/>
    <n v="4"/>
    <n v="7"/>
    <n v="2"/>
    <n v="4"/>
    <n v="8"/>
    <n v="0"/>
    <n v="0"/>
    <n v="0"/>
    <n v="0"/>
    <n v="0"/>
    <n v="0"/>
    <n v="0"/>
  </r>
  <r>
    <d v="2012-09-17T00:00:00"/>
    <n v="1241"/>
    <n v="1984"/>
    <x v="4"/>
    <s v="2n Cycle"/>
    <s v="Married"/>
    <n v="14796"/>
    <n v="1"/>
    <n v="1"/>
    <n v="13"/>
    <n v="3"/>
    <n v="8"/>
    <n v="7"/>
    <n v="4"/>
    <n v="16"/>
    <n v="51"/>
    <n v="2"/>
    <n v="1"/>
    <n v="0"/>
    <n v="3"/>
    <n v="9"/>
    <n v="0"/>
    <n v="0"/>
    <n v="0"/>
    <n v="0"/>
    <n v="0"/>
    <n v="1"/>
    <n v="0"/>
  </r>
  <r>
    <d v="2012-09-11T00:00:00"/>
    <n v="1402"/>
    <n v="1954"/>
    <x v="4"/>
    <s v="Master"/>
    <s v="Married"/>
    <n v="66991"/>
    <n v="0"/>
    <n v="1"/>
    <n v="496"/>
    <n v="36"/>
    <n v="460"/>
    <n v="189"/>
    <n v="60"/>
    <n v="12"/>
    <n v="1253"/>
    <n v="3"/>
    <n v="4"/>
    <n v="8"/>
    <n v="6"/>
    <n v="3"/>
    <n v="0"/>
    <n v="0"/>
    <n v="0"/>
    <n v="0"/>
    <n v="0"/>
    <n v="0"/>
    <n v="0"/>
  </r>
  <r>
    <d v="2014-05-12T00:00:00"/>
    <n v="7264"/>
    <n v="1978"/>
    <x v="6"/>
    <s v="2n Cycle"/>
    <s v="Single"/>
    <n v="52195"/>
    <n v="3"/>
    <n v="2"/>
    <n v="12"/>
    <n v="0"/>
    <n v="4"/>
    <n v="0"/>
    <n v="0"/>
    <n v="1"/>
    <n v="17"/>
    <n v="1"/>
    <n v="1"/>
    <n v="0"/>
    <n v="2"/>
    <n v="8"/>
    <n v="0"/>
    <n v="0"/>
    <n v="0"/>
    <n v="0"/>
    <n v="0"/>
    <n v="0"/>
    <n v="0"/>
  </r>
  <r>
    <d v="2014-04-28T00:00:00"/>
    <n v="1619"/>
    <n v="1956"/>
    <x v="0"/>
    <s v="Graduation"/>
    <s v="Married"/>
    <n v="90369"/>
    <n v="0"/>
    <n v="2"/>
    <n v="292"/>
    <n v="51"/>
    <n v="981"/>
    <n v="224"/>
    <n v="23"/>
    <n v="17"/>
    <n v="1588"/>
    <n v="1"/>
    <n v="4"/>
    <n v="6"/>
    <n v="6"/>
    <n v="1"/>
    <n v="0"/>
    <n v="0"/>
    <n v="0"/>
    <n v="0"/>
    <n v="0"/>
    <n v="1"/>
    <n v="0"/>
  </r>
  <r>
    <d v="2014-03-29T00:00:00"/>
    <n v="6398"/>
    <n v="1974"/>
    <x v="0"/>
    <s v="Basic"/>
    <s v="Married"/>
    <n v="18393"/>
    <n v="1"/>
    <n v="2"/>
    <n v="7"/>
    <n v="10"/>
    <n v="13"/>
    <n v="16"/>
    <n v="0"/>
    <n v="4"/>
    <n v="50"/>
    <n v="2"/>
    <n v="3"/>
    <n v="0"/>
    <n v="3"/>
    <n v="8"/>
    <n v="0"/>
    <n v="0"/>
    <n v="0"/>
    <n v="0"/>
    <n v="0"/>
    <n v="0"/>
    <n v="0"/>
  </r>
  <r>
    <d v="2014-03-06T00:00:00"/>
    <n v="1857"/>
    <n v="1952"/>
    <x v="0"/>
    <s v="Graduation"/>
    <s v="Single"/>
    <n v="47139"/>
    <n v="2"/>
    <n v="2"/>
    <n v="46"/>
    <n v="0"/>
    <n v="12"/>
    <n v="0"/>
    <n v="2"/>
    <n v="23"/>
    <n v="83"/>
    <n v="2"/>
    <n v="2"/>
    <n v="1"/>
    <n v="2"/>
    <n v="7"/>
    <n v="0"/>
    <n v="0"/>
    <n v="0"/>
    <n v="0"/>
    <n v="0"/>
    <n v="1"/>
    <n v="0"/>
  </r>
  <r>
    <d v="2014-03-04T00:00:00"/>
    <n v="4877"/>
    <n v="1973"/>
    <x v="5"/>
    <s v="Master"/>
    <s v="Married"/>
    <n v="38576"/>
    <n v="1"/>
    <n v="2"/>
    <n v="34"/>
    <n v="0"/>
    <n v="7"/>
    <n v="0"/>
    <n v="0"/>
    <n v="0"/>
    <n v="41"/>
    <n v="1"/>
    <n v="1"/>
    <n v="0"/>
    <n v="3"/>
    <n v="7"/>
    <n v="0"/>
    <n v="0"/>
    <n v="0"/>
    <n v="0"/>
    <n v="0"/>
    <n v="0"/>
    <n v="0"/>
  </r>
  <r>
    <d v="2014-02-04T00:00:00"/>
    <n v="3066"/>
    <n v="1975"/>
    <x v="6"/>
    <s v="PhD"/>
    <s v="Together"/>
    <n v="61905"/>
    <n v="1"/>
    <n v="2"/>
    <n v="167"/>
    <n v="0"/>
    <n v="43"/>
    <n v="6"/>
    <n v="2"/>
    <n v="13"/>
    <n v="231"/>
    <n v="2"/>
    <n v="4"/>
    <n v="2"/>
    <n v="4"/>
    <n v="5"/>
    <n v="0"/>
    <n v="0"/>
    <n v="0"/>
    <n v="0"/>
    <n v="0"/>
    <n v="0"/>
    <n v="0"/>
  </r>
  <r>
    <d v="2014-02-03T00:00:00"/>
    <n v="10286"/>
    <n v="1962"/>
    <x v="6"/>
    <s v="Graduation"/>
    <s v="Married"/>
    <n v="83715"/>
    <n v="0"/>
    <n v="2"/>
    <n v="318"/>
    <n v="8"/>
    <n v="407"/>
    <n v="150"/>
    <n v="35"/>
    <n v="8"/>
    <n v="926"/>
    <n v="1"/>
    <n v="2"/>
    <n v="8"/>
    <n v="13"/>
    <n v="0"/>
    <n v="0"/>
    <n v="0"/>
    <n v="0"/>
    <n v="0"/>
    <n v="0"/>
    <n v="0"/>
    <n v="0"/>
  </r>
  <r>
    <d v="2014-01-01T00:00:00"/>
    <n v="1992"/>
    <n v="1964"/>
    <x v="0"/>
    <s v="Graduation"/>
    <s v="Married"/>
    <n v="60597"/>
    <n v="1"/>
    <n v="2"/>
    <n v="522"/>
    <n v="0"/>
    <n v="257"/>
    <n v="32"/>
    <n v="16"/>
    <n v="66"/>
    <n v="893"/>
    <n v="4"/>
    <n v="2"/>
    <n v="2"/>
    <n v="8"/>
    <n v="7"/>
    <n v="0"/>
    <n v="0"/>
    <n v="0"/>
    <n v="1"/>
    <n v="0"/>
    <n v="1"/>
    <n v="0"/>
  </r>
  <r>
    <d v="2013-12-12T00:00:00"/>
    <n v="4246"/>
    <n v="1982"/>
    <x v="0"/>
    <s v="Master"/>
    <s v="Single"/>
    <n v="6560"/>
    <n v="0"/>
    <n v="2"/>
    <n v="67"/>
    <n v="11"/>
    <n v="26"/>
    <n v="4"/>
    <n v="3"/>
    <n v="262"/>
    <n v="373"/>
    <n v="0"/>
    <n v="1"/>
    <n v="0"/>
    <n v="1"/>
    <n v="17"/>
    <n v="0"/>
    <n v="0"/>
    <n v="0"/>
    <n v="0"/>
    <n v="0"/>
    <n v="0"/>
    <n v="0"/>
  </r>
  <r>
    <d v="2013-11-15T00:00:00"/>
    <n v="10623"/>
    <n v="1961"/>
    <x v="0"/>
    <s v="Master"/>
    <s v="Together"/>
    <n v="48330"/>
    <n v="1"/>
    <n v="2"/>
    <n v="28"/>
    <n v="0"/>
    <n v="4"/>
    <n v="0"/>
    <n v="0"/>
    <n v="0"/>
    <n v="32"/>
    <n v="1"/>
    <n v="1"/>
    <n v="0"/>
    <n v="3"/>
    <n v="5"/>
    <n v="0"/>
    <n v="0"/>
    <n v="0"/>
    <n v="0"/>
    <n v="0"/>
    <n v="0"/>
    <n v="0"/>
  </r>
  <r>
    <d v="2013-09-20T00:00:00"/>
    <n v="4867"/>
    <n v="1968"/>
    <x v="0"/>
    <s v="PhD"/>
    <s v="Single"/>
    <n v="38236"/>
    <n v="2"/>
    <n v="2"/>
    <n v="58"/>
    <n v="0"/>
    <n v="18"/>
    <n v="2"/>
    <n v="0"/>
    <n v="10"/>
    <n v="88"/>
    <n v="4"/>
    <n v="3"/>
    <n v="0"/>
    <n v="4"/>
    <n v="7"/>
    <n v="0"/>
    <n v="0"/>
    <n v="0"/>
    <n v="0"/>
    <n v="0"/>
    <n v="0"/>
    <n v="0"/>
  </r>
  <r>
    <d v="2013-09-05T00:00:00"/>
    <n v="3112"/>
    <n v="1977"/>
    <x v="0"/>
    <s v="Master"/>
    <s v="Married"/>
    <n v="22701"/>
    <n v="1"/>
    <n v="2"/>
    <n v="2"/>
    <n v="4"/>
    <n v="9"/>
    <n v="0"/>
    <n v="4"/>
    <n v="5"/>
    <n v="24"/>
    <n v="1"/>
    <n v="1"/>
    <n v="0"/>
    <n v="3"/>
    <n v="5"/>
    <n v="0"/>
    <n v="0"/>
    <n v="0"/>
    <n v="0"/>
    <n v="0"/>
    <n v="0"/>
    <n v="0"/>
  </r>
  <r>
    <d v="2013-08-31T00:00:00"/>
    <n v="4865"/>
    <n v="1974"/>
    <x v="3"/>
    <s v="Master"/>
    <s v="Divorced"/>
    <n v="53367"/>
    <n v="2"/>
    <n v="2"/>
    <n v="229"/>
    <n v="7"/>
    <n v="140"/>
    <n v="10"/>
    <n v="3"/>
    <n v="11"/>
    <n v="400"/>
    <n v="7"/>
    <n v="5"/>
    <n v="1"/>
    <n v="8"/>
    <n v="7"/>
    <n v="0"/>
    <n v="0"/>
    <n v="0"/>
    <n v="0"/>
    <n v="0"/>
    <n v="1"/>
    <n v="0"/>
  </r>
  <r>
    <d v="2013-07-30T00:00:00"/>
    <n v="6287"/>
    <n v="1986"/>
    <x v="0"/>
    <s v="Graduation"/>
    <s v="Together"/>
    <n v="34728"/>
    <n v="1"/>
    <n v="2"/>
    <n v="14"/>
    <n v="0"/>
    <n v="16"/>
    <n v="0"/>
    <n v="0"/>
    <n v="6"/>
    <n v="36"/>
    <n v="1"/>
    <n v="1"/>
    <n v="1"/>
    <n v="2"/>
    <n v="6"/>
    <n v="0"/>
    <n v="0"/>
    <n v="0"/>
    <n v="0"/>
    <n v="0"/>
    <n v="1"/>
    <n v="0"/>
  </r>
  <r>
    <d v="2013-07-30T00:00:00"/>
    <n v="4405"/>
    <n v="1956"/>
    <x v="3"/>
    <s v="Master"/>
    <s v="Married"/>
    <n v="63915"/>
    <n v="2"/>
    <n v="2"/>
    <n v="622"/>
    <n v="7"/>
    <n v="115"/>
    <n v="30"/>
    <n v="0"/>
    <n v="15"/>
    <n v="789"/>
    <n v="2"/>
    <n v="6"/>
    <n v="3"/>
    <n v="12"/>
    <n v="5"/>
    <n v="0"/>
    <n v="0"/>
    <n v="0"/>
    <n v="0"/>
    <n v="0"/>
    <n v="0"/>
    <n v="0"/>
  </r>
  <r>
    <d v="2013-07-27T00:00:00"/>
    <n v="5332"/>
    <n v="1960"/>
    <x v="5"/>
    <s v="2n Cycle"/>
    <s v="Married"/>
    <n v="82504"/>
    <n v="0"/>
    <n v="2"/>
    <n v="362"/>
    <n v="50"/>
    <n v="431"/>
    <n v="134"/>
    <n v="35"/>
    <n v="54"/>
    <n v="1066"/>
    <n v="1"/>
    <n v="3"/>
    <n v="6"/>
    <n v="7"/>
    <n v="1"/>
    <n v="0"/>
    <n v="0"/>
    <n v="0"/>
    <n v="0"/>
    <n v="0"/>
    <n v="0"/>
    <n v="0"/>
  </r>
  <r>
    <d v="2013-06-22T00:00:00"/>
    <n v="1519"/>
    <n v="1972"/>
    <x v="0"/>
    <s v="PhD"/>
    <s v="Single"/>
    <n v="38578"/>
    <n v="2"/>
    <n v="2"/>
    <n v="38"/>
    <n v="4"/>
    <n v="22"/>
    <n v="3"/>
    <n v="3"/>
    <n v="3"/>
    <n v="73"/>
    <n v="3"/>
    <n v="3"/>
    <n v="0"/>
    <n v="3"/>
    <n v="8"/>
    <n v="0"/>
    <n v="0"/>
    <n v="0"/>
    <n v="0"/>
    <n v="0"/>
    <n v="1"/>
    <n v="0"/>
  </r>
  <r>
    <d v="2013-06-22T00:00:00"/>
    <n v="9080"/>
    <n v="1972"/>
    <x v="0"/>
    <s v="PhD"/>
    <s v="Single"/>
    <n v="38578"/>
    <n v="2"/>
    <n v="2"/>
    <n v="38"/>
    <n v="4"/>
    <n v="22"/>
    <n v="3"/>
    <n v="3"/>
    <n v="3"/>
    <n v="73"/>
    <n v="3"/>
    <n v="3"/>
    <n v="0"/>
    <n v="3"/>
    <n v="8"/>
    <n v="0"/>
    <n v="0"/>
    <n v="0"/>
    <n v="0"/>
    <n v="0"/>
    <n v="0"/>
    <n v="0"/>
  </r>
  <r>
    <d v="2013-01-11T00:00:00"/>
    <n v="1772"/>
    <n v="1975"/>
    <x v="1"/>
    <s v="PhD"/>
    <s v="Married"/>
    <n v="79174"/>
    <n v="0"/>
    <n v="2"/>
    <n v="1074"/>
    <n v="37"/>
    <n v="518"/>
    <n v="193"/>
    <n v="92"/>
    <n v="129"/>
    <n v="2043"/>
    <n v="1"/>
    <n v="5"/>
    <n v="6"/>
    <n v="7"/>
    <n v="2"/>
    <n v="0"/>
    <n v="0"/>
    <n v="1"/>
    <n v="1"/>
    <n v="0"/>
    <n v="1"/>
    <n v="0"/>
  </r>
  <r>
    <d v="2013-01-05T00:00:00"/>
    <n v="5341"/>
    <n v="1962"/>
    <x v="6"/>
    <s v="2n Cycle"/>
    <s v="Divorced"/>
    <n v="81975"/>
    <n v="1"/>
    <n v="2"/>
    <n v="983"/>
    <n v="76"/>
    <n v="184"/>
    <n v="180"/>
    <n v="138"/>
    <n v="27"/>
    <n v="1588"/>
    <n v="1"/>
    <n v="6"/>
    <n v="3"/>
    <n v="4"/>
    <n v="7"/>
    <n v="0"/>
    <n v="0"/>
    <n v="1"/>
    <n v="0"/>
    <n v="0"/>
    <n v="0"/>
    <n v="0"/>
  </r>
  <r>
    <d v="2012-11-21T00:00:00"/>
    <n v="5510"/>
    <n v="1977"/>
    <x v="0"/>
    <s v="Master"/>
    <s v="Married"/>
    <n v="43263"/>
    <n v="1"/>
    <n v="2"/>
    <n v="262"/>
    <n v="6"/>
    <n v="61"/>
    <n v="0"/>
    <n v="10"/>
    <n v="102"/>
    <n v="441"/>
    <n v="3"/>
    <n v="5"/>
    <n v="2"/>
    <n v="6"/>
    <n v="5"/>
    <n v="0"/>
    <n v="0"/>
    <n v="0"/>
    <n v="0"/>
    <n v="0"/>
    <n v="0"/>
    <n v="0"/>
  </r>
  <r>
    <d v="2012-11-11T00:00:00"/>
    <n v="3887"/>
    <n v="1970"/>
    <x v="5"/>
    <s v="Graduation"/>
    <s v="Single"/>
    <n v="27242"/>
    <n v="1"/>
    <n v="2"/>
    <n v="3"/>
    <n v="17"/>
    <n v="26"/>
    <n v="20"/>
    <n v="1"/>
    <n v="39"/>
    <n v="106"/>
    <n v="2"/>
    <n v="2"/>
    <n v="0"/>
    <n v="3"/>
    <n v="9"/>
    <n v="0"/>
    <n v="0"/>
    <n v="0"/>
    <n v="0"/>
    <n v="0"/>
    <n v="1"/>
    <n v="0"/>
  </r>
  <r>
    <d v="2012-09-28T00:00:00"/>
    <n v="7022"/>
    <n v="1971"/>
    <x v="6"/>
    <s v="Graduation"/>
    <s v="Married"/>
    <n v="76445"/>
    <n v="1"/>
    <n v="2"/>
    <n v="739"/>
    <n v="107"/>
    <n v="309"/>
    <n v="140"/>
    <n v="80"/>
    <n v="35"/>
    <n v="1410"/>
    <n v="1"/>
    <n v="2"/>
    <n v="5"/>
    <n v="13"/>
    <n v="6"/>
    <n v="0"/>
    <n v="0"/>
    <n v="0"/>
    <n v="0"/>
    <n v="0"/>
    <n v="0"/>
    <n v="0"/>
  </r>
  <r>
    <d v="2012-09-27T00:00:00"/>
    <n v="9999"/>
    <n v="1965"/>
    <x v="0"/>
    <s v="Graduation"/>
    <s v="Together"/>
    <n v="75276"/>
    <n v="0"/>
    <n v="2"/>
    <n v="610"/>
    <n v="105"/>
    <n v="125"/>
    <n v="137"/>
    <n v="42"/>
    <n v="21"/>
    <n v="1040"/>
    <n v="1"/>
    <n v="9"/>
    <n v="4"/>
    <n v="9"/>
    <n v="5"/>
    <n v="0"/>
    <n v="0"/>
    <n v="0"/>
    <n v="0"/>
    <n v="0"/>
    <n v="0"/>
    <n v="0"/>
  </r>
  <r>
    <d v="2012-09-07T00:00:00"/>
    <n v="10352"/>
    <n v="1963"/>
    <x v="6"/>
    <s v="Graduation"/>
    <s v="Widow"/>
    <n v="34213"/>
    <n v="2"/>
    <n v="2"/>
    <n v="50"/>
    <n v="4"/>
    <n v="28"/>
    <n v="6"/>
    <n v="3"/>
    <n v="26"/>
    <n v="117"/>
    <n v="3"/>
    <n v="3"/>
    <n v="1"/>
    <n v="2"/>
    <n v="9"/>
    <n v="0"/>
    <n v="0"/>
    <n v="0"/>
    <n v="0"/>
    <n v="0"/>
    <n v="1"/>
    <n v="0"/>
  </r>
  <r>
    <d v="2012-08-13T00:00:00"/>
    <n v="7919"/>
    <n v="1976"/>
    <x v="0"/>
    <s v="PhD"/>
    <s v="Together"/>
    <n v="72335"/>
    <n v="0"/>
    <n v="2"/>
    <n v="1285"/>
    <n v="105"/>
    <n v="653"/>
    <n v="28"/>
    <n v="21"/>
    <n v="0"/>
    <n v="2092"/>
    <n v="1"/>
    <n v="10"/>
    <n v="4"/>
    <n v="8"/>
    <n v="8"/>
    <n v="0"/>
    <n v="0"/>
    <n v="0"/>
    <n v="0"/>
    <n v="0"/>
    <n v="1"/>
    <n v="0"/>
  </r>
  <r>
    <d v="2012-08-11T00:00:00"/>
    <n v="4114"/>
    <n v="1964"/>
    <x v="3"/>
    <s v="Master"/>
    <s v="Married"/>
    <n v="79143"/>
    <n v="0"/>
    <n v="2"/>
    <n v="650"/>
    <n v="37"/>
    <n v="780"/>
    <n v="27"/>
    <n v="167"/>
    <n v="32"/>
    <n v="1693"/>
    <n v="1"/>
    <n v="6"/>
    <n v="9"/>
    <n v="13"/>
    <n v="3"/>
    <n v="0"/>
    <n v="0"/>
    <n v="0"/>
    <n v="0"/>
    <n v="0"/>
    <n v="0"/>
    <n v="0"/>
  </r>
  <r>
    <d v="2012-08-02T00:00:00"/>
    <n v="7990"/>
    <n v="1947"/>
    <x v="1"/>
    <s v="Graduation"/>
    <s v="Married"/>
    <n v="27469"/>
    <n v="0"/>
    <n v="2"/>
    <n v="9"/>
    <n v="1"/>
    <n v="2"/>
    <n v="3"/>
    <n v="2"/>
    <n v="0"/>
    <n v="17"/>
    <n v="1"/>
    <n v="0"/>
    <n v="0"/>
    <n v="3"/>
    <n v="6"/>
    <n v="0"/>
    <n v="0"/>
    <n v="0"/>
    <n v="0"/>
    <n v="0"/>
    <n v="0"/>
    <n v="0"/>
  </r>
  <r>
    <d v="2014-06-25T00:00:00"/>
    <n v="9888"/>
    <n v="1969"/>
    <x v="0"/>
    <s v="Graduation"/>
    <s v="Together"/>
    <n v="68695"/>
    <n v="0"/>
    <n v="3"/>
    <n v="458"/>
    <n v="81"/>
    <n v="356"/>
    <n v="106"/>
    <n v="50"/>
    <n v="40"/>
    <n v="1091"/>
    <n v="1"/>
    <n v="4"/>
    <n v="4"/>
    <n v="7"/>
    <n v="2"/>
    <n v="0"/>
    <n v="0"/>
    <n v="0"/>
    <n v="0"/>
    <n v="0"/>
    <n v="0"/>
    <n v="0"/>
  </r>
  <r>
    <d v="2014-06-25T00:00:00"/>
    <n v="4399"/>
    <n v="1969"/>
    <x v="1"/>
    <s v="Graduation"/>
    <s v="Together"/>
    <n v="68695"/>
    <n v="0"/>
    <n v="3"/>
    <n v="458"/>
    <n v="81"/>
    <n v="356"/>
    <n v="106"/>
    <n v="50"/>
    <n v="40"/>
    <n v="1091"/>
    <n v="1"/>
    <n v="4"/>
    <n v="4"/>
    <n v="7"/>
    <n v="2"/>
    <n v="0"/>
    <n v="0"/>
    <n v="0"/>
    <n v="0"/>
    <n v="0"/>
    <n v="0"/>
    <n v="0"/>
  </r>
  <r>
    <d v="2014-05-28T00:00:00"/>
    <n v="4452"/>
    <n v="1957"/>
    <x v="4"/>
    <s v="Graduation"/>
    <s v="Single"/>
    <n v="50388"/>
    <n v="1"/>
    <n v="3"/>
    <n v="292"/>
    <n v="6"/>
    <n v="37"/>
    <n v="0"/>
    <n v="3"/>
    <n v="34"/>
    <n v="372"/>
    <n v="4"/>
    <n v="6"/>
    <n v="1"/>
    <n v="6"/>
    <n v="7"/>
    <n v="0"/>
    <n v="1"/>
    <n v="0"/>
    <n v="1"/>
    <n v="0"/>
    <n v="1"/>
    <n v="0"/>
  </r>
  <r>
    <d v="2014-04-14T00:00:00"/>
    <n v="4785"/>
    <n v="1970"/>
    <x v="6"/>
    <s v="PhD"/>
    <s v="Together"/>
    <n v="77622"/>
    <n v="2"/>
    <n v="3"/>
    <n v="520"/>
    <n v="7"/>
    <n v="154"/>
    <n v="19"/>
    <n v="0"/>
    <n v="14"/>
    <n v="714"/>
    <n v="2"/>
    <n v="6"/>
    <n v="3"/>
    <n v="11"/>
    <n v="3"/>
    <n v="0"/>
    <n v="0"/>
    <n v="0"/>
    <n v="0"/>
    <n v="0"/>
    <n v="0"/>
    <n v="0"/>
  </r>
  <r>
    <d v="2014-03-10T00:00:00"/>
    <n v="8461"/>
    <n v="1962"/>
    <x v="0"/>
    <s v="Graduation"/>
    <s v="Divorced"/>
    <n v="46102"/>
    <n v="3"/>
    <n v="3"/>
    <n v="14"/>
    <n v="0"/>
    <n v="1"/>
    <n v="0"/>
    <n v="0"/>
    <n v="1"/>
    <n v="16"/>
    <n v="1"/>
    <n v="1"/>
    <n v="0"/>
    <n v="2"/>
    <n v="7"/>
    <n v="0"/>
    <n v="0"/>
    <n v="0"/>
    <n v="0"/>
    <n v="0"/>
    <n v="0"/>
    <n v="0"/>
  </r>
  <r>
    <d v="2014-02-27T00:00:00"/>
    <n v="3878"/>
    <n v="1980"/>
    <x v="0"/>
    <s v="2n Cycle"/>
    <s v="Single"/>
    <n v="31859"/>
    <n v="1"/>
    <n v="3"/>
    <n v="3"/>
    <n v="4"/>
    <n v="7"/>
    <n v="15"/>
    <n v="8"/>
    <n v="11"/>
    <n v="48"/>
    <n v="1"/>
    <n v="1"/>
    <n v="0"/>
    <n v="3"/>
    <n v="7"/>
    <n v="0"/>
    <n v="0"/>
    <n v="0"/>
    <n v="0"/>
    <n v="0"/>
    <n v="0"/>
    <n v="0"/>
  </r>
  <r>
    <d v="2014-02-07T00:00:00"/>
    <n v="9612"/>
    <n v="1987"/>
    <x v="0"/>
    <s v="2n Cycle"/>
    <s v="Single"/>
    <n v="23830"/>
    <n v="0"/>
    <n v="3"/>
    <n v="1"/>
    <n v="8"/>
    <n v="6"/>
    <n v="4"/>
    <n v="8"/>
    <n v="16"/>
    <n v="43"/>
    <n v="1"/>
    <n v="1"/>
    <n v="0"/>
    <n v="3"/>
    <n v="7"/>
    <n v="0"/>
    <n v="0"/>
    <n v="0"/>
    <n v="0"/>
    <n v="0"/>
    <n v="0"/>
    <n v="0"/>
  </r>
  <r>
    <d v="2014-01-28T00:00:00"/>
    <n v="4098"/>
    <n v="1973"/>
    <x v="3"/>
    <s v="Graduation"/>
    <s v="Married"/>
    <n v="24639"/>
    <n v="2"/>
    <n v="3"/>
    <n v="20"/>
    <n v="3"/>
    <n v="16"/>
    <n v="0"/>
    <n v="4"/>
    <n v="1"/>
    <n v="44"/>
    <n v="3"/>
    <n v="2"/>
    <n v="0"/>
    <n v="4"/>
    <n v="6"/>
    <n v="0"/>
    <n v="0"/>
    <n v="0"/>
    <n v="0"/>
    <n v="0"/>
    <n v="0"/>
    <n v="0"/>
  </r>
  <r>
    <d v="2013-11-17T00:00:00"/>
    <n v="158"/>
    <n v="1945"/>
    <x v="0"/>
    <s v="PhD"/>
    <s v="Together"/>
    <n v="71604"/>
    <n v="0"/>
    <n v="3"/>
    <n v="345"/>
    <n v="53"/>
    <n v="528"/>
    <n v="98"/>
    <n v="75"/>
    <n v="97"/>
    <n v="1196"/>
    <n v="1"/>
    <n v="8"/>
    <n v="3"/>
    <n v="5"/>
    <n v="4"/>
    <n v="1"/>
    <n v="0"/>
    <n v="0"/>
    <n v="0"/>
    <n v="0"/>
    <n v="1"/>
    <n v="0"/>
  </r>
  <r>
    <d v="2013-11-07T00:00:00"/>
    <n v="3896"/>
    <n v="1984"/>
    <x v="0"/>
    <s v="Graduation"/>
    <s v="Married"/>
    <n v="27255"/>
    <n v="1"/>
    <n v="3"/>
    <n v="22"/>
    <n v="1"/>
    <n v="11"/>
    <n v="0"/>
    <n v="1"/>
    <n v="2"/>
    <n v="37"/>
    <n v="1"/>
    <n v="1"/>
    <n v="0"/>
    <n v="3"/>
    <n v="7"/>
    <n v="0"/>
    <n v="0"/>
    <n v="0"/>
    <n v="0"/>
    <n v="0"/>
    <n v="0"/>
    <n v="0"/>
  </r>
  <r>
    <d v="2013-10-17T00:00:00"/>
    <n v="9970"/>
    <n v="1977"/>
    <x v="1"/>
    <s v="Graduation"/>
    <s v="Together"/>
    <n v="55375"/>
    <n v="1"/>
    <n v="3"/>
    <n v="42"/>
    <n v="11"/>
    <n v="57"/>
    <n v="10"/>
    <n v="28"/>
    <n v="14"/>
    <n v="162"/>
    <n v="1"/>
    <n v="1"/>
    <n v="1"/>
    <n v="6"/>
    <n v="2"/>
    <n v="0"/>
    <n v="0"/>
    <n v="0"/>
    <n v="0"/>
    <n v="0"/>
    <n v="0"/>
    <n v="0"/>
  </r>
  <r>
    <d v="2013-10-13T00:00:00"/>
    <n v="4002"/>
    <n v="1960"/>
    <x v="0"/>
    <s v="PhD"/>
    <s v="Married"/>
    <n v="77037"/>
    <n v="1"/>
    <n v="3"/>
    <n v="463"/>
    <n v="96"/>
    <n v="333"/>
    <n v="168"/>
    <n v="53"/>
    <n v="10"/>
    <n v="1123"/>
    <n v="1"/>
    <n v="7"/>
    <n v="7"/>
    <n v="12"/>
    <n v="3"/>
    <n v="0"/>
    <n v="0"/>
    <n v="0"/>
    <n v="0"/>
    <n v="0"/>
    <n v="0"/>
    <n v="0"/>
  </r>
  <r>
    <d v="2013-10-12T00:00:00"/>
    <n v="10914"/>
    <n v="1970"/>
    <x v="0"/>
    <s v="Graduation"/>
    <s v="Single"/>
    <n v="24163"/>
    <n v="2"/>
    <n v="3"/>
    <n v="4"/>
    <n v="1"/>
    <n v="7"/>
    <n v="2"/>
    <n v="1"/>
    <n v="2"/>
    <n v="17"/>
    <n v="2"/>
    <n v="1"/>
    <n v="0"/>
    <n v="3"/>
    <n v="4"/>
    <n v="0"/>
    <n v="0"/>
    <n v="0"/>
    <n v="0"/>
    <n v="0"/>
    <n v="0"/>
    <n v="0"/>
  </r>
  <r>
    <d v="2013-09-30T00:00:00"/>
    <n v="7279"/>
    <n v="1969"/>
    <x v="2"/>
    <s v="PhD"/>
    <s v="Together"/>
    <n v="69476"/>
    <n v="0"/>
    <n v="3"/>
    <n v="260"/>
    <n v="86"/>
    <n v="559"/>
    <n v="63"/>
    <n v="9"/>
    <n v="67"/>
    <n v="1044"/>
    <n v="1"/>
    <n v="4"/>
    <n v="6"/>
    <n v="4"/>
    <n v="2"/>
    <n v="0"/>
    <n v="0"/>
    <n v="0"/>
    <n v="0"/>
    <n v="0"/>
    <n v="0"/>
    <n v="0"/>
  </r>
  <r>
    <d v="2013-07-03T00:00:00"/>
    <n v="10582"/>
    <n v="1979"/>
    <x v="4"/>
    <s v="Graduation"/>
    <s v="Married"/>
    <n v="72063"/>
    <n v="1"/>
    <n v="3"/>
    <n v="180"/>
    <n v="32"/>
    <n v="348"/>
    <n v="76"/>
    <n v="32"/>
    <n v="90"/>
    <n v="758"/>
    <n v="2"/>
    <n v="5"/>
    <n v="2"/>
    <n v="12"/>
    <n v="2"/>
    <n v="0"/>
    <n v="0"/>
    <n v="0"/>
    <n v="0"/>
    <n v="0"/>
    <n v="0"/>
    <n v="0"/>
  </r>
  <r>
    <d v="2013-06-10T00:00:00"/>
    <n v="4470"/>
    <n v="1962"/>
    <x v="0"/>
    <s v="Master"/>
    <s v="Married"/>
    <n v="58646"/>
    <n v="1"/>
    <n v="3"/>
    <n v="62"/>
    <n v="1"/>
    <n v="44"/>
    <n v="6"/>
    <n v="5"/>
    <n v="22"/>
    <n v="140"/>
    <n v="1"/>
    <n v="2"/>
    <n v="1"/>
    <n v="4"/>
    <n v="4"/>
    <n v="0"/>
    <n v="0"/>
    <n v="0"/>
    <n v="0"/>
    <n v="0"/>
    <n v="0"/>
    <n v="0"/>
  </r>
  <r>
    <d v="2013-06-10T00:00:00"/>
    <n v="6183"/>
    <n v="1962"/>
    <x v="4"/>
    <s v="Master"/>
    <s v="Married"/>
    <n v="58646"/>
    <n v="1"/>
    <n v="3"/>
    <n v="62"/>
    <n v="1"/>
    <n v="44"/>
    <n v="6"/>
    <n v="5"/>
    <n v="22"/>
    <n v="140"/>
    <n v="1"/>
    <n v="2"/>
    <n v="1"/>
    <n v="4"/>
    <n v="4"/>
    <n v="0"/>
    <n v="0"/>
    <n v="0"/>
    <n v="0"/>
    <n v="0"/>
    <n v="0"/>
    <n v="0"/>
  </r>
  <r>
    <d v="2013-05-29T00:00:00"/>
    <n v="6379"/>
    <n v="1949"/>
    <x v="2"/>
    <s v="Master"/>
    <s v="Widow"/>
    <n v="47570"/>
    <n v="2"/>
    <n v="3"/>
    <n v="67"/>
    <n v="1"/>
    <n v="20"/>
    <n v="0"/>
    <n v="2"/>
    <n v="31"/>
    <n v="121"/>
    <n v="3"/>
    <n v="2"/>
    <n v="2"/>
    <n v="2"/>
    <n v="7"/>
    <n v="0"/>
    <n v="0"/>
    <n v="0"/>
    <n v="0"/>
    <n v="0"/>
    <n v="1"/>
    <n v="0"/>
  </r>
  <r>
    <d v="2013-04-29T00:00:00"/>
    <n v="8601"/>
    <n v="1980"/>
    <x v="3"/>
    <s v="Graduation"/>
    <s v="Married"/>
    <n v="80011"/>
    <n v="1"/>
    <n v="3"/>
    <n v="421"/>
    <n v="76"/>
    <n v="536"/>
    <n v="82"/>
    <n v="178"/>
    <n v="102"/>
    <n v="1395"/>
    <n v="2"/>
    <n v="8"/>
    <n v="6"/>
    <n v="5"/>
    <n v="4"/>
    <n v="0"/>
    <n v="0"/>
    <n v="0"/>
    <n v="0"/>
    <n v="0"/>
    <n v="0"/>
    <n v="0"/>
  </r>
  <r>
    <d v="2013-03-10T00:00:00"/>
    <n v="4827"/>
    <n v="1956"/>
    <x v="0"/>
    <s v="PhD"/>
    <s v="Single"/>
    <n v="54998"/>
    <n v="1"/>
    <n v="3"/>
    <n v="154"/>
    <n v="22"/>
    <n v="202"/>
    <n v="39"/>
    <n v="30"/>
    <n v="8"/>
    <n v="455"/>
    <n v="5"/>
    <n v="4"/>
    <n v="2"/>
    <n v="9"/>
    <n v="4"/>
    <n v="0"/>
    <n v="0"/>
    <n v="0"/>
    <n v="0"/>
    <n v="0"/>
    <n v="1"/>
    <n v="0"/>
  </r>
  <r>
    <d v="2013-01-02T00:00:00"/>
    <n v="6715"/>
    <n v="1948"/>
    <x v="0"/>
    <s v="PhD"/>
    <s v="Single"/>
    <n v="60200"/>
    <n v="1"/>
    <n v="3"/>
    <n v="502"/>
    <n v="19"/>
    <n v="132"/>
    <n v="0"/>
    <n v="6"/>
    <n v="26"/>
    <n v="685"/>
    <n v="6"/>
    <n v="6"/>
    <n v="2"/>
    <n v="11"/>
    <n v="6"/>
    <n v="0"/>
    <n v="0"/>
    <n v="0"/>
    <n v="0"/>
    <n v="0"/>
    <n v="0"/>
    <n v="0"/>
  </r>
  <r>
    <d v="2012-11-02T00:00:00"/>
    <n v="10676"/>
    <n v="1982"/>
    <x v="0"/>
    <s v="Graduation"/>
    <s v="Married"/>
    <n v="63211"/>
    <n v="0"/>
    <n v="3"/>
    <n v="145"/>
    <n v="193"/>
    <n v="459"/>
    <n v="205"/>
    <n v="26"/>
    <n v="145"/>
    <n v="1173"/>
    <n v="2"/>
    <n v="3"/>
    <n v="8"/>
    <n v="7"/>
    <n v="2"/>
    <n v="0"/>
    <n v="0"/>
    <n v="0"/>
    <n v="0"/>
    <n v="0"/>
    <n v="1"/>
    <n v="0"/>
  </r>
  <r>
    <d v="2012-10-18T00:00:00"/>
    <n v="1041"/>
    <n v="1973"/>
    <x v="6"/>
    <s v="PhD"/>
    <s v="Single"/>
    <n v="48432"/>
    <n v="1"/>
    <n v="3"/>
    <n v="322"/>
    <n v="3"/>
    <n v="50"/>
    <n v="4"/>
    <n v="3"/>
    <n v="42"/>
    <n v="424"/>
    <n v="5"/>
    <n v="7"/>
    <n v="1"/>
    <n v="6"/>
    <n v="8"/>
    <n v="0"/>
    <n v="0"/>
    <n v="0"/>
    <n v="0"/>
    <n v="0"/>
    <n v="1"/>
    <n v="0"/>
  </r>
  <r>
    <d v="2012-10-18T00:00:00"/>
    <n v="492"/>
    <n v="1973"/>
    <x v="1"/>
    <s v="PhD"/>
    <s v="Single"/>
    <n v="48432"/>
    <n v="1"/>
    <n v="3"/>
    <n v="322"/>
    <n v="3"/>
    <n v="50"/>
    <n v="4"/>
    <n v="3"/>
    <n v="42"/>
    <n v="424"/>
    <n v="5"/>
    <n v="7"/>
    <n v="1"/>
    <n v="6"/>
    <n v="8"/>
    <n v="0"/>
    <n v="0"/>
    <n v="0"/>
    <n v="0"/>
    <n v="0"/>
    <n v="0"/>
    <n v="0"/>
  </r>
  <r>
    <d v="2012-10-18T00:00:00"/>
    <n v="11133"/>
    <n v="1973"/>
    <x v="5"/>
    <s v="PhD"/>
    <s v="Single"/>
    <n v="48432"/>
    <n v="1"/>
    <n v="3"/>
    <n v="322"/>
    <n v="3"/>
    <n v="50"/>
    <n v="4"/>
    <n v="3"/>
    <n v="42"/>
    <n v="424"/>
    <n v="5"/>
    <n v="7"/>
    <n v="1"/>
    <n v="6"/>
    <n v="8"/>
    <n v="0"/>
    <n v="0"/>
    <n v="0"/>
    <n v="0"/>
    <n v="0"/>
    <n v="1"/>
    <n v="0"/>
  </r>
  <r>
    <d v="2012-10-01T00:00:00"/>
    <n v="4491"/>
    <n v="1949"/>
    <x v="0"/>
    <s v="Master"/>
    <s v="Married"/>
    <n v="62845"/>
    <n v="2"/>
    <n v="3"/>
    <n v="1099"/>
    <n v="0"/>
    <n v="45"/>
    <n v="0"/>
    <n v="0"/>
    <n v="34"/>
    <n v="1178"/>
    <n v="11"/>
    <n v="3"/>
    <n v="4"/>
    <n v="10"/>
    <n v="8"/>
    <n v="0"/>
    <n v="1"/>
    <n v="0"/>
    <n v="0"/>
    <n v="0"/>
    <n v="0"/>
    <n v="0"/>
  </r>
  <r>
    <d v="2012-10-01T00:00:00"/>
    <n v="873"/>
    <n v="1949"/>
    <x v="0"/>
    <s v="Master"/>
    <s v="Married"/>
    <n v="62845"/>
    <n v="2"/>
    <n v="3"/>
    <n v="1099"/>
    <n v="0"/>
    <n v="45"/>
    <n v="0"/>
    <n v="0"/>
    <n v="34"/>
    <n v="1178"/>
    <n v="11"/>
    <n v="3"/>
    <n v="4"/>
    <n v="10"/>
    <n v="8"/>
    <n v="0"/>
    <n v="1"/>
    <n v="0"/>
    <n v="0"/>
    <n v="0"/>
    <n v="1"/>
    <n v="0"/>
  </r>
  <r>
    <d v="2012-09-03T00:00:00"/>
    <n v="1631"/>
    <n v="1965"/>
    <x v="4"/>
    <s v="PhD"/>
    <s v="Together"/>
    <n v="65220"/>
    <n v="0"/>
    <n v="3"/>
    <n v="890"/>
    <n v="63"/>
    <n v="292"/>
    <n v="0"/>
    <n v="25"/>
    <n v="12"/>
    <n v="1282"/>
    <n v="4"/>
    <n v="8"/>
    <n v="4"/>
    <n v="7"/>
    <n v="6"/>
    <n v="0"/>
    <n v="0"/>
    <n v="0"/>
    <n v="0"/>
    <n v="0"/>
    <n v="1"/>
    <n v="0"/>
  </r>
  <r>
    <d v="2012-08-26T00:00:00"/>
    <n v="8278"/>
    <n v="1990"/>
    <x v="0"/>
    <s v="PhD"/>
    <s v="Married"/>
    <n v="74214"/>
    <n v="0"/>
    <n v="3"/>
    <n v="863"/>
    <n v="83"/>
    <n v="547"/>
    <n v="86"/>
    <n v="99"/>
    <n v="33"/>
    <n v="1711"/>
    <n v="1"/>
    <n v="8"/>
    <n v="2"/>
    <n v="5"/>
    <n v="5"/>
    <n v="0"/>
    <n v="0"/>
    <n v="0"/>
    <n v="0"/>
    <n v="0"/>
    <n v="0"/>
    <n v="0"/>
  </r>
  <r>
    <d v="2014-05-23T00:00:00"/>
    <n v="6815"/>
    <n v="1980"/>
    <x v="0"/>
    <s v="2n Cycle"/>
    <s v="Married"/>
    <n v="96547"/>
    <n v="0"/>
    <n v="4"/>
    <n v="448"/>
    <n v="21"/>
    <n v="125"/>
    <n v="52"/>
    <n v="101"/>
    <n v="62"/>
    <n v="809"/>
    <n v="0"/>
    <n v="7"/>
    <n v="6"/>
    <n v="8"/>
    <n v="2"/>
    <n v="1"/>
    <n v="0"/>
    <n v="1"/>
    <n v="1"/>
    <n v="0"/>
    <n v="1"/>
    <n v="0"/>
  </r>
  <r>
    <d v="2014-05-17T00:00:00"/>
    <n v="254"/>
    <n v="1955"/>
    <x v="0"/>
    <s v="Graduation"/>
    <s v="Together"/>
    <n v="53863"/>
    <n v="1"/>
    <n v="4"/>
    <n v="399"/>
    <n v="4"/>
    <n v="30"/>
    <n v="6"/>
    <n v="4"/>
    <n v="30"/>
    <n v="473"/>
    <n v="3"/>
    <n v="7"/>
    <n v="1"/>
    <n v="7"/>
    <n v="7"/>
    <n v="0"/>
    <n v="1"/>
    <n v="0"/>
    <n v="0"/>
    <n v="0"/>
    <n v="0"/>
    <n v="0"/>
  </r>
  <r>
    <d v="2014-04-21T00:00:00"/>
    <n v="1349"/>
    <n v="1970"/>
    <x v="5"/>
    <s v="Graduation"/>
    <s v="Married"/>
    <n v="50447"/>
    <n v="2"/>
    <n v="4"/>
    <n v="85"/>
    <n v="7"/>
    <n v="24"/>
    <n v="2"/>
    <n v="3"/>
    <n v="27"/>
    <n v="148"/>
    <n v="1"/>
    <n v="3"/>
    <n v="1"/>
    <n v="3"/>
    <n v="6"/>
    <n v="0"/>
    <n v="0"/>
    <n v="0"/>
    <n v="0"/>
    <n v="0"/>
    <n v="0"/>
    <n v="0"/>
  </r>
  <r>
    <d v="2014-04-21T00:00:00"/>
    <n v="2534"/>
    <n v="1953"/>
    <x v="3"/>
    <s v="Graduation"/>
    <s v="Married"/>
    <n v="37716"/>
    <n v="1"/>
    <n v="4"/>
    <n v="97"/>
    <n v="1"/>
    <n v="41"/>
    <n v="6"/>
    <n v="2"/>
    <n v="41"/>
    <n v="188"/>
    <n v="2"/>
    <n v="4"/>
    <n v="1"/>
    <n v="3"/>
    <n v="7"/>
    <n v="0"/>
    <n v="0"/>
    <n v="0"/>
    <n v="0"/>
    <n v="0"/>
    <n v="0"/>
    <n v="0"/>
  </r>
  <r>
    <d v="2014-03-23T00:00:00"/>
    <n v="2130"/>
    <n v="1982"/>
    <x v="6"/>
    <s v="Graduation"/>
    <s v="Together"/>
    <n v="45203"/>
    <n v="2"/>
    <n v="4"/>
    <n v="35"/>
    <n v="3"/>
    <n v="67"/>
    <n v="10"/>
    <n v="8"/>
    <n v="24"/>
    <n v="147"/>
    <n v="1"/>
    <n v="3"/>
    <n v="1"/>
    <n v="3"/>
    <n v="6"/>
    <n v="0"/>
    <n v="0"/>
    <n v="0"/>
    <n v="0"/>
    <n v="0"/>
    <n v="1"/>
    <n v="0"/>
  </r>
  <r>
    <d v="2013-12-16T00:00:00"/>
    <n v="2296"/>
    <n v="1975"/>
    <x v="0"/>
    <s v="Master"/>
    <s v="Married"/>
    <n v="37368"/>
    <n v="1"/>
    <n v="4"/>
    <n v="3"/>
    <n v="2"/>
    <n v="11"/>
    <n v="2"/>
    <n v="2"/>
    <n v="10"/>
    <n v="30"/>
    <n v="1"/>
    <n v="1"/>
    <n v="0"/>
    <n v="2"/>
    <n v="6"/>
    <n v="1"/>
    <n v="0"/>
    <n v="0"/>
    <n v="0"/>
    <n v="0"/>
    <n v="0"/>
    <n v="0"/>
  </r>
  <r>
    <d v="2013-11-26T00:00:00"/>
    <n v="3799"/>
    <n v="1955"/>
    <x v="2"/>
    <s v="Graduation"/>
    <s v="Married"/>
    <n v="67225"/>
    <n v="1"/>
    <n v="4"/>
    <n v="315"/>
    <n v="35"/>
    <n v="322"/>
    <n v="46"/>
    <n v="7"/>
    <n v="143"/>
    <n v="868"/>
    <n v="3"/>
    <n v="7"/>
    <n v="2"/>
    <n v="11"/>
    <n v="5"/>
    <n v="0"/>
    <n v="0"/>
    <n v="0"/>
    <n v="0"/>
    <n v="0"/>
    <n v="0"/>
    <n v="0"/>
  </r>
  <r>
    <d v="2013-11-14T00:00:00"/>
    <n v="11084"/>
    <n v="1976"/>
    <x v="1"/>
    <s v="Master"/>
    <s v="Together"/>
    <n v="65104"/>
    <n v="1"/>
    <n v="4"/>
    <n v="738"/>
    <n v="0"/>
    <n v="232"/>
    <n v="13"/>
    <n v="20"/>
    <n v="50"/>
    <n v="1053"/>
    <n v="2"/>
    <n v="3"/>
    <n v="5"/>
    <n v="7"/>
    <n v="7"/>
    <n v="0"/>
    <n v="0"/>
    <n v="0"/>
    <n v="0"/>
    <n v="0"/>
    <n v="1"/>
    <n v="0"/>
  </r>
  <r>
    <d v="2013-11-14T00:00:00"/>
    <n v="5172"/>
    <n v="1976"/>
    <x v="0"/>
    <s v="Master"/>
    <s v="Together"/>
    <n v="65104"/>
    <n v="1"/>
    <n v="4"/>
    <n v="738"/>
    <n v="0"/>
    <n v="232"/>
    <n v="13"/>
    <n v="20"/>
    <n v="50"/>
    <n v="1053"/>
    <n v="2"/>
    <n v="3"/>
    <n v="5"/>
    <n v="7"/>
    <n v="7"/>
    <n v="0"/>
    <n v="0"/>
    <n v="0"/>
    <n v="0"/>
    <n v="0"/>
    <n v="0"/>
    <n v="0"/>
  </r>
  <r>
    <d v="2013-11-06T00:00:00"/>
    <n v="9504"/>
    <n v="1949"/>
    <x v="0"/>
    <s v="Master"/>
    <s v="Married"/>
    <n v="81698"/>
    <n v="0"/>
    <n v="4"/>
    <n v="179"/>
    <n v="28"/>
    <n v="520"/>
    <n v="111"/>
    <n v="123"/>
    <n v="47"/>
    <n v="1008"/>
    <n v="1"/>
    <n v="3"/>
    <n v="8"/>
    <n v="13"/>
    <n v="1"/>
    <n v="0"/>
    <n v="0"/>
    <n v="0"/>
    <n v="0"/>
    <n v="0"/>
    <n v="1"/>
    <n v="0"/>
  </r>
  <r>
    <d v="2013-10-06T00:00:00"/>
    <n v="850"/>
    <n v="1968"/>
    <x v="0"/>
    <s v="Graduation"/>
    <s v="Single"/>
    <n v="70566"/>
    <n v="1"/>
    <n v="4"/>
    <n v="381"/>
    <n v="28"/>
    <n v="215"/>
    <n v="84"/>
    <n v="28"/>
    <n v="21"/>
    <n v="757"/>
    <n v="2"/>
    <n v="6"/>
    <n v="5"/>
    <n v="9"/>
    <n v="3"/>
    <n v="0"/>
    <n v="0"/>
    <n v="0"/>
    <n v="0"/>
    <n v="0"/>
    <n v="0"/>
    <n v="0"/>
  </r>
  <r>
    <d v="2013-09-27T00:00:00"/>
    <n v="4477"/>
    <n v="1958"/>
    <x v="4"/>
    <s v="Graduation"/>
    <s v="Together"/>
    <n v="69096"/>
    <n v="1"/>
    <n v="4"/>
    <n v="247"/>
    <n v="49"/>
    <n v="159"/>
    <n v="7"/>
    <n v="82"/>
    <n v="109"/>
    <n v="653"/>
    <n v="1"/>
    <n v="5"/>
    <n v="2"/>
    <n v="10"/>
    <n v="4"/>
    <n v="0"/>
    <n v="0"/>
    <n v="0"/>
    <n v="0"/>
    <n v="0"/>
    <n v="0"/>
    <n v="0"/>
  </r>
  <r>
    <d v="2013-09-18T00:00:00"/>
    <n v="1945"/>
    <n v="1962"/>
    <x v="0"/>
    <s v="Graduation"/>
    <s v="Married"/>
    <n v="71434"/>
    <n v="1"/>
    <n v="4"/>
    <n v="711"/>
    <n v="36"/>
    <n v="217"/>
    <n v="172"/>
    <n v="96"/>
    <n v="168"/>
    <n v="1400"/>
    <n v="3"/>
    <n v="7"/>
    <n v="4"/>
    <n v="7"/>
    <n v="4"/>
    <n v="0"/>
    <n v="1"/>
    <n v="0"/>
    <n v="1"/>
    <n v="0"/>
    <n v="0"/>
    <n v="0"/>
  </r>
  <r>
    <d v="2013-09-09T00:00:00"/>
    <n v="7685"/>
    <n v="1978"/>
    <x v="0"/>
    <s v="Graduation"/>
    <s v="Married"/>
    <n v="33039"/>
    <n v="1"/>
    <n v="4"/>
    <n v="30"/>
    <n v="8"/>
    <n v="12"/>
    <n v="8"/>
    <n v="8"/>
    <n v="12"/>
    <n v="78"/>
    <n v="1"/>
    <n v="2"/>
    <n v="0"/>
    <n v="4"/>
    <n v="5"/>
    <n v="0"/>
    <n v="0"/>
    <n v="0"/>
    <n v="0"/>
    <n v="0"/>
    <n v="0"/>
    <n v="0"/>
  </r>
  <r>
    <d v="2013-09-09T00:00:00"/>
    <n v="6310"/>
    <n v="1978"/>
    <x v="1"/>
    <s v="Graduation"/>
    <s v="Married"/>
    <n v="33039"/>
    <n v="1"/>
    <n v="4"/>
    <n v="30"/>
    <n v="8"/>
    <n v="12"/>
    <n v="8"/>
    <n v="8"/>
    <n v="12"/>
    <n v="78"/>
    <n v="1"/>
    <n v="2"/>
    <n v="0"/>
    <n v="4"/>
    <n v="5"/>
    <n v="0"/>
    <n v="0"/>
    <n v="0"/>
    <n v="0"/>
    <n v="0"/>
    <n v="0"/>
    <n v="0"/>
  </r>
  <r>
    <d v="2013-07-18T00:00:00"/>
    <n v="10832"/>
    <n v="1958"/>
    <x v="0"/>
    <s v="Graduation"/>
    <s v="Together"/>
    <n v="46610"/>
    <n v="0"/>
    <n v="4"/>
    <n v="288"/>
    <n v="10"/>
    <n v="30"/>
    <n v="4"/>
    <n v="10"/>
    <n v="125"/>
    <n v="467"/>
    <n v="1"/>
    <n v="6"/>
    <n v="1"/>
    <n v="6"/>
    <n v="6"/>
    <n v="0"/>
    <n v="0"/>
    <n v="0"/>
    <n v="0"/>
    <n v="0"/>
    <n v="0"/>
    <n v="0"/>
  </r>
  <r>
    <d v="2013-07-08T00:00:00"/>
    <n v="3025"/>
    <n v="1958"/>
    <x v="1"/>
    <s v="Graduation"/>
    <s v="Single"/>
    <n v="49967"/>
    <n v="1"/>
    <n v="4"/>
    <n v="212"/>
    <n v="6"/>
    <n v="69"/>
    <n v="4"/>
    <n v="12"/>
    <n v="3"/>
    <n v="306"/>
    <n v="3"/>
    <n v="6"/>
    <n v="1"/>
    <n v="5"/>
    <n v="7"/>
    <n v="0"/>
    <n v="0"/>
    <n v="0"/>
    <n v="0"/>
    <n v="0"/>
    <n v="0"/>
    <n v="0"/>
  </r>
  <r>
    <d v="2013-05-27T00:00:00"/>
    <n v="2404"/>
    <n v="1976"/>
    <x v="2"/>
    <s v="Graduation"/>
    <s v="Married"/>
    <n v="53359"/>
    <n v="2"/>
    <n v="4"/>
    <n v="173"/>
    <n v="4"/>
    <n v="30"/>
    <n v="3"/>
    <n v="6"/>
    <n v="41"/>
    <n v="257"/>
    <n v="4"/>
    <n v="5"/>
    <n v="1"/>
    <n v="4"/>
    <n v="7"/>
    <n v="0"/>
    <n v="0"/>
    <n v="0"/>
    <n v="0"/>
    <n v="0"/>
    <n v="0"/>
    <n v="0"/>
  </r>
  <r>
    <d v="2013-03-05T00:00:00"/>
    <n v="8581"/>
    <n v="1971"/>
    <x v="0"/>
    <s v="Master"/>
    <s v="Married"/>
    <n v="49505"/>
    <n v="2"/>
    <n v="4"/>
    <n v="604"/>
    <n v="0"/>
    <n v="100"/>
    <n v="19"/>
    <n v="0"/>
    <n v="28"/>
    <n v="751"/>
    <n v="9"/>
    <n v="10"/>
    <n v="2"/>
    <n v="8"/>
    <n v="8"/>
    <n v="0"/>
    <n v="0"/>
    <n v="0"/>
    <n v="0"/>
    <n v="0"/>
    <n v="0"/>
    <n v="0"/>
  </r>
  <r>
    <d v="2013-02-20T00:00:00"/>
    <n v="8755"/>
    <n v="1946"/>
    <x v="3"/>
    <s v="Master"/>
    <s v="Married"/>
    <n v="68657"/>
    <n v="0"/>
    <n v="4"/>
    <n v="482"/>
    <n v="34"/>
    <n v="471"/>
    <n v="119"/>
    <n v="68"/>
    <n v="22"/>
    <n v="1196"/>
    <n v="1"/>
    <n v="3"/>
    <n v="5"/>
    <n v="9"/>
    <n v="7"/>
    <n v="0"/>
    <n v="0"/>
    <n v="0"/>
    <n v="0"/>
    <n v="0"/>
    <n v="0"/>
    <n v="0"/>
  </r>
  <r>
    <d v="2013-02-14T00:00:00"/>
    <n v="10177"/>
    <n v="1954"/>
    <x v="0"/>
    <s v="Graduation"/>
    <s v="Divorced"/>
    <n v="72071"/>
    <n v="1"/>
    <n v="4"/>
    <n v="531"/>
    <n v="69"/>
    <n v="300"/>
    <n v="150"/>
    <n v="138"/>
    <n v="150"/>
    <n v="1338"/>
    <n v="3"/>
    <n v="5"/>
    <n v="4"/>
    <n v="8"/>
    <n v="2"/>
    <n v="0"/>
    <n v="0"/>
    <n v="0"/>
    <n v="0"/>
    <n v="0"/>
    <n v="0"/>
    <n v="0"/>
  </r>
  <r>
    <d v="2013-02-14T00:00:00"/>
    <n v="2429"/>
    <n v="1954"/>
    <x v="1"/>
    <s v="Graduation"/>
    <s v="Divorced"/>
    <n v="72071"/>
    <n v="1"/>
    <n v="4"/>
    <n v="531"/>
    <n v="69"/>
    <n v="300"/>
    <n v="150"/>
    <n v="138"/>
    <n v="150"/>
    <n v="1338"/>
    <n v="3"/>
    <n v="5"/>
    <n v="4"/>
    <n v="8"/>
    <n v="2"/>
    <n v="0"/>
    <n v="0"/>
    <n v="0"/>
    <n v="0"/>
    <n v="0"/>
    <n v="0"/>
    <n v="0"/>
  </r>
  <r>
    <d v="2013-01-12T00:00:00"/>
    <n v="8920"/>
    <n v="1967"/>
    <x v="5"/>
    <s v="Master"/>
    <s v="Single"/>
    <n v="59235"/>
    <n v="1"/>
    <n v="4"/>
    <n v="448"/>
    <n v="40"/>
    <n v="469"/>
    <n v="80"/>
    <n v="0"/>
    <n v="91"/>
    <n v="1128"/>
    <n v="3"/>
    <n v="11"/>
    <n v="2"/>
    <n v="12"/>
    <n v="7"/>
    <n v="0"/>
    <n v="0"/>
    <n v="0"/>
    <n v="0"/>
    <n v="0"/>
    <n v="0"/>
    <n v="0"/>
  </r>
  <r>
    <d v="2012-12-24T00:00:00"/>
    <n v="8430"/>
    <n v="1957"/>
    <x v="3"/>
    <s v="Graduation"/>
    <s v="Together"/>
    <n v="21994"/>
    <n v="1"/>
    <n v="4"/>
    <n v="9"/>
    <n v="0"/>
    <n v="6"/>
    <n v="3"/>
    <n v="1"/>
    <n v="3"/>
    <n v="22"/>
    <n v="1"/>
    <n v="0"/>
    <n v="0"/>
    <n v="3"/>
    <n v="5"/>
    <n v="0"/>
    <n v="0"/>
    <n v="0"/>
    <n v="0"/>
    <n v="0"/>
    <n v="0"/>
    <n v="0"/>
  </r>
  <r>
    <d v="2012-12-24T00:00:00"/>
    <n v="8619"/>
    <n v="1957"/>
    <x v="0"/>
    <s v="Graduation"/>
    <s v="Together"/>
    <n v="21994"/>
    <n v="1"/>
    <n v="4"/>
    <n v="9"/>
    <n v="0"/>
    <n v="6"/>
    <n v="3"/>
    <n v="1"/>
    <n v="3"/>
    <n v="22"/>
    <n v="1"/>
    <n v="0"/>
    <n v="0"/>
    <n v="3"/>
    <n v="5"/>
    <n v="0"/>
    <n v="0"/>
    <n v="0"/>
    <n v="0"/>
    <n v="0"/>
    <n v="0"/>
    <n v="0"/>
  </r>
  <r>
    <d v="2012-11-19T00:00:00"/>
    <n v="8996"/>
    <n v="1957"/>
    <x v="4"/>
    <s v="PhD"/>
    <s v="Married"/>
    <n v="53790.45"/>
    <n v="3"/>
    <n v="4"/>
    <n v="230"/>
    <n v="42"/>
    <n v="192"/>
    <n v="49"/>
    <n v="37"/>
    <n v="53"/>
    <n v="603"/>
    <n v="12"/>
    <n v="7"/>
    <n v="2"/>
    <n v="8"/>
    <n v="9"/>
    <n v="0"/>
    <n v="0"/>
    <n v="0"/>
    <n v="0"/>
    <n v="0"/>
    <n v="0"/>
    <n v="0"/>
  </r>
  <r>
    <d v="2012-09-17T00:00:00"/>
    <n v="7233"/>
    <n v="1972"/>
    <x v="1"/>
    <s v="Graduation"/>
    <s v="Married"/>
    <n v="69209"/>
    <n v="0"/>
    <n v="4"/>
    <n v="496"/>
    <n v="32"/>
    <n v="849"/>
    <n v="229"/>
    <n v="48"/>
    <n v="128"/>
    <n v="1782"/>
    <n v="2"/>
    <n v="5"/>
    <n v="3"/>
    <n v="6"/>
    <n v="4"/>
    <n v="0"/>
    <n v="0"/>
    <n v="0"/>
    <n v="1"/>
    <n v="0"/>
    <n v="0"/>
    <n v="0"/>
  </r>
  <r>
    <d v="2014-03-28T00:00:00"/>
    <n v="6678"/>
    <n v="1989"/>
    <x v="5"/>
    <s v="Graduation"/>
    <s v="Together"/>
    <n v="31928"/>
    <n v="1"/>
    <n v="5"/>
    <n v="33"/>
    <n v="4"/>
    <n v="24"/>
    <n v="4"/>
    <n v="2"/>
    <n v="5"/>
    <n v="72"/>
    <n v="2"/>
    <n v="3"/>
    <n v="0"/>
    <n v="4"/>
    <n v="7"/>
    <n v="0"/>
    <n v="0"/>
    <n v="0"/>
    <n v="0"/>
    <n v="0"/>
    <n v="0"/>
    <n v="0"/>
  </r>
  <r>
    <d v="2014-02-24T00:00:00"/>
    <n v="830"/>
    <n v="1987"/>
    <x v="5"/>
    <s v="PhD"/>
    <s v="Single"/>
    <n v="74004"/>
    <n v="0"/>
    <n v="5"/>
    <n v="784"/>
    <n v="48"/>
    <n v="560"/>
    <n v="42"/>
    <n v="176"/>
    <n v="48"/>
    <n v="1658"/>
    <n v="1"/>
    <n v="4"/>
    <n v="6"/>
    <n v="4"/>
    <n v="3"/>
    <n v="0"/>
    <n v="0"/>
    <n v="1"/>
    <n v="1"/>
    <n v="0"/>
    <n v="1"/>
    <n v="0"/>
  </r>
  <r>
    <d v="2013-09-02T00:00:00"/>
    <n v="6365"/>
    <n v="1987"/>
    <x v="5"/>
    <s v="2n Cycle"/>
    <s v="Married"/>
    <n v="30390"/>
    <n v="0"/>
    <n v="5"/>
    <n v="10"/>
    <n v="12"/>
    <n v="12"/>
    <n v="25"/>
    <n v="1"/>
    <n v="20"/>
    <n v="80"/>
    <n v="1"/>
    <n v="2"/>
    <n v="0"/>
    <n v="3"/>
    <n v="6"/>
    <n v="0"/>
    <n v="0"/>
    <n v="0"/>
    <n v="0"/>
    <n v="0"/>
    <n v="0"/>
    <n v="0"/>
  </r>
  <r>
    <d v="2013-08-20T00:00:00"/>
    <n v="6770"/>
    <n v="1985"/>
    <x v="2"/>
    <s v="Graduation"/>
    <s v="Married"/>
    <n v="21355"/>
    <n v="1"/>
    <n v="5"/>
    <n v="5"/>
    <n v="13"/>
    <n v="14"/>
    <n v="0"/>
    <n v="5"/>
    <n v="31"/>
    <n v="68"/>
    <n v="2"/>
    <n v="2"/>
    <n v="1"/>
    <n v="2"/>
    <n v="6"/>
    <n v="1"/>
    <n v="0"/>
    <n v="0"/>
    <n v="0"/>
    <n v="0"/>
    <n v="1"/>
    <n v="0"/>
  </r>
  <r>
    <d v="2013-06-23T00:00:00"/>
    <n v="2261"/>
    <n v="1969"/>
    <x v="4"/>
    <s v="Graduation"/>
    <s v="Married"/>
    <n v="26304"/>
    <n v="1"/>
    <n v="5"/>
    <n v="4"/>
    <n v="1"/>
    <n v="5"/>
    <n v="2"/>
    <n v="0"/>
    <n v="4"/>
    <n v="16"/>
    <n v="1"/>
    <n v="1"/>
    <n v="0"/>
    <n v="2"/>
    <n v="7"/>
    <n v="0"/>
    <n v="0"/>
    <n v="0"/>
    <n v="0"/>
    <n v="0"/>
    <n v="0"/>
    <n v="0"/>
  </r>
  <r>
    <d v="2013-05-05T00:00:00"/>
    <n v="1031"/>
    <n v="1989"/>
    <x v="5"/>
    <s v="2n Cycle"/>
    <s v="Married"/>
    <n v="85710"/>
    <n v="0"/>
    <n v="5"/>
    <n v="600"/>
    <n v="20"/>
    <n v="350"/>
    <n v="29"/>
    <n v="30"/>
    <n v="33"/>
    <n v="1062"/>
    <n v="1"/>
    <n v="6"/>
    <n v="9"/>
    <n v="10"/>
    <n v="2"/>
    <n v="0"/>
    <n v="0"/>
    <n v="1"/>
    <n v="0"/>
    <n v="0"/>
    <n v="0"/>
    <n v="0"/>
  </r>
  <r>
    <d v="2013-04-05T00:00:00"/>
    <n v="10089"/>
    <n v="1974"/>
    <x v="6"/>
    <s v="Graduation"/>
    <s v="Divorced"/>
    <n v="102692"/>
    <n v="0"/>
    <n v="5"/>
    <n v="168"/>
    <n v="148"/>
    <n v="444"/>
    <n v="32"/>
    <n v="172"/>
    <n v="148"/>
    <n v="1112"/>
    <n v="1"/>
    <n v="6"/>
    <n v="9"/>
    <n v="13"/>
    <n v="2"/>
    <n v="0"/>
    <n v="1"/>
    <n v="1"/>
    <n v="1"/>
    <n v="1"/>
    <n v="1"/>
    <n v="0"/>
  </r>
  <r>
    <d v="2013-01-04T00:00:00"/>
    <n v="9256"/>
    <n v="1971"/>
    <x v="0"/>
    <s v="Graduation"/>
    <s v="Single"/>
    <n v="58350"/>
    <n v="1"/>
    <n v="5"/>
    <n v="493"/>
    <n v="26"/>
    <n v="206"/>
    <n v="116"/>
    <n v="80"/>
    <n v="80"/>
    <n v="1001"/>
    <n v="4"/>
    <n v="8"/>
    <n v="3"/>
    <n v="12"/>
    <n v="6"/>
    <n v="0"/>
    <n v="0"/>
    <n v="0"/>
    <n v="0"/>
    <n v="0"/>
    <n v="0"/>
    <n v="0"/>
  </r>
  <r>
    <d v="2012-12-27T00:00:00"/>
    <n v="10641"/>
    <n v="1978"/>
    <x v="0"/>
    <s v="Graduation"/>
    <s v="Single"/>
    <n v="7500"/>
    <n v="2"/>
    <n v="5"/>
    <n v="6"/>
    <n v="5"/>
    <n v="4"/>
    <n v="13"/>
    <n v="4"/>
    <n v="25"/>
    <n v="57"/>
    <n v="4"/>
    <n v="2"/>
    <n v="1"/>
    <n v="3"/>
    <n v="6"/>
    <n v="0"/>
    <n v="0"/>
    <n v="0"/>
    <n v="0"/>
    <n v="0"/>
    <n v="0"/>
    <n v="0"/>
  </r>
  <r>
    <d v="2012-11-10T00:00:00"/>
    <n v="624"/>
    <n v="1984"/>
    <x v="6"/>
    <s v="Master"/>
    <s v="Single"/>
    <n v="18890"/>
    <n v="0"/>
    <n v="5"/>
    <n v="6"/>
    <n v="4"/>
    <n v="1"/>
    <n v="7"/>
    <n v="2"/>
    <n v="15"/>
    <n v="35"/>
    <n v="1"/>
    <n v="0"/>
    <n v="1"/>
    <n v="2"/>
    <n v="6"/>
    <n v="1"/>
    <n v="0"/>
    <n v="0"/>
    <n v="0"/>
    <n v="0"/>
    <n v="1"/>
    <n v="0"/>
  </r>
  <r>
    <d v="2012-10-29T00:00:00"/>
    <n v="4211"/>
    <n v="1986"/>
    <x v="1"/>
    <s v="Basic"/>
    <s v="Married"/>
    <n v="20425"/>
    <n v="1"/>
    <n v="5"/>
    <n v="4"/>
    <n v="12"/>
    <n v="5"/>
    <n v="3"/>
    <n v="16"/>
    <n v="17"/>
    <n v="57"/>
    <n v="2"/>
    <n v="2"/>
    <n v="0"/>
    <n v="3"/>
    <n v="7"/>
    <n v="0"/>
    <n v="0"/>
    <n v="0"/>
    <n v="0"/>
    <n v="0"/>
    <n v="0"/>
    <n v="0"/>
  </r>
  <r>
    <d v="2012-10-29T00:00:00"/>
    <n v="1407"/>
    <n v="1986"/>
    <x v="4"/>
    <s v="Basic"/>
    <s v="Married"/>
    <n v="20425"/>
    <n v="1"/>
    <n v="5"/>
    <n v="4"/>
    <n v="12"/>
    <n v="5"/>
    <n v="3"/>
    <n v="16"/>
    <n v="17"/>
    <n v="57"/>
    <n v="2"/>
    <n v="2"/>
    <n v="0"/>
    <n v="3"/>
    <n v="7"/>
    <n v="0"/>
    <n v="0"/>
    <n v="0"/>
    <n v="0"/>
    <n v="0"/>
    <n v="0"/>
    <n v="0"/>
  </r>
  <r>
    <d v="2012-09-22T00:00:00"/>
    <n v="10356"/>
    <n v="1957"/>
    <x v="0"/>
    <s v="PhD"/>
    <s v="Divorced"/>
    <n v="41437"/>
    <n v="2"/>
    <n v="5"/>
    <n v="29"/>
    <n v="0"/>
    <n v="2"/>
    <n v="0"/>
    <n v="0"/>
    <n v="1"/>
    <n v="32"/>
    <n v="1"/>
    <n v="1"/>
    <n v="0"/>
    <n v="3"/>
    <n v="7"/>
    <n v="0"/>
    <n v="0"/>
    <n v="0"/>
    <n v="0"/>
    <n v="0"/>
    <n v="0"/>
    <n v="0"/>
  </r>
  <r>
    <d v="2012-09-07T00:00:00"/>
    <n v="9323"/>
    <n v="1949"/>
    <x v="7"/>
    <s v="Master"/>
    <s v="Together"/>
    <n v="49912"/>
    <n v="1"/>
    <n v="5"/>
    <n v="520"/>
    <n v="8"/>
    <n v="223"/>
    <n v="32"/>
    <n v="49"/>
    <n v="42"/>
    <n v="874"/>
    <n v="4"/>
    <n v="10"/>
    <n v="5"/>
    <n v="7"/>
    <n v="8"/>
    <n v="1"/>
    <n v="0"/>
    <n v="0"/>
    <n v="0"/>
    <n v="0"/>
    <n v="1"/>
    <n v="0"/>
  </r>
  <r>
    <d v="2012-09-07T00:00:00"/>
    <n v="1146"/>
    <n v="1949"/>
    <x v="3"/>
    <s v="Master"/>
    <s v="Together"/>
    <n v="49912"/>
    <n v="1"/>
    <n v="5"/>
    <n v="520"/>
    <n v="8"/>
    <n v="223"/>
    <n v="32"/>
    <n v="49"/>
    <n v="42"/>
    <n v="874"/>
    <n v="4"/>
    <n v="10"/>
    <n v="5"/>
    <n v="7"/>
    <n v="8"/>
    <n v="1"/>
    <n v="0"/>
    <n v="0"/>
    <n v="0"/>
    <n v="0"/>
    <n v="1"/>
    <n v="0"/>
  </r>
  <r>
    <d v="2014-03-31T00:00:00"/>
    <n v="6343"/>
    <n v="1959"/>
    <x v="3"/>
    <s v="Graduation"/>
    <s v="Married"/>
    <n v="79823"/>
    <n v="1"/>
    <n v="6"/>
    <n v="835"/>
    <n v="73"/>
    <n v="380"/>
    <n v="114"/>
    <n v="73"/>
    <n v="43"/>
    <n v="1518"/>
    <n v="1"/>
    <n v="6"/>
    <n v="9"/>
    <n v="7"/>
    <n v="2"/>
    <n v="0"/>
    <n v="1"/>
    <n v="0"/>
    <n v="0"/>
    <n v="0"/>
    <n v="0"/>
    <n v="0"/>
  </r>
  <r>
    <d v="2014-03-21T00:00:00"/>
    <n v="8545"/>
    <n v="1954"/>
    <x v="0"/>
    <s v="Graduation"/>
    <s v="Divorced"/>
    <n v="85683"/>
    <n v="0"/>
    <n v="6"/>
    <n v="1296"/>
    <n v="17"/>
    <n v="311"/>
    <n v="45"/>
    <n v="69"/>
    <n v="51"/>
    <n v="1789"/>
    <n v="1"/>
    <n v="2"/>
    <n v="4"/>
    <n v="10"/>
    <n v="1"/>
    <n v="0"/>
    <n v="1"/>
    <n v="1"/>
    <n v="1"/>
    <n v="1"/>
    <n v="1"/>
    <n v="0"/>
  </r>
  <r>
    <d v="2014-02-09T00:00:00"/>
    <n v="8275"/>
    <n v="1965"/>
    <x v="0"/>
    <s v="PhD"/>
    <s v="Divorced"/>
    <n v="47025"/>
    <n v="2"/>
    <n v="6"/>
    <n v="16"/>
    <n v="0"/>
    <n v="3"/>
    <n v="0"/>
    <n v="0"/>
    <n v="1"/>
    <n v="20"/>
    <n v="1"/>
    <n v="1"/>
    <n v="0"/>
    <n v="2"/>
    <n v="7"/>
    <n v="0"/>
    <n v="0"/>
    <n v="0"/>
    <n v="0"/>
    <n v="0"/>
    <n v="0"/>
    <n v="0"/>
  </r>
  <r>
    <d v="2013-11-17T00:00:00"/>
    <n v="10673"/>
    <n v="1976"/>
    <x v="6"/>
    <s v="PhD"/>
    <s v="Married"/>
    <n v="68397"/>
    <n v="1"/>
    <n v="6"/>
    <n v="760"/>
    <n v="80"/>
    <n v="466"/>
    <n v="17"/>
    <n v="13"/>
    <n v="80"/>
    <n v="1416"/>
    <n v="1"/>
    <n v="6"/>
    <n v="9"/>
    <n v="5"/>
    <n v="3"/>
    <n v="0"/>
    <n v="0"/>
    <n v="0"/>
    <n v="0"/>
    <n v="0"/>
    <n v="0"/>
    <n v="0"/>
  </r>
  <r>
    <d v="2013-09-23T00:00:00"/>
    <n v="8799"/>
    <n v="1984"/>
    <x v="0"/>
    <s v="PhD"/>
    <s v="Married"/>
    <n v="38175"/>
    <n v="1"/>
    <n v="6"/>
    <n v="70"/>
    <n v="6"/>
    <n v="69"/>
    <n v="2"/>
    <n v="3"/>
    <n v="3"/>
    <n v="153"/>
    <n v="3"/>
    <n v="3"/>
    <n v="1"/>
    <n v="4"/>
    <n v="7"/>
    <n v="0"/>
    <n v="0"/>
    <n v="0"/>
    <n v="0"/>
    <n v="0"/>
    <n v="0"/>
    <n v="0"/>
  </r>
  <r>
    <d v="2013-09-18T00:00:00"/>
    <n v="67"/>
    <n v="1972"/>
    <x v="0"/>
    <s v="Master"/>
    <s v="Single"/>
    <n v="46423"/>
    <n v="2"/>
    <n v="6"/>
    <n v="68"/>
    <n v="0"/>
    <n v="16"/>
    <n v="0"/>
    <n v="0"/>
    <n v="8"/>
    <n v="92"/>
    <n v="3"/>
    <n v="2"/>
    <n v="0"/>
    <n v="4"/>
    <n v="7"/>
    <n v="0"/>
    <n v="0"/>
    <n v="0"/>
    <n v="0"/>
    <n v="0"/>
    <n v="0"/>
    <n v="0"/>
  </r>
  <r>
    <d v="2013-09-18T00:00:00"/>
    <n v="9923"/>
    <n v="1972"/>
    <x v="0"/>
    <s v="Master"/>
    <s v="Single"/>
    <n v="46423"/>
    <n v="2"/>
    <n v="6"/>
    <n v="68"/>
    <n v="0"/>
    <n v="16"/>
    <n v="0"/>
    <n v="0"/>
    <n v="8"/>
    <n v="92"/>
    <n v="3"/>
    <n v="2"/>
    <n v="0"/>
    <n v="4"/>
    <n v="7"/>
    <n v="0"/>
    <n v="0"/>
    <n v="0"/>
    <n v="0"/>
    <n v="0"/>
    <n v="0"/>
    <n v="0"/>
  </r>
  <r>
    <d v="2013-06-27T00:00:00"/>
    <n v="2814"/>
    <n v="1976"/>
    <x v="6"/>
    <s v="Master"/>
    <s v="Together"/>
    <n v="30560"/>
    <n v="1"/>
    <n v="6"/>
    <n v="9"/>
    <n v="1"/>
    <n v="5"/>
    <n v="4"/>
    <n v="5"/>
    <n v="7"/>
    <n v="31"/>
    <n v="1"/>
    <n v="1"/>
    <n v="0"/>
    <n v="3"/>
    <n v="7"/>
    <n v="0"/>
    <n v="0"/>
    <n v="0"/>
    <n v="0"/>
    <n v="0"/>
    <n v="0"/>
    <n v="0"/>
  </r>
  <r>
    <d v="2013-06-27T00:00:00"/>
    <n v="2711"/>
    <n v="1976"/>
    <x v="1"/>
    <s v="Master"/>
    <s v="Together"/>
    <n v="30560"/>
    <n v="1"/>
    <n v="6"/>
    <n v="9"/>
    <n v="1"/>
    <n v="5"/>
    <n v="4"/>
    <n v="5"/>
    <n v="7"/>
    <n v="31"/>
    <n v="1"/>
    <n v="1"/>
    <n v="0"/>
    <n v="3"/>
    <n v="7"/>
    <n v="0"/>
    <n v="0"/>
    <n v="0"/>
    <n v="0"/>
    <n v="0"/>
    <n v="0"/>
    <n v="0"/>
  </r>
  <r>
    <d v="2013-03-28T00:00:00"/>
    <n v="4320"/>
    <n v="1979"/>
    <x v="0"/>
    <s v="Graduation"/>
    <s v="Single"/>
    <n v="60152"/>
    <n v="1"/>
    <n v="6"/>
    <n v="325"/>
    <n v="83"/>
    <n v="300"/>
    <n v="86"/>
    <n v="58"/>
    <n v="91"/>
    <n v="943"/>
    <n v="1"/>
    <n v="6"/>
    <n v="4"/>
    <n v="12"/>
    <n v="3"/>
    <n v="0"/>
    <n v="0"/>
    <n v="0"/>
    <n v="0"/>
    <n v="0"/>
    <n v="0"/>
    <n v="0"/>
  </r>
  <r>
    <d v="2013-03-12T00:00:00"/>
    <n v="10451"/>
    <n v="1965"/>
    <x v="6"/>
    <s v="Graduation"/>
    <s v="Together"/>
    <n v="29672"/>
    <n v="2"/>
    <n v="6"/>
    <n v="9"/>
    <n v="1"/>
    <n v="3"/>
    <n v="0"/>
    <n v="4"/>
    <n v="8"/>
    <n v="25"/>
    <n v="1"/>
    <n v="0"/>
    <n v="0"/>
    <n v="3"/>
    <n v="6"/>
    <n v="0"/>
    <n v="0"/>
    <n v="0"/>
    <n v="0"/>
    <n v="0"/>
    <n v="0"/>
    <n v="0"/>
  </r>
  <r>
    <d v="2013-03-12T00:00:00"/>
    <n v="4198"/>
    <n v="1965"/>
    <x v="0"/>
    <s v="Graduation"/>
    <s v="Together"/>
    <n v="29672"/>
    <n v="2"/>
    <n v="6"/>
    <n v="9"/>
    <n v="1"/>
    <n v="3"/>
    <n v="0"/>
    <n v="4"/>
    <n v="8"/>
    <n v="25"/>
    <n v="1"/>
    <n v="0"/>
    <n v="0"/>
    <n v="3"/>
    <n v="6"/>
    <n v="0"/>
    <n v="0"/>
    <n v="0"/>
    <n v="0"/>
    <n v="0"/>
    <n v="0"/>
    <n v="0"/>
  </r>
  <r>
    <d v="2013-01-16T00:00:00"/>
    <n v="10814"/>
    <n v="1947"/>
    <x v="0"/>
    <s v="Graduation"/>
    <s v="Together"/>
    <n v="70321"/>
    <n v="0"/>
    <n v="6"/>
    <n v="303"/>
    <n v="23"/>
    <n v="751"/>
    <n v="82"/>
    <n v="26"/>
    <n v="191"/>
    <n v="1376"/>
    <n v="1"/>
    <n v="6"/>
    <n v="5"/>
    <n v="13"/>
    <n v="4"/>
    <n v="0"/>
    <n v="0"/>
    <n v="0"/>
    <n v="0"/>
    <n v="0"/>
    <n v="1"/>
    <n v="0"/>
  </r>
  <r>
    <d v="2013-01-08T00:00:00"/>
    <n v="944"/>
    <n v="1962"/>
    <x v="0"/>
    <s v="Graduation"/>
    <s v="Married"/>
    <n v="56181"/>
    <n v="1"/>
    <n v="6"/>
    <n v="121"/>
    <n v="103"/>
    <n v="69"/>
    <n v="8"/>
    <n v="44"/>
    <n v="48"/>
    <n v="393"/>
    <n v="1"/>
    <n v="4"/>
    <n v="2"/>
    <n v="7"/>
    <n v="4"/>
    <n v="0"/>
    <n v="0"/>
    <n v="0"/>
    <n v="0"/>
    <n v="0"/>
    <n v="0"/>
    <n v="0"/>
  </r>
  <r>
    <d v="2012-12-29T00:00:00"/>
    <n v="8151"/>
    <n v="1990"/>
    <x v="0"/>
    <s v="Basic"/>
    <s v="Married"/>
    <n v="24279"/>
    <n v="0"/>
    <n v="6"/>
    <n v="16"/>
    <n v="36"/>
    <n v="21"/>
    <n v="20"/>
    <n v="62"/>
    <n v="108"/>
    <n v="263"/>
    <n v="1"/>
    <n v="4"/>
    <n v="1"/>
    <n v="3"/>
    <n v="8"/>
    <n v="0"/>
    <n v="0"/>
    <n v="0"/>
    <n v="0"/>
    <n v="0"/>
    <n v="0"/>
    <n v="0"/>
  </r>
  <r>
    <d v="2012-12-12T00:00:00"/>
    <n v="6184"/>
    <n v="1969"/>
    <x v="0"/>
    <s v="PhD"/>
    <s v="Married"/>
    <n v="68462"/>
    <n v="0"/>
    <n v="6"/>
    <n v="561"/>
    <n v="64"/>
    <n v="785"/>
    <n v="84"/>
    <n v="128"/>
    <n v="48"/>
    <n v="1670"/>
    <n v="1"/>
    <n v="3"/>
    <n v="3"/>
    <n v="8"/>
    <n v="1"/>
    <n v="0"/>
    <n v="0"/>
    <n v="0"/>
    <n v="0"/>
    <n v="0"/>
    <n v="0"/>
    <n v="0"/>
  </r>
  <r>
    <d v="2012-11-25T00:00:00"/>
    <n v="3498"/>
    <n v="1976"/>
    <x v="0"/>
    <s v="PhD"/>
    <s v="Married"/>
    <n v="55424"/>
    <n v="1"/>
    <n v="6"/>
    <n v="462"/>
    <n v="61"/>
    <n v="184"/>
    <n v="10"/>
    <n v="53"/>
    <n v="107"/>
    <n v="877"/>
    <n v="4"/>
    <n v="7"/>
    <n v="5"/>
    <n v="9"/>
    <n v="6"/>
    <n v="1"/>
    <n v="0"/>
    <n v="0"/>
    <n v="0"/>
    <n v="0"/>
    <n v="1"/>
    <n v="0"/>
  </r>
  <r>
    <d v="2012-09-21T00:00:00"/>
    <n v="2870"/>
    <n v="1973"/>
    <x v="0"/>
    <s v="Graduation"/>
    <s v="Married"/>
    <n v="49094"/>
    <n v="1"/>
    <n v="6"/>
    <n v="376"/>
    <n v="0"/>
    <n v="38"/>
    <n v="11"/>
    <n v="8"/>
    <n v="69"/>
    <n v="502"/>
    <n v="5"/>
    <n v="6"/>
    <n v="3"/>
    <n v="6"/>
    <n v="6"/>
    <n v="0"/>
    <n v="0"/>
    <n v="0"/>
    <n v="0"/>
    <n v="0"/>
    <n v="0"/>
    <n v="0"/>
  </r>
  <r>
    <d v="2012-09-09T00:00:00"/>
    <n v="7342"/>
    <n v="1961"/>
    <x v="0"/>
    <s v="2n Cycle"/>
    <s v="Widow"/>
    <n v="59184"/>
    <n v="1"/>
    <n v="6"/>
    <n v="341"/>
    <n v="142"/>
    <n v="113"/>
    <n v="259"/>
    <n v="151"/>
    <n v="66"/>
    <n v="1072"/>
    <n v="3"/>
    <n v="6"/>
    <n v="6"/>
    <n v="12"/>
    <n v="5"/>
    <n v="0"/>
    <n v="0"/>
    <n v="0"/>
    <n v="0"/>
    <n v="0"/>
    <n v="0"/>
    <n v="0"/>
  </r>
  <r>
    <d v="2012-09-05T00:00:00"/>
    <n v="1911"/>
    <n v="1987"/>
    <x v="4"/>
    <s v="Graduation"/>
    <s v="Together"/>
    <n v="67430"/>
    <n v="0"/>
    <n v="6"/>
    <n v="595"/>
    <n v="97"/>
    <n v="291"/>
    <n v="127"/>
    <n v="133"/>
    <n v="121"/>
    <n v="1364"/>
    <n v="1"/>
    <n v="11"/>
    <n v="5"/>
    <n v="12"/>
    <n v="6"/>
    <n v="0"/>
    <n v="0"/>
    <n v="0"/>
    <n v="0"/>
    <n v="0"/>
    <n v="0"/>
    <n v="0"/>
  </r>
  <r>
    <d v="2012-08-17T00:00:00"/>
    <n v="10862"/>
    <n v="1960"/>
    <x v="0"/>
    <s v="Master"/>
    <s v="Married"/>
    <n v="30522"/>
    <n v="1"/>
    <n v="6"/>
    <n v="179"/>
    <n v="8"/>
    <n v="83"/>
    <n v="19"/>
    <n v="11"/>
    <n v="26"/>
    <n v="326"/>
    <n v="5"/>
    <n v="1"/>
    <n v="2"/>
    <n v="9"/>
    <n v="2"/>
    <n v="0"/>
    <n v="0"/>
    <n v="0"/>
    <n v="0"/>
    <n v="0"/>
    <n v="0"/>
    <n v="0"/>
  </r>
  <r>
    <d v="2014-06-22T00:00:00"/>
    <n v="2546"/>
    <n v="1977"/>
    <x v="0"/>
    <s v="2n Cycle"/>
    <s v="Single"/>
    <n v="31878"/>
    <n v="1"/>
    <n v="7"/>
    <n v="23"/>
    <n v="4"/>
    <n v="5"/>
    <n v="10"/>
    <n v="5"/>
    <n v="23"/>
    <n v="70"/>
    <n v="1"/>
    <n v="1"/>
    <n v="0"/>
    <n v="4"/>
    <n v="3"/>
    <n v="0"/>
    <n v="0"/>
    <n v="0"/>
    <n v="0"/>
    <n v="0"/>
    <n v="0"/>
    <n v="0"/>
  </r>
  <r>
    <d v="2014-05-01T00:00:00"/>
    <n v="3005"/>
    <n v="1992"/>
    <x v="0"/>
    <s v="Graduation"/>
    <s v="Single"/>
    <n v="83528"/>
    <n v="0"/>
    <n v="7"/>
    <n v="530"/>
    <n v="117"/>
    <n v="678"/>
    <n v="134"/>
    <n v="44"/>
    <n v="147"/>
    <n v="1650"/>
    <n v="1"/>
    <n v="4"/>
    <n v="10"/>
    <n v="8"/>
    <n v="1"/>
    <n v="1"/>
    <n v="0"/>
    <n v="0"/>
    <n v="1"/>
    <n v="0"/>
    <n v="1"/>
    <n v="0"/>
  </r>
  <r>
    <d v="2014-01-03T00:00:00"/>
    <n v="8318"/>
    <n v="1979"/>
    <x v="0"/>
    <s v="Graduation"/>
    <s v="Together"/>
    <n v="90300"/>
    <n v="0"/>
    <n v="7"/>
    <n v="594"/>
    <n v="134"/>
    <n v="786"/>
    <n v="33"/>
    <n v="134"/>
    <n v="57"/>
    <n v="1738"/>
    <n v="0"/>
    <n v="5"/>
    <n v="6"/>
    <n v="8"/>
    <n v="1"/>
    <n v="0"/>
    <n v="0"/>
    <n v="1"/>
    <n v="0"/>
    <n v="0"/>
    <n v="0"/>
    <n v="0"/>
  </r>
  <r>
    <d v="2013-12-16T00:00:00"/>
    <n v="2930"/>
    <n v="1978"/>
    <x v="6"/>
    <s v="Master"/>
    <s v="Single"/>
    <n v="68092"/>
    <n v="0"/>
    <n v="7"/>
    <n v="852"/>
    <n v="60"/>
    <n v="207"/>
    <n v="78"/>
    <n v="36"/>
    <n v="48"/>
    <n v="1281"/>
    <n v="2"/>
    <n v="2"/>
    <n v="6"/>
    <n v="10"/>
    <n v="5"/>
    <n v="0"/>
    <n v="0"/>
    <n v="0"/>
    <n v="0"/>
    <n v="0"/>
    <n v="0"/>
    <n v="0"/>
  </r>
  <r>
    <d v="2013-10-11T00:00:00"/>
    <n v="8216"/>
    <n v="1972"/>
    <x v="3"/>
    <s v="Master"/>
    <s v="Married"/>
    <n v="53761"/>
    <n v="2"/>
    <n v="7"/>
    <n v="158"/>
    <n v="0"/>
    <n v="76"/>
    <n v="13"/>
    <n v="7"/>
    <n v="71"/>
    <n v="325"/>
    <n v="6"/>
    <n v="4"/>
    <n v="4"/>
    <n v="3"/>
    <n v="5"/>
    <n v="0"/>
    <n v="0"/>
    <n v="0"/>
    <n v="0"/>
    <n v="0"/>
    <n v="0"/>
    <n v="0"/>
  </r>
  <r>
    <d v="2013-08-13T00:00:00"/>
    <n v="1212"/>
    <n v="1973"/>
    <x v="0"/>
    <s v="Graduation"/>
    <s v="Married"/>
    <n v="52845"/>
    <n v="1"/>
    <n v="7"/>
    <n v="384"/>
    <n v="25"/>
    <n v="292"/>
    <n v="130"/>
    <n v="41"/>
    <n v="64"/>
    <n v="936"/>
    <n v="3"/>
    <n v="8"/>
    <n v="8"/>
    <n v="6"/>
    <n v="6"/>
    <n v="1"/>
    <n v="0"/>
    <n v="0"/>
    <n v="0"/>
    <n v="0"/>
    <n v="0"/>
    <n v="0"/>
  </r>
  <r>
    <d v="2013-06-09T00:00:00"/>
    <n v="2541"/>
    <n v="1976"/>
    <x v="0"/>
    <s v="Graduation"/>
    <s v="Married"/>
    <n v="24027"/>
    <n v="1"/>
    <n v="7"/>
    <n v="14"/>
    <n v="7"/>
    <n v="11"/>
    <n v="11"/>
    <n v="0"/>
    <n v="5"/>
    <n v="48"/>
    <n v="2"/>
    <n v="2"/>
    <n v="0"/>
    <n v="3"/>
    <n v="8"/>
    <n v="0"/>
    <n v="0"/>
    <n v="0"/>
    <n v="0"/>
    <n v="0"/>
    <n v="0"/>
    <n v="0"/>
  </r>
  <r>
    <d v="2013-05-07T00:00:00"/>
    <n v="10659"/>
    <n v="1979"/>
    <x v="5"/>
    <s v="2n Cycle"/>
    <s v="Together"/>
    <n v="7500"/>
    <n v="1"/>
    <n v="7"/>
    <n v="2"/>
    <n v="8"/>
    <n v="11"/>
    <n v="3"/>
    <n v="8"/>
    <n v="21"/>
    <n v="53"/>
    <n v="4"/>
    <n v="3"/>
    <n v="2"/>
    <n v="2"/>
    <n v="7"/>
    <n v="0"/>
    <n v="0"/>
    <n v="0"/>
    <n v="0"/>
    <n v="0"/>
    <n v="0"/>
    <n v="0"/>
  </r>
  <r>
    <d v="2012-10-29T00:00:00"/>
    <n v="10905"/>
    <n v="1955"/>
    <x v="0"/>
    <s v="Graduation"/>
    <s v="Together"/>
    <n v="42586"/>
    <n v="2"/>
    <n v="7"/>
    <n v="194"/>
    <n v="2"/>
    <n v="56"/>
    <n v="0"/>
    <n v="0"/>
    <n v="0"/>
    <n v="252"/>
    <n v="5"/>
    <n v="4"/>
    <n v="1"/>
    <n v="6"/>
    <n v="8"/>
    <n v="0"/>
    <n v="0"/>
    <n v="0"/>
    <n v="0"/>
    <n v="0"/>
    <n v="1"/>
    <n v="0"/>
  </r>
  <r>
    <d v="2012-10-29T00:00:00"/>
    <n v="8910"/>
    <n v="1955"/>
    <x v="0"/>
    <s v="Graduation"/>
    <s v="Together"/>
    <n v="42586"/>
    <n v="2"/>
    <n v="7"/>
    <n v="194"/>
    <n v="2"/>
    <n v="56"/>
    <n v="0"/>
    <n v="0"/>
    <n v="0"/>
    <n v="252"/>
    <n v="5"/>
    <n v="4"/>
    <n v="1"/>
    <n v="6"/>
    <n v="8"/>
    <n v="0"/>
    <n v="0"/>
    <n v="0"/>
    <n v="0"/>
    <n v="0"/>
    <n v="1"/>
    <n v="0"/>
  </r>
  <r>
    <d v="2012-10-02T00:00:00"/>
    <n v="7349"/>
    <n v="1973"/>
    <x v="0"/>
    <s v="Basic"/>
    <s v="Together"/>
    <n v="9722"/>
    <n v="1"/>
    <n v="7"/>
    <n v="6"/>
    <n v="17"/>
    <n v="16"/>
    <n v="6"/>
    <n v="16"/>
    <n v="42"/>
    <n v="103"/>
    <n v="4"/>
    <n v="3"/>
    <n v="1"/>
    <n v="3"/>
    <n v="8"/>
    <n v="0"/>
    <n v="0"/>
    <n v="0"/>
    <n v="0"/>
    <n v="0"/>
    <n v="1"/>
    <n v="0"/>
  </r>
  <r>
    <d v="2012-09-12T00:00:00"/>
    <n v="7872"/>
    <n v="1975"/>
    <x v="0"/>
    <s v="PhD"/>
    <s v="Married"/>
    <n v="86836"/>
    <n v="0"/>
    <n v="7"/>
    <n v="179"/>
    <n v="21"/>
    <n v="273"/>
    <n v="0"/>
    <n v="21"/>
    <n v="63"/>
    <n v="557"/>
    <n v="1"/>
    <n v="6"/>
    <n v="10"/>
    <n v="6"/>
    <n v="5"/>
    <n v="1"/>
    <n v="0"/>
    <n v="1"/>
    <n v="1"/>
    <n v="0"/>
    <n v="1"/>
    <n v="0"/>
  </r>
  <r>
    <d v="2014-03-19T00:00:00"/>
    <n v="4290"/>
    <n v="1972"/>
    <x v="1"/>
    <s v="Graduation"/>
    <s v="Married"/>
    <n v="30467"/>
    <n v="1"/>
    <n v="8"/>
    <n v="1"/>
    <n v="3"/>
    <n v="8"/>
    <n v="2"/>
    <n v="5"/>
    <n v="5"/>
    <n v="24"/>
    <n v="1"/>
    <n v="1"/>
    <n v="0"/>
    <n v="2"/>
    <n v="7"/>
    <n v="0"/>
    <n v="0"/>
    <n v="0"/>
    <n v="0"/>
    <n v="0"/>
    <n v="0"/>
    <n v="0"/>
  </r>
  <r>
    <d v="2014-03-03T00:00:00"/>
    <n v="7408"/>
    <n v="1952"/>
    <x v="6"/>
    <s v="PhD"/>
    <s v="Married"/>
    <n v="54549"/>
    <n v="1"/>
    <n v="8"/>
    <n v="216"/>
    <n v="2"/>
    <n v="6"/>
    <n v="0"/>
    <n v="0"/>
    <n v="9"/>
    <n v="233"/>
    <n v="2"/>
    <n v="5"/>
    <n v="1"/>
    <n v="4"/>
    <n v="7"/>
    <n v="0"/>
    <n v="0"/>
    <n v="0"/>
    <n v="0"/>
    <n v="0"/>
    <n v="0"/>
    <n v="0"/>
  </r>
  <r>
    <d v="2014-02-22T00:00:00"/>
    <n v="9986"/>
    <n v="1982"/>
    <x v="6"/>
    <s v="Graduation"/>
    <s v="Together"/>
    <n v="19444"/>
    <n v="1"/>
    <n v="8"/>
    <n v="16"/>
    <n v="0"/>
    <n v="23"/>
    <n v="3"/>
    <n v="2"/>
    <n v="10"/>
    <n v="54"/>
    <n v="3"/>
    <n v="4"/>
    <n v="1"/>
    <n v="2"/>
    <n v="7"/>
    <n v="0"/>
    <n v="0"/>
    <n v="0"/>
    <n v="0"/>
    <n v="0"/>
    <n v="1"/>
    <n v="0"/>
  </r>
  <r>
    <d v="2014-01-24T00:00:00"/>
    <n v="8235"/>
    <n v="1956"/>
    <x v="6"/>
    <s v="Master"/>
    <s v="Together"/>
    <n v="69245"/>
    <n v="1"/>
    <n v="8"/>
    <n v="428"/>
    <n v="30"/>
    <n v="214"/>
    <n v="80"/>
    <n v="30"/>
    <n v="61"/>
    <n v="843"/>
    <n v="2"/>
    <n v="6"/>
    <n v="5"/>
    <n v="10"/>
    <n v="3"/>
    <n v="0"/>
    <n v="0"/>
    <n v="0"/>
    <n v="0"/>
    <n v="0"/>
    <n v="0"/>
    <n v="0"/>
  </r>
  <r>
    <d v="2013-12-16T00:00:00"/>
    <n v="10949"/>
    <n v="1963"/>
    <x v="0"/>
    <s v="PhD"/>
    <s v="Divorced"/>
    <n v="72968"/>
    <n v="0"/>
    <n v="8"/>
    <n v="1092"/>
    <n v="37"/>
    <n v="592"/>
    <n v="145"/>
    <n v="37"/>
    <n v="55"/>
    <n v="1958"/>
    <n v="1"/>
    <n v="5"/>
    <n v="5"/>
    <n v="8"/>
    <n v="3"/>
    <n v="0"/>
    <n v="0"/>
    <n v="0"/>
    <n v="1"/>
    <n v="0"/>
    <n v="1"/>
    <n v="0"/>
  </r>
  <r>
    <d v="2013-12-04T00:00:00"/>
    <n v="7284"/>
    <n v="1953"/>
    <x v="0"/>
    <s v="Graduation"/>
    <s v="Married"/>
    <n v="48686"/>
    <n v="3"/>
    <n v="8"/>
    <n v="10"/>
    <n v="0"/>
    <n v="7"/>
    <n v="2"/>
    <n v="0"/>
    <n v="1"/>
    <n v="20"/>
    <n v="1"/>
    <n v="1"/>
    <n v="0"/>
    <n v="2"/>
    <n v="8"/>
    <n v="0"/>
    <n v="0"/>
    <n v="0"/>
    <n v="0"/>
    <n v="0"/>
    <n v="0"/>
    <n v="0"/>
  </r>
  <r>
    <d v="2013-11-28T00:00:00"/>
    <n v="9529"/>
    <n v="1990"/>
    <x v="6"/>
    <s v="Graduation"/>
    <s v="Married"/>
    <n v="73687"/>
    <n v="0"/>
    <n v="8"/>
    <n v="559"/>
    <n v="153"/>
    <n v="503"/>
    <n v="218"/>
    <n v="13"/>
    <n v="181"/>
    <n v="1627"/>
    <n v="1"/>
    <n v="3"/>
    <n v="9"/>
    <n v="9"/>
    <n v="2"/>
    <n v="0"/>
    <n v="0"/>
    <n v="0"/>
    <n v="1"/>
    <n v="0"/>
    <n v="1"/>
    <n v="0"/>
  </r>
  <r>
    <d v="2013-11-05T00:00:00"/>
    <n v="9930"/>
    <n v="1944"/>
    <x v="1"/>
    <s v="PhD"/>
    <s v="Single"/>
    <n v="82716"/>
    <n v="0"/>
    <n v="8"/>
    <n v="606"/>
    <n v="148"/>
    <n v="228"/>
    <n v="15"/>
    <n v="148"/>
    <n v="22"/>
    <n v="1167"/>
    <n v="1"/>
    <n v="6"/>
    <n v="8"/>
    <n v="13"/>
    <n v="2"/>
    <n v="0"/>
    <n v="0"/>
    <n v="0"/>
    <n v="0"/>
    <n v="0"/>
    <n v="0"/>
    <n v="0"/>
  </r>
  <r>
    <d v="2013-10-03T00:00:00"/>
    <n v="10270"/>
    <n v="1981"/>
    <x v="4"/>
    <s v="2n Cycle"/>
    <s v="Married"/>
    <n v="35523"/>
    <n v="1"/>
    <n v="8"/>
    <n v="11"/>
    <n v="5"/>
    <n v="22"/>
    <n v="12"/>
    <n v="5"/>
    <n v="11"/>
    <n v="66"/>
    <n v="2"/>
    <n v="3"/>
    <n v="0"/>
    <n v="3"/>
    <n v="7"/>
    <n v="0"/>
    <n v="0"/>
    <n v="0"/>
    <n v="0"/>
    <n v="0"/>
    <n v="0"/>
    <n v="0"/>
  </r>
  <r>
    <d v="2013-08-09T00:00:00"/>
    <n v="760"/>
    <n v="1975"/>
    <x v="6"/>
    <s v="PhD"/>
    <s v="Divorced"/>
    <n v="60554"/>
    <n v="1"/>
    <n v="8"/>
    <n v="588"/>
    <n v="7"/>
    <n v="76"/>
    <n v="110"/>
    <n v="15"/>
    <n v="15"/>
    <n v="811"/>
    <n v="2"/>
    <n v="8"/>
    <n v="4"/>
    <n v="9"/>
    <n v="6"/>
    <n v="0"/>
    <n v="0"/>
    <n v="0"/>
    <n v="0"/>
    <n v="0"/>
    <n v="0"/>
    <n v="0"/>
  </r>
  <r>
    <d v="2013-08-07T00:00:00"/>
    <n v="5519"/>
    <n v="1956"/>
    <x v="6"/>
    <s v="Graduation"/>
    <s v="Together"/>
    <n v="64090"/>
    <n v="1"/>
    <n v="8"/>
    <n v="316"/>
    <n v="58"/>
    <n v="161"/>
    <n v="76"/>
    <n v="51"/>
    <n v="135"/>
    <n v="797"/>
    <n v="1"/>
    <n v="6"/>
    <n v="9"/>
    <n v="4"/>
    <n v="5"/>
    <n v="0"/>
    <n v="0"/>
    <n v="0"/>
    <n v="0"/>
    <n v="0"/>
    <n v="1"/>
    <n v="0"/>
  </r>
  <r>
    <d v="2013-07-17T00:00:00"/>
    <n v="232"/>
    <n v="1965"/>
    <x v="0"/>
    <s v="Graduation"/>
    <s v="Single"/>
    <n v="61559"/>
    <n v="1"/>
    <n v="8"/>
    <n v="279"/>
    <n v="83"/>
    <n v="88"/>
    <n v="32"/>
    <n v="14"/>
    <n v="34"/>
    <n v="530"/>
    <n v="1"/>
    <n v="4"/>
    <n v="2"/>
    <n v="10"/>
    <n v="3"/>
    <n v="0"/>
    <n v="0"/>
    <n v="0"/>
    <n v="0"/>
    <n v="0"/>
    <n v="0"/>
    <n v="0"/>
  </r>
  <r>
    <d v="2013-07-09T00:00:00"/>
    <n v="3009"/>
    <n v="1962"/>
    <x v="0"/>
    <s v="PhD"/>
    <s v="Widow"/>
    <n v="71670"/>
    <n v="0"/>
    <n v="8"/>
    <n v="1462"/>
    <n v="16"/>
    <n v="128"/>
    <n v="0"/>
    <n v="0"/>
    <n v="160"/>
    <n v="1766"/>
    <n v="1"/>
    <n v="5"/>
    <n v="3"/>
    <n v="6"/>
    <n v="6"/>
    <n v="0"/>
    <n v="1"/>
    <n v="1"/>
    <n v="0"/>
    <n v="1"/>
    <n v="1"/>
    <n v="0"/>
  </r>
  <r>
    <d v="2013-06-11T00:00:00"/>
    <n v="6518"/>
    <n v="1951"/>
    <x v="3"/>
    <s v="PhD"/>
    <s v="Widow"/>
    <n v="67680"/>
    <n v="1"/>
    <n v="8"/>
    <n v="546"/>
    <n v="0"/>
    <n v="48"/>
    <n v="0"/>
    <n v="6"/>
    <n v="6"/>
    <n v="606"/>
    <n v="1"/>
    <n v="7"/>
    <n v="3"/>
    <n v="8"/>
    <n v="5"/>
    <n v="0"/>
    <n v="0"/>
    <n v="0"/>
    <n v="0"/>
    <n v="0"/>
    <n v="0"/>
    <n v="0"/>
  </r>
  <r>
    <d v="2013-05-17T00:00:00"/>
    <n v="10669"/>
    <n v="1981"/>
    <x v="0"/>
    <s v="Graduation"/>
    <s v="Married"/>
    <n v="54386"/>
    <n v="1"/>
    <n v="8"/>
    <n v="277"/>
    <n v="21"/>
    <n v="64"/>
    <n v="62"/>
    <n v="21"/>
    <n v="25"/>
    <n v="470"/>
    <n v="2"/>
    <n v="3"/>
    <n v="2"/>
    <n v="10"/>
    <n v="3"/>
    <n v="0"/>
    <n v="0"/>
    <n v="0"/>
    <n v="0"/>
    <n v="0"/>
    <n v="0"/>
    <n v="0"/>
  </r>
  <r>
    <d v="2013-03-23T00:00:00"/>
    <n v="5682"/>
    <n v="1953"/>
    <x v="3"/>
    <s v="PhD"/>
    <s v="Single"/>
    <n v="64108"/>
    <n v="1"/>
    <n v="8"/>
    <n v="948"/>
    <n v="10"/>
    <n v="86"/>
    <n v="13"/>
    <n v="21"/>
    <n v="21"/>
    <n v="1099"/>
    <n v="4"/>
    <n v="6"/>
    <n v="9"/>
    <n v="11"/>
    <n v="5"/>
    <n v="0"/>
    <n v="0"/>
    <n v="0"/>
    <n v="0"/>
    <n v="0"/>
    <n v="0"/>
    <n v="0"/>
  </r>
  <r>
    <d v="2013-02-19T00:00:00"/>
    <n v="1570"/>
    <n v="1951"/>
    <x v="0"/>
    <s v="PhD"/>
    <s v="Together"/>
    <n v="69702"/>
    <n v="1"/>
    <n v="8"/>
    <n v="664"/>
    <n v="9"/>
    <n v="240"/>
    <n v="50"/>
    <n v="19"/>
    <n v="57"/>
    <n v="1039"/>
    <n v="2"/>
    <n v="7"/>
    <n v="7"/>
    <n v="10"/>
    <n v="4"/>
    <n v="0"/>
    <n v="0"/>
    <n v="0"/>
    <n v="0"/>
    <n v="0"/>
    <n v="0"/>
    <n v="0"/>
  </r>
  <r>
    <d v="2013-01-19T00:00:00"/>
    <n v="1497"/>
    <n v="1952"/>
    <x v="6"/>
    <s v="Graduation"/>
    <s v="Single"/>
    <n v="47958"/>
    <n v="1"/>
    <n v="8"/>
    <n v="268"/>
    <n v="11"/>
    <n v="88"/>
    <n v="15"/>
    <n v="3"/>
    <n v="22"/>
    <n v="407"/>
    <n v="2"/>
    <n v="6"/>
    <n v="3"/>
    <n v="5"/>
    <n v="5"/>
    <n v="0"/>
    <n v="0"/>
    <n v="0"/>
    <n v="0"/>
    <n v="0"/>
    <n v="0"/>
    <n v="0"/>
  </r>
  <r>
    <d v="2013-01-10T00:00:00"/>
    <n v="9723"/>
    <n v="1960"/>
    <x v="1"/>
    <s v="Graduation"/>
    <s v="Married"/>
    <n v="67716"/>
    <n v="1"/>
    <n v="8"/>
    <n v="530"/>
    <n v="142"/>
    <n v="217"/>
    <n v="62"/>
    <n v="9"/>
    <n v="56"/>
    <n v="1016"/>
    <n v="4"/>
    <n v="7"/>
    <n v="4"/>
    <n v="13"/>
    <n v="5"/>
    <n v="0"/>
    <n v="1"/>
    <n v="0"/>
    <n v="0"/>
    <n v="0"/>
    <n v="0"/>
    <n v="0"/>
  </r>
  <r>
    <d v="2013-01-01T00:00:00"/>
    <n v="7261"/>
    <n v="1971"/>
    <x v="0"/>
    <s v="Graduation"/>
    <s v="Together"/>
    <n v="34600"/>
    <n v="2"/>
    <n v="8"/>
    <n v="199"/>
    <n v="33"/>
    <n v="60"/>
    <n v="8"/>
    <n v="3"/>
    <n v="15"/>
    <n v="318"/>
    <n v="5"/>
    <n v="5"/>
    <n v="2"/>
    <n v="5"/>
    <n v="8"/>
    <n v="0"/>
    <n v="0"/>
    <n v="0"/>
    <n v="0"/>
    <n v="0"/>
    <n v="1"/>
    <n v="0"/>
  </r>
  <r>
    <d v="2013-01-01T00:00:00"/>
    <n v="2452"/>
    <n v="1971"/>
    <x v="0"/>
    <s v="Graduation"/>
    <s v="Together"/>
    <n v="34600"/>
    <n v="2"/>
    <n v="8"/>
    <n v="199"/>
    <n v="33"/>
    <n v="60"/>
    <n v="8"/>
    <n v="3"/>
    <n v="15"/>
    <n v="318"/>
    <n v="5"/>
    <n v="5"/>
    <n v="2"/>
    <n v="5"/>
    <n v="8"/>
    <n v="0"/>
    <n v="0"/>
    <n v="0"/>
    <n v="0"/>
    <n v="0"/>
    <n v="1"/>
    <n v="0"/>
  </r>
  <r>
    <d v="2012-12-12T00:00:00"/>
    <n v="5621"/>
    <n v="1969"/>
    <x v="0"/>
    <s v="Graduation"/>
    <s v="Married"/>
    <n v="48752"/>
    <n v="2"/>
    <n v="8"/>
    <n v="73"/>
    <n v="57"/>
    <n v="100"/>
    <n v="71"/>
    <n v="15"/>
    <n v="0"/>
    <n v="316"/>
    <n v="5"/>
    <n v="6"/>
    <n v="1"/>
    <n v="5"/>
    <n v="9"/>
    <n v="0"/>
    <n v="0"/>
    <n v="0"/>
    <n v="0"/>
    <n v="0"/>
    <n v="1"/>
    <n v="0"/>
  </r>
  <r>
    <d v="2012-11-12T00:00:00"/>
    <n v="10995"/>
    <n v="1988"/>
    <x v="6"/>
    <s v="2n Cycle"/>
    <s v="Married"/>
    <n v="15716"/>
    <n v="1"/>
    <n v="8"/>
    <n v="16"/>
    <n v="5"/>
    <n v="30"/>
    <n v="8"/>
    <n v="7"/>
    <n v="26"/>
    <n v="92"/>
    <n v="3"/>
    <n v="3"/>
    <n v="0"/>
    <n v="4"/>
    <n v="8"/>
    <n v="0"/>
    <n v="0"/>
    <n v="0"/>
    <n v="0"/>
    <n v="0"/>
    <n v="0"/>
    <n v="1"/>
  </r>
  <r>
    <d v="2012-10-29T00:00:00"/>
    <n v="7373"/>
    <n v="1952"/>
    <x v="3"/>
    <s v="PhD"/>
    <s v="Divorced"/>
    <n v="46610"/>
    <n v="2"/>
    <n v="8"/>
    <n v="96"/>
    <n v="12"/>
    <n v="96"/>
    <n v="33"/>
    <n v="22"/>
    <n v="43"/>
    <n v="302"/>
    <n v="6"/>
    <n v="4"/>
    <n v="1"/>
    <n v="6"/>
    <n v="6"/>
    <n v="0"/>
    <n v="0"/>
    <n v="0"/>
    <n v="0"/>
    <n v="0"/>
    <n v="1"/>
    <n v="0"/>
  </r>
  <r>
    <d v="2012-09-11T00:00:00"/>
    <n v="5331"/>
    <n v="1977"/>
    <x v="4"/>
    <s v="Graduation"/>
    <s v="Married"/>
    <n v="74985"/>
    <n v="0"/>
    <n v="8"/>
    <n v="587"/>
    <n v="51"/>
    <n v="898"/>
    <n v="247"/>
    <n v="0"/>
    <n v="86"/>
    <n v="1869"/>
    <n v="1"/>
    <n v="3"/>
    <n v="6"/>
    <n v="7"/>
    <n v="2"/>
    <n v="0"/>
    <n v="0"/>
    <n v="0"/>
    <n v="0"/>
    <n v="0"/>
    <n v="0"/>
    <n v="0"/>
  </r>
  <r>
    <d v="2014-05-28T00:00:00"/>
    <n v="263"/>
    <n v="1945"/>
    <x v="0"/>
    <s v="PhD"/>
    <s v="Single"/>
    <n v="45576"/>
    <n v="0"/>
    <n v="9"/>
    <n v="56"/>
    <n v="19"/>
    <n v="29"/>
    <n v="2"/>
    <n v="14"/>
    <n v="25"/>
    <n v="145"/>
    <n v="1"/>
    <n v="3"/>
    <n v="1"/>
    <n v="3"/>
    <n v="8"/>
    <n v="0"/>
    <n v="0"/>
    <n v="0"/>
    <n v="0"/>
    <n v="0"/>
    <n v="1"/>
    <n v="0"/>
  </r>
  <r>
    <d v="2014-05-28T00:00:00"/>
    <n v="4619"/>
    <n v="1945"/>
    <x v="0"/>
    <s v="PhD"/>
    <s v="Single"/>
    <n v="113734"/>
    <n v="0"/>
    <n v="9"/>
    <n v="6"/>
    <n v="2"/>
    <n v="3"/>
    <n v="1"/>
    <n v="262"/>
    <n v="3"/>
    <n v="277"/>
    <n v="0"/>
    <n v="27"/>
    <n v="0"/>
    <n v="0"/>
    <n v="1"/>
    <n v="0"/>
    <n v="0"/>
    <n v="0"/>
    <n v="0"/>
    <n v="0"/>
    <n v="0"/>
    <n v="0"/>
  </r>
  <r>
    <d v="2014-05-18T00:00:00"/>
    <n v="940"/>
    <n v="1987"/>
    <x v="6"/>
    <s v="Graduation"/>
    <s v="Single"/>
    <n v="57100"/>
    <n v="1"/>
    <n v="9"/>
    <n v="158"/>
    <n v="11"/>
    <n v="99"/>
    <n v="15"/>
    <n v="11"/>
    <n v="17"/>
    <n v="311"/>
    <n v="2"/>
    <n v="3"/>
    <n v="2"/>
    <n v="7"/>
    <n v="3"/>
    <n v="0"/>
    <n v="0"/>
    <n v="0"/>
    <n v="0"/>
    <n v="0"/>
    <n v="0"/>
    <n v="0"/>
  </r>
  <r>
    <d v="2014-05-18T00:00:00"/>
    <n v="10084"/>
    <n v="1972"/>
    <x v="5"/>
    <s v="Graduation"/>
    <s v="Married"/>
    <n v="24434"/>
    <n v="2"/>
    <n v="9"/>
    <n v="3"/>
    <n v="2"/>
    <n v="8"/>
    <n v="20"/>
    <n v="0"/>
    <n v="17"/>
    <n v="50"/>
    <n v="2"/>
    <n v="2"/>
    <n v="1"/>
    <n v="2"/>
    <n v="7"/>
    <n v="0"/>
    <n v="0"/>
    <n v="0"/>
    <n v="0"/>
    <n v="0"/>
    <n v="0"/>
    <n v="0"/>
  </r>
  <r>
    <d v="2014-03-30T00:00:00"/>
    <n v="6019"/>
    <n v="1971"/>
    <x v="0"/>
    <s v="PhD"/>
    <s v="Married"/>
    <n v="37126"/>
    <n v="1"/>
    <n v="9"/>
    <n v="45"/>
    <n v="3"/>
    <n v="9"/>
    <n v="4"/>
    <n v="4"/>
    <n v="7"/>
    <n v="72"/>
    <n v="1"/>
    <n v="1"/>
    <n v="2"/>
    <n v="2"/>
    <n v="6"/>
    <n v="1"/>
    <n v="0"/>
    <n v="0"/>
    <n v="0"/>
    <n v="0"/>
    <n v="1"/>
    <n v="0"/>
  </r>
  <r>
    <d v="2014-03-29T00:00:00"/>
    <n v="1463"/>
    <n v="1958"/>
    <x v="3"/>
    <s v="Graduation"/>
    <s v="Single"/>
    <n v="45160"/>
    <n v="2"/>
    <n v="9"/>
    <n v="8"/>
    <n v="2"/>
    <n v="5"/>
    <n v="3"/>
    <n v="0"/>
    <n v="3"/>
    <n v="21"/>
    <n v="1"/>
    <n v="1"/>
    <n v="0"/>
    <n v="2"/>
    <n v="7"/>
    <n v="0"/>
    <n v="0"/>
    <n v="0"/>
    <n v="0"/>
    <n v="0"/>
    <n v="0"/>
    <n v="0"/>
  </r>
  <r>
    <d v="2014-01-30T00:00:00"/>
    <n v="6424"/>
    <n v="1977"/>
    <x v="0"/>
    <s v="Graduation"/>
    <s v="Together"/>
    <n v="33178"/>
    <n v="1"/>
    <n v="9"/>
    <n v="12"/>
    <n v="6"/>
    <n v="2"/>
    <n v="11"/>
    <n v="2"/>
    <n v="16"/>
    <n v="49"/>
    <n v="1"/>
    <n v="1"/>
    <n v="0"/>
    <n v="3"/>
    <n v="4"/>
    <n v="0"/>
    <n v="0"/>
    <n v="0"/>
    <n v="0"/>
    <n v="0"/>
    <n v="0"/>
    <n v="0"/>
  </r>
  <r>
    <d v="2014-01-26T00:00:00"/>
    <n v="8233"/>
    <n v="1950"/>
    <x v="1"/>
    <s v="Master"/>
    <s v="Widow"/>
    <n v="64866"/>
    <n v="1"/>
    <n v="9"/>
    <n v="508"/>
    <n v="5"/>
    <n v="21"/>
    <n v="7"/>
    <n v="5"/>
    <n v="10"/>
    <n v="556"/>
    <n v="4"/>
    <n v="7"/>
    <n v="3"/>
    <n v="7"/>
    <n v="5"/>
    <n v="0"/>
    <n v="1"/>
    <n v="0"/>
    <n v="0"/>
    <n v="0"/>
    <n v="0"/>
    <n v="0"/>
  </r>
  <r>
    <d v="2014-01-22T00:00:00"/>
    <n v="1515"/>
    <n v="1975"/>
    <x v="1"/>
    <s v="Master"/>
    <s v="Together"/>
    <n v="34176"/>
    <n v="1"/>
    <n v="9"/>
    <n v="11"/>
    <n v="2"/>
    <n v="7"/>
    <n v="4"/>
    <n v="2"/>
    <n v="2"/>
    <n v="28"/>
    <n v="1"/>
    <n v="1"/>
    <n v="0"/>
    <n v="3"/>
    <n v="3"/>
    <n v="0"/>
    <n v="0"/>
    <n v="0"/>
    <n v="0"/>
    <n v="0"/>
    <n v="0"/>
    <n v="0"/>
  </r>
  <r>
    <d v="2014-01-22T00:00:00"/>
    <n v="10855"/>
    <n v="1968"/>
    <x v="0"/>
    <s v="Master"/>
    <s v="Single"/>
    <n v="50014"/>
    <n v="1"/>
    <n v="9"/>
    <n v="234"/>
    <n v="14"/>
    <n v="77"/>
    <n v="19"/>
    <n v="10"/>
    <n v="42"/>
    <n v="396"/>
    <n v="2"/>
    <n v="4"/>
    <n v="1"/>
    <n v="8"/>
    <n v="5"/>
    <n v="0"/>
    <n v="0"/>
    <n v="0"/>
    <n v="0"/>
    <n v="0"/>
    <n v="0"/>
    <n v="0"/>
  </r>
  <r>
    <d v="2014-01-15T00:00:00"/>
    <n v="10909"/>
    <n v="1948"/>
    <x v="3"/>
    <s v="Graduation"/>
    <s v="Married"/>
    <n v="92344"/>
    <n v="0"/>
    <n v="9"/>
    <n v="992"/>
    <n v="24"/>
    <n v="694"/>
    <n v="51"/>
    <n v="19"/>
    <n v="119"/>
    <n v="1899"/>
    <n v="0"/>
    <n v="5"/>
    <n v="10"/>
    <n v="5"/>
    <n v="1"/>
    <n v="1"/>
    <n v="0"/>
    <n v="1"/>
    <n v="0"/>
    <n v="0"/>
    <n v="0"/>
    <n v="0"/>
  </r>
  <r>
    <d v="2013-12-13T00:00:00"/>
    <n v="3376"/>
    <n v="1970"/>
    <x v="0"/>
    <s v="Master"/>
    <s v="Divorced"/>
    <n v="55282"/>
    <n v="1"/>
    <n v="9"/>
    <n v="125"/>
    <n v="6"/>
    <n v="73"/>
    <n v="8"/>
    <n v="4"/>
    <n v="19"/>
    <n v="235"/>
    <n v="1"/>
    <n v="3"/>
    <n v="1"/>
    <n v="6"/>
    <n v="4"/>
    <n v="0"/>
    <n v="0"/>
    <n v="0"/>
    <n v="0"/>
    <n v="0"/>
    <n v="0"/>
    <n v="0"/>
  </r>
  <r>
    <d v="2013-11-05T00:00:00"/>
    <n v="10232"/>
    <n v="1963"/>
    <x v="0"/>
    <s v="PhD"/>
    <s v="Divorced"/>
    <n v="48799"/>
    <n v="1"/>
    <n v="9"/>
    <n v="174"/>
    <n v="18"/>
    <n v="81"/>
    <n v="28"/>
    <n v="6"/>
    <n v="24"/>
    <n v="331"/>
    <n v="3"/>
    <n v="3"/>
    <n v="2"/>
    <n v="7"/>
    <n v="3"/>
    <n v="0"/>
    <n v="0"/>
    <n v="0"/>
    <n v="0"/>
    <n v="0"/>
    <n v="0"/>
    <n v="0"/>
  </r>
  <r>
    <d v="2013-08-07T00:00:00"/>
    <n v="5547"/>
    <n v="1982"/>
    <x v="0"/>
    <s v="PhD"/>
    <s v="Married"/>
    <n v="84169"/>
    <n v="0"/>
    <n v="9"/>
    <n v="1478"/>
    <n v="19"/>
    <n v="403"/>
    <n v="0"/>
    <n v="19"/>
    <n v="0"/>
    <n v="1919"/>
    <n v="1"/>
    <n v="7"/>
    <n v="6"/>
    <n v="6"/>
    <n v="3"/>
    <n v="0"/>
    <n v="1"/>
    <n v="1"/>
    <n v="0"/>
    <n v="0"/>
    <n v="1"/>
    <n v="0"/>
  </r>
  <r>
    <d v="2013-08-07T00:00:00"/>
    <n v="8362"/>
    <n v="1982"/>
    <x v="6"/>
    <s v="PhD"/>
    <s v="Married"/>
    <n v="84169"/>
    <n v="0"/>
    <n v="9"/>
    <n v="1478"/>
    <n v="19"/>
    <n v="403"/>
    <n v="0"/>
    <n v="19"/>
    <n v="0"/>
    <n v="1919"/>
    <n v="1"/>
    <n v="7"/>
    <n v="6"/>
    <n v="6"/>
    <n v="3"/>
    <n v="0"/>
    <n v="1"/>
    <n v="1"/>
    <n v="0"/>
    <n v="0"/>
    <n v="1"/>
    <n v="0"/>
  </r>
  <r>
    <d v="2013-08-04T00:00:00"/>
    <n v="3524"/>
    <n v="1971"/>
    <x v="0"/>
    <s v="Master"/>
    <s v="Single"/>
    <n v="39763"/>
    <n v="1"/>
    <n v="9"/>
    <n v="80"/>
    <n v="1"/>
    <n v="60"/>
    <n v="4"/>
    <n v="6"/>
    <n v="16"/>
    <n v="167"/>
    <n v="2"/>
    <n v="5"/>
    <n v="1"/>
    <n v="2"/>
    <n v="9"/>
    <n v="0"/>
    <n v="0"/>
    <n v="0"/>
    <n v="0"/>
    <n v="0"/>
    <n v="1"/>
    <n v="0"/>
  </r>
  <r>
    <d v="2013-05-01T00:00:00"/>
    <n v="10095"/>
    <n v="1975"/>
    <x v="1"/>
    <s v="PhD"/>
    <s v="Divorced"/>
    <n v="74165"/>
    <n v="0"/>
    <n v="9"/>
    <n v="1001"/>
    <n v="12"/>
    <n v="240"/>
    <n v="16"/>
    <n v="12"/>
    <n v="12"/>
    <n v="1293"/>
    <n v="1"/>
    <n v="5"/>
    <n v="4"/>
    <n v="10"/>
    <n v="2"/>
    <n v="0"/>
    <n v="0"/>
    <n v="0"/>
    <n v="0"/>
    <n v="0"/>
    <n v="0"/>
    <n v="0"/>
  </r>
  <r>
    <d v="2013-04-24T00:00:00"/>
    <n v="8897"/>
    <n v="1965"/>
    <x v="4"/>
    <s v="Graduation"/>
    <s v="Single"/>
    <n v="42720"/>
    <n v="2"/>
    <n v="9"/>
    <n v="392"/>
    <n v="5"/>
    <n v="91"/>
    <n v="28"/>
    <n v="26"/>
    <n v="112"/>
    <n v="654"/>
    <n v="8"/>
    <n v="7"/>
    <n v="3"/>
    <n v="7"/>
    <n v="8"/>
    <n v="0"/>
    <n v="0"/>
    <n v="0"/>
    <n v="0"/>
    <n v="0"/>
    <n v="1"/>
    <n v="0"/>
  </r>
  <r>
    <d v="2013-04-03T00:00:00"/>
    <n v="466"/>
    <n v="1944"/>
    <x v="0"/>
    <s v="Graduation"/>
    <s v="Married"/>
    <n v="65275"/>
    <n v="0"/>
    <n v="9"/>
    <n v="388"/>
    <n v="14"/>
    <n v="218"/>
    <n v="91"/>
    <n v="14"/>
    <n v="21"/>
    <n v="746"/>
    <n v="1"/>
    <n v="4"/>
    <n v="3"/>
    <n v="13"/>
    <n v="2"/>
    <n v="0"/>
    <n v="0"/>
    <n v="0"/>
    <n v="0"/>
    <n v="0"/>
    <n v="0"/>
    <n v="0"/>
  </r>
  <r>
    <d v="2013-02-03T00:00:00"/>
    <n v="11025"/>
    <n v="1961"/>
    <x v="0"/>
    <s v="Graduation"/>
    <s v="Married"/>
    <n v="36443"/>
    <n v="2"/>
    <n v="9"/>
    <n v="65"/>
    <n v="0"/>
    <n v="46"/>
    <n v="4"/>
    <n v="3"/>
    <n v="20"/>
    <n v="138"/>
    <n v="4"/>
    <n v="3"/>
    <n v="1"/>
    <n v="3"/>
    <n v="8"/>
    <n v="0"/>
    <n v="0"/>
    <n v="0"/>
    <n v="0"/>
    <n v="0"/>
    <n v="0"/>
    <n v="0"/>
  </r>
  <r>
    <d v="2013-02-03T00:00:00"/>
    <n v="2387"/>
    <n v="1952"/>
    <x v="6"/>
    <s v="Master"/>
    <s v="Together"/>
    <n v="43776"/>
    <n v="2"/>
    <n v="9"/>
    <n v="177"/>
    <n v="2"/>
    <n v="71"/>
    <n v="3"/>
    <n v="2"/>
    <n v="20"/>
    <n v="275"/>
    <n v="6"/>
    <n v="5"/>
    <n v="2"/>
    <n v="4"/>
    <n v="8"/>
    <n v="0"/>
    <n v="0"/>
    <n v="0"/>
    <n v="0"/>
    <n v="0"/>
    <n v="1"/>
    <n v="0"/>
  </r>
  <r>
    <d v="2013-01-02T00:00:00"/>
    <n v="1618"/>
    <n v="1965"/>
    <x v="4"/>
    <s v="Graduation"/>
    <s v="Together"/>
    <n v="56046"/>
    <n v="0"/>
    <n v="9"/>
    <n v="577"/>
    <n v="0"/>
    <n v="64"/>
    <n v="0"/>
    <n v="0"/>
    <n v="51"/>
    <n v="692"/>
    <n v="2"/>
    <n v="10"/>
    <n v="1"/>
    <n v="8"/>
    <n v="8"/>
    <n v="1"/>
    <n v="0"/>
    <n v="0"/>
    <n v="0"/>
    <n v="0"/>
    <n v="1"/>
    <n v="0"/>
  </r>
  <r>
    <d v="2012-11-16T00:00:00"/>
    <n v="25"/>
    <n v="1958"/>
    <x v="1"/>
    <s v="Graduation"/>
    <s v="Married"/>
    <n v="65148"/>
    <n v="1"/>
    <n v="9"/>
    <n v="460"/>
    <n v="35"/>
    <n v="422"/>
    <n v="33"/>
    <n v="12"/>
    <n v="153"/>
    <n v="1115"/>
    <n v="2"/>
    <n v="6"/>
    <n v="6"/>
    <n v="7"/>
    <n v="4"/>
    <n v="0"/>
    <n v="0"/>
    <n v="0"/>
    <n v="0"/>
    <n v="0"/>
    <n v="0"/>
    <n v="0"/>
  </r>
  <r>
    <d v="2012-08-03T00:00:00"/>
    <n v="3277"/>
    <n v="1955"/>
    <x v="0"/>
    <s v="Graduation"/>
    <s v="Divorced"/>
    <n v="49431"/>
    <n v="1"/>
    <n v="9"/>
    <n v="219"/>
    <n v="3"/>
    <n v="100"/>
    <n v="26"/>
    <n v="0"/>
    <n v="17"/>
    <n v="365"/>
    <n v="2"/>
    <n v="7"/>
    <n v="1"/>
    <n v="5"/>
    <n v="8"/>
    <n v="0"/>
    <n v="0"/>
    <n v="0"/>
    <n v="0"/>
    <n v="0"/>
    <n v="0"/>
    <n v="0"/>
  </r>
  <r>
    <d v="2014-06-15T00:00:00"/>
    <n v="8566"/>
    <n v="1961"/>
    <x v="0"/>
    <s v="PhD"/>
    <s v="Together"/>
    <n v="32583"/>
    <n v="2"/>
    <n v="10"/>
    <n v="5"/>
    <n v="0"/>
    <n v="3"/>
    <n v="0"/>
    <n v="0"/>
    <n v="1"/>
    <n v="9"/>
    <n v="1"/>
    <n v="1"/>
    <n v="0"/>
    <n v="2"/>
    <n v="7"/>
    <n v="0"/>
    <n v="0"/>
    <n v="0"/>
    <n v="0"/>
    <n v="0"/>
    <n v="0"/>
    <n v="0"/>
  </r>
  <r>
    <d v="2014-04-18T00:00:00"/>
    <n v="2634"/>
    <n v="1979"/>
    <x v="0"/>
    <s v="Master"/>
    <s v="Single"/>
    <n v="16653"/>
    <n v="1"/>
    <n v="10"/>
    <n v="5"/>
    <n v="7"/>
    <n v="31"/>
    <n v="15"/>
    <n v="4"/>
    <n v="7"/>
    <n v="69"/>
    <n v="3"/>
    <n v="2"/>
    <n v="1"/>
    <n v="3"/>
    <n v="6"/>
    <n v="0"/>
    <n v="0"/>
    <n v="0"/>
    <n v="0"/>
    <n v="0"/>
    <n v="1"/>
    <n v="0"/>
  </r>
  <r>
    <d v="2014-04-18T00:00:00"/>
    <n v="8036"/>
    <n v="1971"/>
    <x v="0"/>
    <s v="2n Cycle"/>
    <s v="Together"/>
    <n v="26850"/>
    <n v="2"/>
    <n v="10"/>
    <n v="31"/>
    <n v="1"/>
    <n v="13"/>
    <n v="7"/>
    <n v="2"/>
    <n v="9"/>
    <n v="63"/>
    <n v="4"/>
    <n v="2"/>
    <n v="1"/>
    <n v="4"/>
    <n v="4"/>
    <n v="0"/>
    <n v="0"/>
    <n v="0"/>
    <n v="0"/>
    <n v="0"/>
    <n v="0"/>
    <n v="0"/>
  </r>
  <r>
    <d v="2014-04-01T00:00:00"/>
    <n v="8159"/>
    <n v="1968"/>
    <x v="0"/>
    <s v="Graduation"/>
    <s v="Married"/>
    <n v="51287"/>
    <n v="2"/>
    <n v="10"/>
    <n v="117"/>
    <n v="0"/>
    <n v="22"/>
    <n v="13"/>
    <n v="0"/>
    <n v="30"/>
    <n v="182"/>
    <n v="3"/>
    <n v="4"/>
    <n v="1"/>
    <n v="3"/>
    <n v="7"/>
    <n v="0"/>
    <n v="0"/>
    <n v="0"/>
    <n v="0"/>
    <n v="0"/>
    <n v="0"/>
    <n v="0"/>
  </r>
  <r>
    <d v="2014-03-18T00:00:00"/>
    <n v="7628"/>
    <n v="1973"/>
    <x v="0"/>
    <s v="2n Cycle"/>
    <s v="Married"/>
    <n v="43050"/>
    <n v="1"/>
    <n v="10"/>
    <n v="30"/>
    <n v="5"/>
    <n v="24"/>
    <n v="6"/>
    <n v="3"/>
    <n v="8"/>
    <n v="76"/>
    <n v="2"/>
    <n v="2"/>
    <n v="0"/>
    <n v="4"/>
    <n v="5"/>
    <n v="0"/>
    <n v="0"/>
    <n v="0"/>
    <n v="0"/>
    <n v="0"/>
    <n v="0"/>
    <n v="0"/>
  </r>
  <r>
    <d v="2014-02-10T00:00:00"/>
    <n v="9597"/>
    <n v="1969"/>
    <x v="1"/>
    <s v="Graduation"/>
    <s v="Married"/>
    <n v="73448"/>
    <n v="0"/>
    <n v="10"/>
    <n v="236"/>
    <n v="106"/>
    <n v="189"/>
    <n v="23"/>
    <n v="41"/>
    <n v="130"/>
    <n v="725"/>
    <n v="1"/>
    <n v="7"/>
    <n v="2"/>
    <n v="9"/>
    <n v="4"/>
    <n v="0"/>
    <n v="0"/>
    <n v="0"/>
    <n v="0"/>
    <n v="0"/>
    <n v="0"/>
    <n v="0"/>
  </r>
  <r>
    <d v="2013-11-23T00:00:00"/>
    <n v="1384"/>
    <n v="1992"/>
    <x v="2"/>
    <s v="Basic"/>
    <s v="Married"/>
    <n v="17256"/>
    <n v="1"/>
    <n v="10"/>
    <n v="6"/>
    <n v="4"/>
    <n v="14"/>
    <n v="8"/>
    <n v="8"/>
    <n v="22"/>
    <n v="62"/>
    <n v="2"/>
    <n v="2"/>
    <n v="1"/>
    <n v="2"/>
    <n v="8"/>
    <n v="1"/>
    <n v="0"/>
    <n v="0"/>
    <n v="0"/>
    <n v="0"/>
    <n v="0"/>
    <n v="0"/>
  </r>
  <r>
    <d v="2013-11-21T00:00:00"/>
    <n v="10150"/>
    <n v="1961"/>
    <x v="6"/>
    <s v="Graduation"/>
    <s v="Single"/>
    <n v="86429"/>
    <n v="0"/>
    <n v="10"/>
    <n v="464"/>
    <n v="28"/>
    <n v="873"/>
    <n v="29"/>
    <n v="18"/>
    <n v="37"/>
    <n v="1449"/>
    <n v="0"/>
    <n v="7"/>
    <n v="4"/>
    <n v="7"/>
    <n v="2"/>
    <n v="0"/>
    <n v="0"/>
    <n v="0"/>
    <n v="1"/>
    <n v="0"/>
    <n v="1"/>
    <n v="0"/>
  </r>
  <r>
    <d v="2013-10-16T00:00:00"/>
    <n v="3885"/>
    <n v="1983"/>
    <x v="0"/>
    <s v="PhD"/>
    <s v="Married"/>
    <n v="33569"/>
    <n v="1"/>
    <n v="10"/>
    <n v="16"/>
    <n v="2"/>
    <n v="18"/>
    <n v="3"/>
    <n v="0"/>
    <n v="24"/>
    <n v="63"/>
    <n v="1"/>
    <n v="1"/>
    <n v="1"/>
    <n v="2"/>
    <n v="8"/>
    <n v="1"/>
    <n v="0"/>
    <n v="0"/>
    <n v="0"/>
    <n v="0"/>
    <n v="1"/>
    <n v="0"/>
  </r>
  <r>
    <d v="2013-10-02T00:00:00"/>
    <n v="11003"/>
    <n v="1980"/>
    <x v="1"/>
    <s v="2n Cycle"/>
    <s v="Together"/>
    <n v="25130"/>
    <n v="1"/>
    <n v="10"/>
    <n v="2"/>
    <n v="5"/>
    <n v="7"/>
    <n v="0"/>
    <n v="18"/>
    <n v="18"/>
    <n v="50"/>
    <n v="2"/>
    <n v="2"/>
    <n v="0"/>
    <n v="3"/>
    <n v="7"/>
    <n v="0"/>
    <n v="0"/>
    <n v="0"/>
    <n v="0"/>
    <n v="0"/>
    <n v="0"/>
    <n v="0"/>
  </r>
  <r>
    <d v="2013-09-30T00:00:00"/>
    <n v="8026"/>
    <n v="1952"/>
    <x v="1"/>
    <s v="Graduation"/>
    <s v="Married"/>
    <n v="62998"/>
    <n v="1"/>
    <n v="10"/>
    <n v="120"/>
    <n v="58"/>
    <n v="73"/>
    <n v="65"/>
    <n v="89"/>
    <n v="58"/>
    <n v="463"/>
    <n v="5"/>
    <n v="5"/>
    <n v="4"/>
    <n v="5"/>
    <n v="5"/>
    <n v="0"/>
    <n v="0"/>
    <n v="0"/>
    <n v="0"/>
    <n v="0"/>
    <n v="0"/>
    <n v="0"/>
  </r>
  <r>
    <d v="2013-08-20T00:00:00"/>
    <n v="577"/>
    <n v="1976"/>
    <x v="0"/>
    <s v="2n Cycle"/>
    <s v="Together"/>
    <n v="26907"/>
    <n v="2"/>
    <n v="10"/>
    <n v="9"/>
    <n v="1"/>
    <n v="7"/>
    <n v="0"/>
    <n v="3"/>
    <n v="2"/>
    <n v="22"/>
    <n v="2"/>
    <n v="1"/>
    <n v="0"/>
    <n v="3"/>
    <n v="7"/>
    <n v="0"/>
    <n v="0"/>
    <n v="0"/>
    <n v="0"/>
    <n v="0"/>
    <n v="0"/>
    <n v="0"/>
  </r>
  <r>
    <d v="2013-08-20T00:00:00"/>
    <n v="8702"/>
    <n v="1976"/>
    <x v="3"/>
    <s v="2n Cycle"/>
    <s v="Together"/>
    <n v="26907"/>
    <n v="2"/>
    <n v="10"/>
    <n v="9"/>
    <n v="1"/>
    <n v="7"/>
    <n v="0"/>
    <n v="3"/>
    <n v="2"/>
    <n v="22"/>
    <n v="2"/>
    <n v="1"/>
    <n v="0"/>
    <n v="3"/>
    <n v="7"/>
    <n v="0"/>
    <n v="0"/>
    <n v="0"/>
    <n v="0"/>
    <n v="0"/>
    <n v="0"/>
    <n v="0"/>
  </r>
  <r>
    <d v="2013-08-20T00:00:00"/>
    <n v="5429"/>
    <n v="1948"/>
    <x v="0"/>
    <s v="PhD"/>
    <s v="Married"/>
    <n v="45579"/>
    <n v="1"/>
    <n v="10"/>
    <n v="145"/>
    <n v="1"/>
    <n v="33"/>
    <n v="2"/>
    <n v="1"/>
    <n v="1"/>
    <n v="183"/>
    <n v="1"/>
    <n v="4"/>
    <n v="1"/>
    <n v="4"/>
    <n v="6"/>
    <n v="0"/>
    <n v="0"/>
    <n v="0"/>
    <n v="0"/>
    <n v="0"/>
    <n v="0"/>
    <n v="0"/>
  </r>
  <r>
    <d v="2013-08-01T00:00:00"/>
    <n v="977"/>
    <n v="1957"/>
    <x v="1"/>
    <s v="Graduation"/>
    <s v="Together"/>
    <n v="47320"/>
    <n v="1"/>
    <n v="10"/>
    <n v="200"/>
    <n v="19"/>
    <n v="111"/>
    <n v="50"/>
    <n v="15"/>
    <n v="19"/>
    <n v="414"/>
    <n v="6"/>
    <n v="5"/>
    <n v="1"/>
    <n v="8"/>
    <n v="6"/>
    <n v="0"/>
    <n v="0"/>
    <n v="0"/>
    <n v="0"/>
    <n v="0"/>
    <n v="0"/>
    <n v="0"/>
  </r>
  <r>
    <d v="2013-07-21T00:00:00"/>
    <n v="2793"/>
    <n v="1976"/>
    <x v="6"/>
    <s v="PhD"/>
    <s v="Divorced"/>
    <n v="70179"/>
    <n v="1"/>
    <n v="10"/>
    <n v="532"/>
    <n v="88"/>
    <n v="168"/>
    <n v="69"/>
    <n v="44"/>
    <n v="133"/>
    <n v="1034"/>
    <n v="3"/>
    <n v="7"/>
    <n v="3"/>
    <n v="13"/>
    <n v="5"/>
    <n v="0"/>
    <n v="0"/>
    <n v="0"/>
    <n v="0"/>
    <n v="0"/>
    <n v="0"/>
    <n v="0"/>
  </r>
  <r>
    <d v="2013-07-21T00:00:00"/>
    <n v="1071"/>
    <n v="1976"/>
    <x v="2"/>
    <s v="PhD"/>
    <s v="Divorced"/>
    <n v="70179"/>
    <n v="1"/>
    <n v="10"/>
    <n v="532"/>
    <n v="88"/>
    <n v="168"/>
    <n v="69"/>
    <n v="44"/>
    <n v="133"/>
    <n v="1034"/>
    <n v="3"/>
    <n v="7"/>
    <n v="3"/>
    <n v="13"/>
    <n v="5"/>
    <n v="0"/>
    <n v="0"/>
    <n v="0"/>
    <n v="0"/>
    <n v="0"/>
    <n v="0"/>
    <n v="0"/>
  </r>
  <r>
    <d v="2013-07-08T00:00:00"/>
    <n v="5074"/>
    <n v="1986"/>
    <x v="1"/>
    <s v="Master"/>
    <s v="Married"/>
    <n v="28072"/>
    <n v="1"/>
    <n v="10"/>
    <n v="30"/>
    <n v="0"/>
    <n v="10"/>
    <n v="2"/>
    <n v="0"/>
    <n v="5"/>
    <n v="47"/>
    <n v="1"/>
    <n v="1"/>
    <n v="0"/>
    <n v="3"/>
    <n v="7"/>
    <n v="0"/>
    <n v="0"/>
    <n v="0"/>
    <n v="0"/>
    <n v="0"/>
    <n v="0"/>
    <n v="0"/>
  </r>
  <r>
    <d v="2013-06-18T00:00:00"/>
    <n v="2632"/>
    <n v="1954"/>
    <x v="5"/>
    <s v="Graduation"/>
    <s v="Married"/>
    <n v="50501"/>
    <n v="2"/>
    <n v="10"/>
    <n v="297"/>
    <n v="0"/>
    <n v="38"/>
    <n v="13"/>
    <n v="0"/>
    <n v="152"/>
    <n v="500"/>
    <n v="7"/>
    <n v="5"/>
    <n v="4"/>
    <n v="4"/>
    <n v="6"/>
    <n v="1"/>
    <n v="0"/>
    <n v="0"/>
    <n v="0"/>
    <n v="0"/>
    <n v="1"/>
    <n v="0"/>
  </r>
  <r>
    <d v="2013-03-24T00:00:00"/>
    <n v="6404"/>
    <n v="1969"/>
    <x v="6"/>
    <s v="Graduation"/>
    <s v="Together"/>
    <n v="58917"/>
    <n v="3"/>
    <n v="10"/>
    <n v="151"/>
    <n v="7"/>
    <n v="89"/>
    <n v="0"/>
    <n v="7"/>
    <n v="28"/>
    <n v="282"/>
    <n v="5"/>
    <n v="4"/>
    <n v="1"/>
    <n v="6"/>
    <n v="5"/>
    <n v="0"/>
    <n v="0"/>
    <n v="0"/>
    <n v="0"/>
    <n v="0"/>
    <n v="0"/>
    <n v="0"/>
  </r>
  <r>
    <d v="2013-02-19T00:00:00"/>
    <n v="10240"/>
    <n v="1949"/>
    <x v="1"/>
    <s v="Graduation"/>
    <s v="Together"/>
    <n v="69372"/>
    <n v="0"/>
    <n v="10"/>
    <n v="997"/>
    <n v="26"/>
    <n v="269"/>
    <n v="34"/>
    <n v="13"/>
    <n v="42"/>
    <n v="1381"/>
    <n v="1"/>
    <n v="10"/>
    <n v="4"/>
    <n v="6"/>
    <n v="4"/>
    <n v="0"/>
    <n v="1"/>
    <n v="1"/>
    <n v="0"/>
    <n v="0"/>
    <n v="1"/>
    <n v="0"/>
  </r>
  <r>
    <d v="2013-01-10T00:00:00"/>
    <n v="2521"/>
    <n v="1971"/>
    <x v="0"/>
    <s v="Master"/>
    <s v="Married"/>
    <n v="35178"/>
    <n v="1"/>
    <n v="10"/>
    <n v="23"/>
    <n v="1"/>
    <n v="13"/>
    <n v="2"/>
    <n v="2"/>
    <n v="18"/>
    <n v="59"/>
    <n v="1"/>
    <n v="1"/>
    <n v="1"/>
    <n v="2"/>
    <n v="7"/>
    <n v="1"/>
    <n v="0"/>
    <n v="0"/>
    <n v="0"/>
    <n v="0"/>
    <n v="1"/>
    <n v="0"/>
  </r>
  <r>
    <d v="2013-01-10T00:00:00"/>
    <n v="4301"/>
    <n v="1971"/>
    <x v="3"/>
    <s v="Master"/>
    <s v="Married"/>
    <n v="35178"/>
    <n v="1"/>
    <n v="10"/>
    <n v="23"/>
    <n v="1"/>
    <n v="13"/>
    <n v="2"/>
    <n v="2"/>
    <n v="18"/>
    <n v="59"/>
    <n v="1"/>
    <n v="1"/>
    <n v="1"/>
    <n v="2"/>
    <n v="7"/>
    <n v="1"/>
    <n v="0"/>
    <n v="0"/>
    <n v="0"/>
    <n v="0"/>
    <n v="1"/>
    <n v="0"/>
  </r>
  <r>
    <d v="2012-12-06T00:00:00"/>
    <n v="7381"/>
    <n v="1968"/>
    <x v="0"/>
    <s v="Graduation"/>
    <s v="Divorced"/>
    <n v="75693"/>
    <n v="0"/>
    <n v="10"/>
    <n v="797"/>
    <n v="153"/>
    <n v="293"/>
    <n v="72"/>
    <n v="97"/>
    <n v="30"/>
    <n v="1442"/>
    <n v="1"/>
    <n v="11"/>
    <n v="4"/>
    <n v="6"/>
    <n v="4"/>
    <n v="0"/>
    <n v="1"/>
    <n v="1"/>
    <n v="1"/>
    <n v="0"/>
    <n v="1"/>
    <n v="0"/>
  </r>
  <r>
    <d v="2012-11-09T00:00:00"/>
    <n v="2407"/>
    <n v="1982"/>
    <x v="2"/>
    <s v="Graduation"/>
    <s v="Married"/>
    <n v="69109"/>
    <n v="0"/>
    <n v="10"/>
    <n v="823"/>
    <n v="25"/>
    <n v="459"/>
    <n v="124"/>
    <n v="29"/>
    <n v="95"/>
    <n v="1555"/>
    <n v="1"/>
    <n v="6"/>
    <n v="6"/>
    <n v="7"/>
    <n v="4"/>
    <n v="0"/>
    <n v="0"/>
    <n v="1"/>
    <n v="0"/>
    <n v="0"/>
    <n v="1"/>
    <n v="0"/>
  </r>
  <r>
    <d v="2012-11-09T00:00:00"/>
    <n v="9064"/>
    <n v="1982"/>
    <x v="0"/>
    <s v="Graduation"/>
    <s v="Married"/>
    <n v="69109"/>
    <n v="0"/>
    <n v="10"/>
    <n v="823"/>
    <n v="25"/>
    <n v="459"/>
    <n v="124"/>
    <n v="29"/>
    <n v="95"/>
    <n v="1555"/>
    <n v="1"/>
    <n v="6"/>
    <n v="6"/>
    <n v="7"/>
    <n v="4"/>
    <n v="0"/>
    <n v="0"/>
    <n v="1"/>
    <n v="0"/>
    <n v="0"/>
    <n v="1"/>
    <n v="0"/>
  </r>
  <r>
    <d v="2014-02-14T00:00:00"/>
    <n v="5067"/>
    <n v="1994"/>
    <x v="0"/>
    <s v="Graduation"/>
    <s v="Together"/>
    <n v="80134"/>
    <n v="0"/>
    <n v="11"/>
    <n v="966"/>
    <n v="26"/>
    <n v="282"/>
    <n v="52"/>
    <n v="26"/>
    <n v="26"/>
    <n v="1378"/>
    <n v="1"/>
    <n v="2"/>
    <n v="7"/>
    <n v="11"/>
    <n v="5"/>
    <n v="0"/>
    <n v="1"/>
    <n v="1"/>
    <n v="1"/>
    <n v="1"/>
    <n v="0"/>
    <n v="0"/>
  </r>
  <r>
    <d v="2014-02-07T00:00:00"/>
    <n v="10281"/>
    <n v="1970"/>
    <x v="3"/>
    <s v="Graduation"/>
    <s v="Divorced"/>
    <n v="64713"/>
    <n v="1"/>
    <n v="11"/>
    <n v="180"/>
    <n v="60"/>
    <n v="241"/>
    <n v="13"/>
    <n v="54"/>
    <n v="54"/>
    <n v="602"/>
    <n v="2"/>
    <n v="5"/>
    <n v="5"/>
    <n v="7"/>
    <n v="4"/>
    <n v="0"/>
    <n v="0"/>
    <n v="0"/>
    <n v="0"/>
    <n v="0"/>
    <n v="1"/>
    <n v="0"/>
  </r>
  <r>
    <d v="2013-12-07T00:00:00"/>
    <n v="11191"/>
    <n v="1986"/>
    <x v="0"/>
    <s v="Graduation"/>
    <s v="Divorced"/>
    <n v="41411"/>
    <n v="0"/>
    <n v="11"/>
    <n v="37"/>
    <n v="32"/>
    <n v="38"/>
    <n v="11"/>
    <n v="3"/>
    <n v="18"/>
    <n v="139"/>
    <n v="1"/>
    <n v="2"/>
    <n v="1"/>
    <n v="4"/>
    <n v="6"/>
    <n v="0"/>
    <n v="0"/>
    <n v="0"/>
    <n v="0"/>
    <n v="0"/>
    <n v="0"/>
    <n v="0"/>
  </r>
  <r>
    <d v="2013-11-15T00:00:00"/>
    <n v="1994"/>
    <n v="1983"/>
    <x v="2"/>
    <s v="Graduation"/>
    <s v="Married"/>
    <n v="53790.45"/>
    <n v="1"/>
    <n v="11"/>
    <n v="5"/>
    <n v="5"/>
    <n v="6"/>
    <n v="0"/>
    <n v="2"/>
    <n v="1"/>
    <n v="19"/>
    <n v="1"/>
    <n v="1"/>
    <n v="0"/>
    <n v="2"/>
    <n v="7"/>
    <n v="0"/>
    <n v="0"/>
    <n v="0"/>
    <n v="0"/>
    <n v="0"/>
    <n v="0"/>
    <n v="0"/>
  </r>
  <r>
    <d v="2013-10-22T00:00:00"/>
    <n v="2552"/>
    <n v="1955"/>
    <x v="0"/>
    <s v="PhD"/>
    <s v="Single"/>
    <n v="55521"/>
    <n v="3"/>
    <n v="11"/>
    <n v="416"/>
    <n v="0"/>
    <n v="26"/>
    <n v="0"/>
    <n v="0"/>
    <n v="4"/>
    <n v="446"/>
    <n v="9"/>
    <n v="6"/>
    <n v="3"/>
    <n v="6"/>
    <n v="7"/>
    <n v="0"/>
    <n v="1"/>
    <n v="0"/>
    <n v="0"/>
    <n v="0"/>
    <n v="1"/>
    <n v="0"/>
  </r>
  <r>
    <d v="2013-10-16T00:00:00"/>
    <n v="6720"/>
    <n v="1968"/>
    <x v="0"/>
    <s v="Master"/>
    <s v="Together"/>
    <n v="43795"/>
    <n v="1"/>
    <n v="11"/>
    <n v="314"/>
    <n v="11"/>
    <n v="53"/>
    <n v="4"/>
    <n v="3"/>
    <n v="107"/>
    <n v="492"/>
    <n v="3"/>
    <n v="7"/>
    <n v="3"/>
    <n v="4"/>
    <n v="7"/>
    <n v="0"/>
    <n v="1"/>
    <n v="0"/>
    <n v="0"/>
    <n v="0"/>
    <n v="1"/>
    <n v="0"/>
  </r>
  <r>
    <d v="2013-10-04T00:00:00"/>
    <n v="4557"/>
    <n v="1970"/>
    <x v="6"/>
    <s v="Graduation"/>
    <s v="Together"/>
    <n v="22070"/>
    <n v="1"/>
    <n v="11"/>
    <n v="10"/>
    <n v="7"/>
    <n v="19"/>
    <n v="8"/>
    <n v="2"/>
    <n v="21"/>
    <n v="67"/>
    <n v="2"/>
    <n v="2"/>
    <n v="2"/>
    <n v="2"/>
    <n v="6"/>
    <n v="0"/>
    <n v="0"/>
    <n v="0"/>
    <n v="0"/>
    <n v="0"/>
    <n v="0"/>
    <n v="0"/>
  </r>
  <r>
    <d v="2013-09-21T00:00:00"/>
    <n v="1183"/>
    <n v="1949"/>
    <x v="4"/>
    <s v="Master"/>
    <s v="Married"/>
    <n v="36408"/>
    <n v="2"/>
    <n v="11"/>
    <n v="9"/>
    <n v="1"/>
    <n v="4"/>
    <n v="3"/>
    <n v="2"/>
    <n v="3"/>
    <n v="22"/>
    <n v="1"/>
    <n v="1"/>
    <n v="0"/>
    <n v="2"/>
    <n v="6"/>
    <n v="0"/>
    <n v="0"/>
    <n v="0"/>
    <n v="0"/>
    <n v="0"/>
    <n v="0"/>
    <n v="0"/>
  </r>
  <r>
    <d v="2013-08-05T00:00:00"/>
    <n v="4186"/>
    <n v="1950"/>
    <x v="1"/>
    <s v="Graduation"/>
    <s v="Together"/>
    <n v="34026"/>
    <n v="2"/>
    <n v="11"/>
    <n v="18"/>
    <n v="6"/>
    <n v="15"/>
    <n v="12"/>
    <n v="8"/>
    <n v="17"/>
    <n v="76"/>
    <n v="3"/>
    <n v="2"/>
    <n v="1"/>
    <n v="3"/>
    <n v="5"/>
    <n v="0"/>
    <n v="0"/>
    <n v="0"/>
    <n v="0"/>
    <n v="0"/>
    <n v="0"/>
    <n v="0"/>
  </r>
  <r>
    <d v="2013-08-05T00:00:00"/>
    <n v="1419"/>
    <n v="1950"/>
    <x v="0"/>
    <s v="Graduation"/>
    <s v="Together"/>
    <n v="34026"/>
    <n v="2"/>
    <n v="11"/>
    <n v="18"/>
    <n v="6"/>
    <n v="15"/>
    <n v="12"/>
    <n v="8"/>
    <n v="17"/>
    <n v="76"/>
    <n v="3"/>
    <n v="2"/>
    <n v="1"/>
    <n v="3"/>
    <n v="5"/>
    <n v="0"/>
    <n v="0"/>
    <n v="0"/>
    <n v="0"/>
    <n v="0"/>
    <n v="0"/>
    <n v="0"/>
  </r>
  <r>
    <d v="2013-07-21T00:00:00"/>
    <n v="967"/>
    <n v="1976"/>
    <x v="0"/>
    <s v="Graduation"/>
    <s v="Married"/>
    <n v="46049"/>
    <n v="2"/>
    <n v="11"/>
    <n v="342"/>
    <n v="9"/>
    <n v="112"/>
    <n v="19"/>
    <n v="14"/>
    <n v="19"/>
    <n v="515"/>
    <n v="10"/>
    <n v="5"/>
    <n v="2"/>
    <n v="9"/>
    <n v="7"/>
    <n v="0"/>
    <n v="0"/>
    <n v="0"/>
    <n v="0"/>
    <n v="0"/>
    <n v="1"/>
    <n v="0"/>
  </r>
  <r>
    <d v="2013-07-14T00:00:00"/>
    <n v="1048"/>
    <n v="1972"/>
    <x v="6"/>
    <s v="Master"/>
    <s v="Married"/>
    <n v="35641"/>
    <n v="1"/>
    <n v="11"/>
    <n v="63"/>
    <n v="3"/>
    <n v="67"/>
    <n v="8"/>
    <n v="9"/>
    <n v="28"/>
    <n v="178"/>
    <n v="2"/>
    <n v="3"/>
    <n v="1"/>
    <n v="4"/>
    <n v="7"/>
    <n v="0"/>
    <n v="0"/>
    <n v="0"/>
    <n v="0"/>
    <n v="0"/>
    <n v="1"/>
    <n v="0"/>
  </r>
  <r>
    <d v="2013-07-04T00:00:00"/>
    <n v="9262"/>
    <n v="1984"/>
    <x v="6"/>
    <s v="2n Cycle"/>
    <s v="Together"/>
    <n v="32414"/>
    <n v="0"/>
    <n v="11"/>
    <n v="20"/>
    <n v="6"/>
    <n v="5"/>
    <n v="0"/>
    <n v="9"/>
    <n v="12"/>
    <n v="52"/>
    <n v="1"/>
    <n v="1"/>
    <n v="0"/>
    <n v="3"/>
    <n v="7"/>
    <n v="1"/>
    <n v="0"/>
    <n v="0"/>
    <n v="0"/>
    <n v="0"/>
    <n v="0"/>
    <n v="0"/>
  </r>
  <r>
    <d v="2013-04-12T00:00:00"/>
    <n v="3427"/>
    <n v="1955"/>
    <x v="6"/>
    <s v="PhD"/>
    <s v="Married"/>
    <n v="59821"/>
    <n v="1"/>
    <n v="11"/>
    <n v="629"/>
    <n v="0"/>
    <n v="70"/>
    <n v="0"/>
    <n v="0"/>
    <n v="35"/>
    <n v="734"/>
    <n v="6"/>
    <n v="11"/>
    <n v="2"/>
    <n v="7"/>
    <n v="8"/>
    <n v="0"/>
    <n v="0"/>
    <n v="0"/>
    <n v="0"/>
    <n v="0"/>
    <n v="0"/>
    <n v="0"/>
  </r>
  <r>
    <d v="2013-04-10T00:00:00"/>
    <n v="5892"/>
    <n v="1980"/>
    <x v="6"/>
    <s v="Graduation"/>
    <s v="Married"/>
    <n v="34968"/>
    <n v="1"/>
    <n v="11"/>
    <n v="158"/>
    <n v="6"/>
    <n v="45"/>
    <n v="8"/>
    <n v="2"/>
    <n v="2"/>
    <n v="221"/>
    <n v="7"/>
    <n v="3"/>
    <n v="2"/>
    <n v="5"/>
    <n v="7"/>
    <n v="0"/>
    <n v="0"/>
    <n v="0"/>
    <n v="0"/>
    <n v="0"/>
    <n v="0"/>
    <n v="0"/>
  </r>
  <r>
    <d v="2013-04-08T00:00:00"/>
    <n v="8911"/>
    <n v="1967"/>
    <x v="0"/>
    <s v="PhD"/>
    <s v="Married"/>
    <n v="56320"/>
    <n v="1"/>
    <n v="11"/>
    <n v="201"/>
    <n v="53"/>
    <n v="172"/>
    <n v="116"/>
    <n v="77"/>
    <n v="83"/>
    <n v="702"/>
    <n v="3"/>
    <n v="5"/>
    <n v="4"/>
    <n v="9"/>
    <n v="4"/>
    <n v="0"/>
    <n v="0"/>
    <n v="0"/>
    <n v="0"/>
    <n v="0"/>
    <n v="0"/>
    <n v="0"/>
  </r>
  <r>
    <d v="2013-03-31T00:00:00"/>
    <n v="6606"/>
    <n v="1969"/>
    <x v="0"/>
    <s v="Master"/>
    <s v="Married"/>
    <n v="70091"/>
    <n v="1"/>
    <n v="11"/>
    <n v="964"/>
    <n v="34"/>
    <n v="137"/>
    <n v="15"/>
    <n v="0"/>
    <n v="11"/>
    <n v="1161"/>
    <n v="2"/>
    <n v="5"/>
    <n v="2"/>
    <n v="10"/>
    <n v="8"/>
    <n v="0"/>
    <n v="1"/>
    <n v="0"/>
    <n v="0"/>
    <n v="0"/>
    <n v="0"/>
    <n v="0"/>
  </r>
  <r>
    <d v="2013-03-31T00:00:00"/>
    <n v="2677"/>
    <n v="1956"/>
    <x v="6"/>
    <s v="Graduation"/>
    <s v="Together"/>
    <n v="46097"/>
    <n v="1"/>
    <n v="11"/>
    <n v="72"/>
    <n v="24"/>
    <n v="68"/>
    <n v="65"/>
    <n v="4"/>
    <n v="8"/>
    <n v="241"/>
    <n v="5"/>
    <n v="3"/>
    <n v="1"/>
    <n v="6"/>
    <n v="4"/>
    <n v="0"/>
    <n v="0"/>
    <n v="0"/>
    <n v="0"/>
    <n v="0"/>
    <n v="0"/>
    <n v="0"/>
  </r>
  <r>
    <d v="2013-03-17T00:00:00"/>
    <n v="252"/>
    <n v="1963"/>
    <x v="6"/>
    <s v="PhD"/>
    <s v="Divorced"/>
    <n v="41003"/>
    <n v="0"/>
    <n v="11"/>
    <n v="123"/>
    <n v="133"/>
    <n v="142"/>
    <n v="71"/>
    <n v="44"/>
    <n v="88"/>
    <n v="601"/>
    <n v="1"/>
    <n v="6"/>
    <n v="2"/>
    <n v="8"/>
    <n v="6"/>
    <n v="0"/>
    <n v="0"/>
    <n v="0"/>
    <n v="0"/>
    <n v="0"/>
    <n v="0"/>
    <n v="0"/>
  </r>
  <r>
    <d v="2013-03-15T00:00:00"/>
    <n v="9860"/>
    <n v="1959"/>
    <x v="0"/>
    <s v="Graduation"/>
    <s v="Together"/>
    <n v="44911"/>
    <n v="1"/>
    <n v="11"/>
    <n v="159"/>
    <n v="0"/>
    <n v="22"/>
    <n v="2"/>
    <n v="1"/>
    <n v="31"/>
    <n v="215"/>
    <n v="3"/>
    <n v="4"/>
    <n v="1"/>
    <n v="4"/>
    <n v="7"/>
    <n v="0"/>
    <n v="0"/>
    <n v="0"/>
    <n v="0"/>
    <n v="0"/>
    <n v="0"/>
    <n v="0"/>
  </r>
  <r>
    <d v="2013-02-20T00:00:00"/>
    <n v="1388"/>
    <n v="1975"/>
    <x v="3"/>
    <s v="Graduation"/>
    <s v="Single"/>
    <n v="33249"/>
    <n v="1"/>
    <n v="11"/>
    <n v="6"/>
    <n v="10"/>
    <n v="21"/>
    <n v="19"/>
    <n v="14"/>
    <n v="42"/>
    <n v="112"/>
    <n v="2"/>
    <n v="2"/>
    <n v="1"/>
    <n v="3"/>
    <n v="6"/>
    <n v="0"/>
    <n v="0"/>
    <n v="0"/>
    <n v="0"/>
    <n v="0"/>
    <n v="0"/>
    <n v="0"/>
  </r>
  <r>
    <d v="2013-02-20T00:00:00"/>
    <n v="979"/>
    <n v="1975"/>
    <x v="0"/>
    <s v="Graduation"/>
    <s v="Single"/>
    <n v="33249"/>
    <n v="1"/>
    <n v="11"/>
    <n v="6"/>
    <n v="10"/>
    <n v="21"/>
    <n v="19"/>
    <n v="14"/>
    <n v="42"/>
    <n v="112"/>
    <n v="2"/>
    <n v="2"/>
    <n v="1"/>
    <n v="3"/>
    <n v="6"/>
    <n v="0"/>
    <n v="0"/>
    <n v="0"/>
    <n v="0"/>
    <n v="0"/>
    <n v="0"/>
    <n v="0"/>
  </r>
  <r>
    <d v="2013-01-21T00:00:00"/>
    <n v="7494"/>
    <n v="1950"/>
    <x v="1"/>
    <s v="PhD"/>
    <s v="Divorced"/>
    <n v="42873"/>
    <n v="2"/>
    <n v="11"/>
    <n v="209"/>
    <n v="0"/>
    <n v="40"/>
    <n v="3"/>
    <n v="2"/>
    <n v="15"/>
    <n v="269"/>
    <n v="4"/>
    <n v="6"/>
    <n v="1"/>
    <n v="4"/>
    <n v="8"/>
    <n v="0"/>
    <n v="0"/>
    <n v="0"/>
    <n v="0"/>
    <n v="0"/>
    <n v="0"/>
    <n v="0"/>
  </r>
  <r>
    <d v="2012-12-10T00:00:00"/>
    <n v="10490"/>
    <n v="1969"/>
    <x v="3"/>
    <s v="PhD"/>
    <s v="Married"/>
    <n v="51039"/>
    <n v="2"/>
    <n v="11"/>
    <n v="100"/>
    <n v="64"/>
    <n v="79"/>
    <n v="65"/>
    <n v="0"/>
    <n v="109"/>
    <n v="417"/>
    <n v="2"/>
    <n v="6"/>
    <n v="2"/>
    <n v="4"/>
    <n v="7"/>
    <n v="0"/>
    <n v="0"/>
    <n v="0"/>
    <n v="0"/>
    <n v="0"/>
    <n v="0"/>
    <n v="0"/>
  </r>
  <r>
    <d v="2012-09-24T00:00:00"/>
    <n v="3403"/>
    <n v="1958"/>
    <x v="0"/>
    <s v="PhD"/>
    <s v="Together"/>
    <n v="78952"/>
    <n v="1"/>
    <n v="11"/>
    <n v="1170"/>
    <n v="19"/>
    <n v="594"/>
    <n v="99"/>
    <n v="76"/>
    <n v="134"/>
    <n v="2092"/>
    <n v="2"/>
    <n v="2"/>
    <n v="5"/>
    <n v="12"/>
    <n v="6"/>
    <n v="0"/>
    <n v="0"/>
    <n v="0"/>
    <n v="0"/>
    <n v="0"/>
    <n v="0"/>
    <n v="0"/>
  </r>
  <r>
    <d v="2012-08-06T00:00:00"/>
    <n v="2715"/>
    <n v="1966"/>
    <x v="1"/>
    <s v="Master"/>
    <s v="Divorced"/>
    <n v="29435"/>
    <n v="2"/>
    <n v="11"/>
    <n v="70"/>
    <n v="3"/>
    <n v="37"/>
    <n v="4"/>
    <n v="2"/>
    <n v="64"/>
    <n v="180"/>
    <n v="4"/>
    <n v="3"/>
    <n v="2"/>
    <n v="2"/>
    <n v="9"/>
    <n v="0"/>
    <n v="0"/>
    <n v="0"/>
    <n v="0"/>
    <n v="0"/>
    <n v="1"/>
    <n v="0"/>
  </r>
  <r>
    <d v="2014-06-18T00:00:00"/>
    <n v="4828"/>
    <n v="1954"/>
    <x v="6"/>
    <s v="Graduation"/>
    <s v="Divorced"/>
    <n v="79865"/>
    <n v="1"/>
    <n v="12"/>
    <n v="71"/>
    <n v="99"/>
    <n v="278"/>
    <n v="185"/>
    <n v="121"/>
    <n v="38"/>
    <n v="792"/>
    <n v="1"/>
    <n v="5"/>
    <n v="10"/>
    <n v="5"/>
    <n v="1"/>
    <n v="0"/>
    <n v="0"/>
    <n v="0"/>
    <n v="0"/>
    <n v="0"/>
    <n v="0"/>
    <n v="0"/>
  </r>
  <r>
    <d v="2014-05-12T00:00:00"/>
    <n v="92"/>
    <n v="1988"/>
    <x v="1"/>
    <s v="Graduation"/>
    <s v="Single"/>
    <n v="34176"/>
    <n v="1"/>
    <n v="12"/>
    <n v="5"/>
    <n v="7"/>
    <n v="24"/>
    <n v="19"/>
    <n v="14"/>
    <n v="20"/>
    <n v="89"/>
    <n v="4"/>
    <n v="3"/>
    <n v="0"/>
    <n v="4"/>
    <n v="6"/>
    <n v="0"/>
    <n v="0"/>
    <n v="0"/>
    <n v="0"/>
    <n v="0"/>
    <n v="0"/>
    <n v="0"/>
  </r>
  <r>
    <d v="2014-05-12T00:00:00"/>
    <n v="3312"/>
    <n v="1988"/>
    <x v="5"/>
    <s v="Graduation"/>
    <s v="Single"/>
    <n v="34176"/>
    <n v="1"/>
    <n v="12"/>
    <n v="5"/>
    <n v="7"/>
    <n v="24"/>
    <n v="19"/>
    <n v="14"/>
    <n v="20"/>
    <n v="89"/>
    <n v="4"/>
    <n v="3"/>
    <n v="0"/>
    <n v="4"/>
    <n v="6"/>
    <n v="0"/>
    <n v="0"/>
    <n v="0"/>
    <n v="0"/>
    <n v="0"/>
    <n v="0"/>
    <n v="0"/>
  </r>
  <r>
    <d v="2014-05-12T00:00:00"/>
    <n v="11176"/>
    <n v="1970"/>
    <x v="1"/>
    <s v="PhD"/>
    <s v="Together"/>
    <n v="65968"/>
    <n v="1"/>
    <n v="12"/>
    <n v="376"/>
    <n v="9"/>
    <n v="83"/>
    <n v="19"/>
    <n v="4"/>
    <n v="4"/>
    <n v="495"/>
    <n v="2"/>
    <n v="5"/>
    <n v="4"/>
    <n v="7"/>
    <n v="3"/>
    <n v="0"/>
    <n v="0"/>
    <n v="0"/>
    <n v="0"/>
    <n v="0"/>
    <n v="0"/>
    <n v="0"/>
  </r>
  <r>
    <d v="2014-04-05T00:00:00"/>
    <n v="1446"/>
    <n v="1956"/>
    <x v="6"/>
    <s v="Master"/>
    <s v="Single"/>
    <n v="86424"/>
    <n v="0"/>
    <n v="12"/>
    <n v="387"/>
    <n v="68"/>
    <n v="569"/>
    <n v="89"/>
    <n v="45"/>
    <n v="68"/>
    <n v="1226"/>
    <n v="1"/>
    <n v="6"/>
    <n v="9"/>
    <n v="12"/>
    <n v="1"/>
    <n v="0"/>
    <n v="0"/>
    <n v="0"/>
    <n v="0"/>
    <n v="0"/>
    <n v="0"/>
    <n v="0"/>
  </r>
  <r>
    <d v="2013-12-21T00:00:00"/>
    <n v="9699"/>
    <n v="1966"/>
    <x v="0"/>
    <s v="Graduation"/>
    <s v="Divorced"/>
    <n v="67272"/>
    <n v="1"/>
    <n v="12"/>
    <n v="357"/>
    <n v="35"/>
    <n v="271"/>
    <n v="28"/>
    <n v="28"/>
    <n v="14"/>
    <n v="733"/>
    <n v="3"/>
    <n v="6"/>
    <n v="2"/>
    <n v="12"/>
    <n v="5"/>
    <n v="0"/>
    <n v="0"/>
    <n v="0"/>
    <n v="0"/>
    <n v="0"/>
    <n v="0"/>
    <n v="0"/>
  </r>
  <r>
    <d v="2013-11-23T00:00:00"/>
    <n v="9790"/>
    <n v="1957"/>
    <x v="1"/>
    <s v="Graduation"/>
    <s v="Single"/>
    <n v="78499"/>
    <n v="0"/>
    <n v="12"/>
    <n v="912"/>
    <n v="72"/>
    <n v="170"/>
    <n v="47"/>
    <n v="36"/>
    <n v="97"/>
    <n v="1334"/>
    <n v="1"/>
    <n v="11"/>
    <n v="3"/>
    <n v="4"/>
    <n v="4"/>
    <n v="0"/>
    <n v="0"/>
    <n v="1"/>
    <n v="0"/>
    <n v="0"/>
    <n v="1"/>
    <n v="0"/>
  </r>
  <r>
    <d v="2013-10-27T00:00:00"/>
    <n v="2324"/>
    <n v="1972"/>
    <x v="0"/>
    <s v="Graduation"/>
    <s v="Together"/>
    <n v="77044"/>
    <n v="1"/>
    <n v="12"/>
    <n v="625"/>
    <n v="38"/>
    <n v="242"/>
    <n v="50"/>
    <n v="34"/>
    <n v="76"/>
    <n v="1065"/>
    <n v="2"/>
    <n v="7"/>
    <n v="11"/>
    <n v="11"/>
    <n v="4"/>
    <n v="1"/>
    <n v="0"/>
    <n v="0"/>
    <n v="0"/>
    <n v="0"/>
    <n v="0"/>
    <n v="0"/>
  </r>
  <r>
    <d v="2013-10-21T00:00:00"/>
    <n v="5080"/>
    <n v="1993"/>
    <x v="7"/>
    <s v="Graduation"/>
    <s v="Single"/>
    <n v="70515"/>
    <n v="0"/>
    <n v="12"/>
    <n v="420"/>
    <n v="0"/>
    <n v="452"/>
    <n v="182"/>
    <n v="64"/>
    <n v="140"/>
    <n v="1258"/>
    <n v="1"/>
    <n v="6"/>
    <n v="6"/>
    <n v="4"/>
    <n v="2"/>
    <n v="0"/>
    <n v="0"/>
    <n v="0"/>
    <n v="0"/>
    <n v="0"/>
    <n v="1"/>
    <n v="0"/>
  </r>
  <r>
    <d v="2013-09-19T00:00:00"/>
    <n v="4992"/>
    <n v="1975"/>
    <x v="0"/>
    <s v="Master"/>
    <s v="Together"/>
    <n v="17459"/>
    <n v="1"/>
    <n v="12"/>
    <n v="6"/>
    <n v="4"/>
    <n v="16"/>
    <n v="3"/>
    <n v="10"/>
    <n v="30"/>
    <n v="69"/>
    <n v="3"/>
    <n v="3"/>
    <n v="1"/>
    <n v="2"/>
    <n v="7"/>
    <n v="0"/>
    <n v="0"/>
    <n v="0"/>
    <n v="0"/>
    <n v="0"/>
    <n v="1"/>
    <n v="0"/>
  </r>
  <r>
    <d v="2013-09-09T00:00:00"/>
    <n v="7849"/>
    <n v="1970"/>
    <x v="0"/>
    <s v="PhD"/>
    <s v="Married"/>
    <n v="80336"/>
    <n v="0"/>
    <n v="12"/>
    <n v="209"/>
    <n v="19"/>
    <n v="456"/>
    <n v="160"/>
    <n v="142"/>
    <n v="66"/>
    <n v="1052"/>
    <n v="1"/>
    <n v="2"/>
    <n v="9"/>
    <n v="13"/>
    <n v="1"/>
    <n v="0"/>
    <n v="0"/>
    <n v="0"/>
    <n v="0"/>
    <n v="0"/>
    <n v="0"/>
    <n v="0"/>
  </r>
  <r>
    <d v="2013-09-05T00:00:00"/>
    <n v="4808"/>
    <n v="1956"/>
    <x v="0"/>
    <s v="Graduation"/>
    <s v="Married"/>
    <n v="15759"/>
    <n v="0"/>
    <n v="12"/>
    <n v="1"/>
    <n v="2"/>
    <n v="5"/>
    <n v="6"/>
    <n v="0"/>
    <n v="3"/>
    <n v="17"/>
    <n v="1"/>
    <n v="1"/>
    <n v="0"/>
    <n v="2"/>
    <n v="7"/>
    <n v="0"/>
    <n v="0"/>
    <n v="0"/>
    <n v="0"/>
    <n v="0"/>
    <n v="0"/>
    <n v="0"/>
  </r>
  <r>
    <d v="2013-09-04T00:00:00"/>
    <n v="10401"/>
    <n v="1976"/>
    <x v="4"/>
    <s v="2n Cycle"/>
    <s v="Together"/>
    <n v="26326"/>
    <n v="0"/>
    <n v="12"/>
    <n v="1"/>
    <n v="0"/>
    <n v="5"/>
    <n v="0"/>
    <n v="3"/>
    <n v="9"/>
    <n v="18"/>
    <n v="1"/>
    <n v="0"/>
    <n v="0"/>
    <n v="3"/>
    <n v="3"/>
    <n v="0"/>
    <n v="0"/>
    <n v="0"/>
    <n v="0"/>
    <n v="0"/>
    <n v="0"/>
    <n v="1"/>
  </r>
  <r>
    <d v="2013-08-31T00:00:00"/>
    <n v="7793"/>
    <n v="1976"/>
    <x v="0"/>
    <s v="Graduation"/>
    <s v="Together"/>
    <n v="62061"/>
    <n v="1"/>
    <n v="12"/>
    <n v="641"/>
    <n v="7"/>
    <n v="84"/>
    <n v="0"/>
    <n v="30"/>
    <n v="38"/>
    <n v="800"/>
    <n v="3"/>
    <n v="10"/>
    <n v="4"/>
    <n v="7"/>
    <n v="6"/>
    <n v="0"/>
    <n v="1"/>
    <n v="0"/>
    <n v="0"/>
    <n v="0"/>
    <n v="0"/>
    <n v="0"/>
  </r>
  <r>
    <d v="2013-07-30T00:00:00"/>
    <n v="9303"/>
    <n v="1976"/>
    <x v="5"/>
    <s v="Graduation"/>
    <s v="Married"/>
    <n v="5305"/>
    <n v="1"/>
    <n v="12"/>
    <n v="12"/>
    <n v="4"/>
    <n v="7"/>
    <n v="1"/>
    <n v="3"/>
    <n v="5"/>
    <n v="32"/>
    <n v="0"/>
    <n v="1"/>
    <n v="0"/>
    <n v="0"/>
    <n v="13"/>
    <n v="0"/>
    <n v="0"/>
    <n v="0"/>
    <n v="0"/>
    <n v="0"/>
    <n v="0"/>
    <n v="0"/>
  </r>
  <r>
    <d v="2013-07-04T00:00:00"/>
    <n v="6853"/>
    <n v="1982"/>
    <x v="3"/>
    <s v="Master"/>
    <s v="Single"/>
    <n v="75777"/>
    <n v="0"/>
    <n v="12"/>
    <n v="712"/>
    <n v="26"/>
    <n v="538"/>
    <n v="69"/>
    <n v="13"/>
    <n v="80"/>
    <n v="1438"/>
    <n v="1"/>
    <n v="3"/>
    <n v="6"/>
    <n v="11"/>
    <n v="1"/>
    <n v="0"/>
    <n v="1"/>
    <n v="1"/>
    <n v="0"/>
    <n v="0"/>
    <n v="1"/>
    <n v="0"/>
  </r>
  <r>
    <d v="2013-07-04T00:00:00"/>
    <n v="7366"/>
    <n v="1982"/>
    <x v="5"/>
    <s v="Master"/>
    <s v="Single"/>
    <n v="75777"/>
    <n v="0"/>
    <n v="12"/>
    <n v="712"/>
    <n v="26"/>
    <n v="538"/>
    <n v="69"/>
    <n v="13"/>
    <n v="80"/>
    <n v="1438"/>
    <n v="1"/>
    <n v="3"/>
    <n v="6"/>
    <n v="11"/>
    <n v="1"/>
    <n v="0"/>
    <n v="1"/>
    <n v="1"/>
    <n v="0"/>
    <n v="0"/>
    <n v="1"/>
    <n v="0"/>
  </r>
  <r>
    <d v="2013-06-25T00:00:00"/>
    <n v="9780"/>
    <n v="1971"/>
    <x v="0"/>
    <s v="Master"/>
    <s v="Together"/>
    <n v="71499"/>
    <n v="1"/>
    <n v="12"/>
    <n v="465"/>
    <n v="25"/>
    <n v="132"/>
    <n v="136"/>
    <n v="0"/>
    <n v="37"/>
    <n v="795"/>
    <n v="2"/>
    <n v="8"/>
    <n v="3"/>
    <n v="13"/>
    <n v="4"/>
    <n v="0"/>
    <n v="0"/>
    <n v="0"/>
    <n v="0"/>
    <n v="0"/>
    <n v="0"/>
    <n v="0"/>
  </r>
  <r>
    <d v="2013-05-10T00:00:00"/>
    <n v="7573"/>
    <n v="1978"/>
    <x v="4"/>
    <s v="PhD"/>
    <s v="Single"/>
    <n v="31626"/>
    <n v="1"/>
    <n v="12"/>
    <n v="39"/>
    <n v="1"/>
    <n v="9"/>
    <n v="2"/>
    <n v="1"/>
    <n v="34"/>
    <n v="86"/>
    <n v="1"/>
    <n v="2"/>
    <n v="1"/>
    <n v="2"/>
    <n v="7"/>
    <n v="1"/>
    <n v="0"/>
    <n v="0"/>
    <n v="0"/>
    <n v="0"/>
    <n v="1"/>
    <n v="0"/>
  </r>
  <r>
    <d v="2013-04-27T00:00:00"/>
    <n v="1379"/>
    <n v="1992"/>
    <x v="6"/>
    <s v="Master"/>
    <s v="Together"/>
    <n v="42670"/>
    <n v="0"/>
    <n v="12"/>
    <n v="154"/>
    <n v="2"/>
    <n v="46"/>
    <n v="20"/>
    <n v="4"/>
    <n v="15"/>
    <n v="241"/>
    <n v="1"/>
    <n v="4"/>
    <n v="2"/>
    <n v="4"/>
    <n v="4"/>
    <n v="0"/>
    <n v="0"/>
    <n v="0"/>
    <n v="0"/>
    <n v="0"/>
    <n v="0"/>
    <n v="0"/>
  </r>
  <r>
    <d v="2013-04-18T00:00:00"/>
    <n v="8923"/>
    <n v="1973"/>
    <x v="0"/>
    <s v="Graduation"/>
    <s v="Single"/>
    <n v="83917"/>
    <n v="0"/>
    <n v="12"/>
    <n v="514"/>
    <n v="22"/>
    <n v="732"/>
    <n v="42"/>
    <n v="198"/>
    <n v="79"/>
    <n v="1587"/>
    <n v="1"/>
    <n v="6"/>
    <n v="7"/>
    <n v="7"/>
    <n v="3"/>
    <n v="0"/>
    <n v="0"/>
    <n v="0"/>
    <n v="0"/>
    <n v="0"/>
    <n v="1"/>
    <n v="0"/>
  </r>
  <r>
    <d v="2012-12-30T00:00:00"/>
    <n v="3547"/>
    <n v="1969"/>
    <x v="6"/>
    <s v="Master"/>
    <s v="Together"/>
    <n v="41021"/>
    <n v="1"/>
    <n v="12"/>
    <n v="14"/>
    <n v="7"/>
    <n v="9"/>
    <n v="6"/>
    <n v="16"/>
    <n v="12"/>
    <n v="64"/>
    <n v="2"/>
    <n v="2"/>
    <n v="0"/>
    <n v="3"/>
    <n v="6"/>
    <n v="0"/>
    <n v="0"/>
    <n v="0"/>
    <n v="0"/>
    <n v="0"/>
    <n v="1"/>
    <n v="0"/>
  </r>
  <r>
    <d v="2012-08-22T00:00:00"/>
    <n v="8707"/>
    <n v="1956"/>
    <x v="0"/>
    <s v="Graduation"/>
    <s v="Married"/>
    <n v="79456"/>
    <n v="0"/>
    <n v="12"/>
    <n v="565"/>
    <n v="42"/>
    <n v="548"/>
    <n v="64"/>
    <n v="83"/>
    <n v="99"/>
    <n v="1401"/>
    <n v="1"/>
    <n v="5"/>
    <n v="6"/>
    <n v="4"/>
    <n v="3"/>
    <n v="0"/>
    <n v="0"/>
    <n v="0"/>
    <n v="0"/>
    <n v="0"/>
    <n v="1"/>
    <n v="0"/>
  </r>
  <r>
    <d v="2012-08-08T00:00:00"/>
    <n v="1891"/>
    <n v="1980"/>
    <x v="0"/>
    <s v="Master"/>
    <s v="Divorced"/>
    <n v="78789"/>
    <n v="0"/>
    <n v="12"/>
    <n v="667"/>
    <n v="50"/>
    <n v="850"/>
    <n v="21"/>
    <n v="83"/>
    <n v="83"/>
    <n v="1754"/>
    <n v="1"/>
    <n v="4"/>
    <n v="6"/>
    <n v="5"/>
    <n v="2"/>
    <n v="0"/>
    <n v="0"/>
    <n v="0"/>
    <n v="0"/>
    <n v="0"/>
    <n v="1"/>
    <n v="0"/>
  </r>
  <r>
    <d v="2014-06-19T00:00:00"/>
    <n v="6271"/>
    <n v="1952"/>
    <x v="0"/>
    <s v="PhD"/>
    <s v="Married"/>
    <n v="50870"/>
    <n v="1"/>
    <n v="13"/>
    <n v="53"/>
    <n v="0"/>
    <n v="8"/>
    <n v="0"/>
    <n v="0"/>
    <n v="2"/>
    <n v="63"/>
    <n v="1"/>
    <n v="2"/>
    <n v="0"/>
    <n v="3"/>
    <n v="5"/>
    <n v="0"/>
    <n v="0"/>
    <n v="0"/>
    <n v="0"/>
    <n v="0"/>
    <n v="0"/>
    <n v="0"/>
  </r>
  <r>
    <d v="2014-04-20T00:00:00"/>
    <n v="9635"/>
    <n v="1983"/>
    <x v="0"/>
    <s v="Master"/>
    <s v="Married"/>
    <n v="35876"/>
    <n v="0"/>
    <n v="13"/>
    <n v="66"/>
    <n v="2"/>
    <n v="40"/>
    <n v="4"/>
    <n v="3"/>
    <n v="14"/>
    <n v="129"/>
    <n v="1"/>
    <n v="3"/>
    <n v="1"/>
    <n v="3"/>
    <n v="6"/>
    <n v="0"/>
    <n v="0"/>
    <n v="0"/>
    <n v="0"/>
    <n v="0"/>
    <n v="0"/>
    <n v="0"/>
  </r>
  <r>
    <d v="2014-02-28T00:00:00"/>
    <n v="9727"/>
    <n v="1957"/>
    <x v="1"/>
    <s v="Graduation"/>
    <s v="Married"/>
    <n v="23539"/>
    <n v="0"/>
    <n v="13"/>
    <n v="4"/>
    <n v="24"/>
    <n v="11"/>
    <n v="16"/>
    <n v="1"/>
    <n v="25"/>
    <n v="81"/>
    <n v="1"/>
    <n v="2"/>
    <n v="0"/>
    <n v="4"/>
    <n v="6"/>
    <n v="0"/>
    <n v="0"/>
    <n v="0"/>
    <n v="0"/>
    <n v="0"/>
    <n v="0"/>
    <n v="0"/>
  </r>
  <r>
    <d v="2014-02-24T00:00:00"/>
    <n v="6205"/>
    <n v="1967"/>
    <x v="1"/>
    <s v="Master"/>
    <s v="Single"/>
    <n v="32557"/>
    <n v="1"/>
    <n v="13"/>
    <n v="34"/>
    <n v="3"/>
    <n v="29"/>
    <n v="0"/>
    <n v="4"/>
    <n v="10"/>
    <n v="80"/>
    <n v="3"/>
    <n v="2"/>
    <n v="1"/>
    <n v="3"/>
    <n v="5"/>
    <n v="0"/>
    <n v="0"/>
    <n v="0"/>
    <n v="0"/>
    <n v="0"/>
    <n v="1"/>
    <n v="0"/>
  </r>
  <r>
    <d v="2014-01-15T00:00:00"/>
    <n v="10681"/>
    <n v="1970"/>
    <x v="0"/>
    <s v="2n Cycle"/>
    <s v="Married"/>
    <n v="62466"/>
    <n v="1"/>
    <n v="13"/>
    <n v="129"/>
    <n v="129"/>
    <n v="259"/>
    <n v="168"/>
    <n v="121"/>
    <n v="83"/>
    <n v="889"/>
    <n v="5"/>
    <n v="6"/>
    <n v="3"/>
    <n v="12"/>
    <n v="4"/>
    <n v="0"/>
    <n v="0"/>
    <n v="0"/>
    <n v="0"/>
    <n v="0"/>
    <n v="0"/>
    <n v="0"/>
  </r>
  <r>
    <d v="2014-01-15T00:00:00"/>
    <n v="5156"/>
    <n v="1970"/>
    <x v="0"/>
    <s v="2n Cycle"/>
    <s v="Married"/>
    <n v="62466"/>
    <n v="1"/>
    <n v="13"/>
    <n v="129"/>
    <n v="129"/>
    <n v="259"/>
    <n v="168"/>
    <n v="121"/>
    <n v="83"/>
    <n v="889"/>
    <n v="5"/>
    <n v="6"/>
    <n v="3"/>
    <n v="12"/>
    <n v="4"/>
    <n v="0"/>
    <n v="0"/>
    <n v="0"/>
    <n v="0"/>
    <n v="0"/>
    <n v="0"/>
    <n v="0"/>
  </r>
  <r>
    <d v="2013-12-17T00:00:00"/>
    <n v="3050"/>
    <n v="1966"/>
    <x v="0"/>
    <s v="Graduation"/>
    <s v="Married"/>
    <n v="54198"/>
    <n v="2"/>
    <n v="13"/>
    <n v="185"/>
    <n v="0"/>
    <n v="28"/>
    <n v="3"/>
    <n v="2"/>
    <n v="17"/>
    <n v="235"/>
    <n v="6"/>
    <n v="3"/>
    <n v="1"/>
    <n v="6"/>
    <n v="4"/>
    <n v="0"/>
    <n v="0"/>
    <n v="0"/>
    <n v="0"/>
    <n v="0"/>
    <n v="0"/>
    <n v="0"/>
  </r>
  <r>
    <d v="2013-11-25T00:00:00"/>
    <n v="8164"/>
    <n v="1978"/>
    <x v="6"/>
    <s v="PhD"/>
    <s v="Married"/>
    <n v="82170"/>
    <n v="0"/>
    <n v="13"/>
    <n v="1023"/>
    <n v="93"/>
    <n v="651"/>
    <n v="49"/>
    <n v="55"/>
    <n v="37"/>
    <n v="1908"/>
    <n v="1"/>
    <n v="5"/>
    <n v="6"/>
    <n v="7"/>
    <n v="2"/>
    <n v="0"/>
    <n v="0"/>
    <n v="0"/>
    <n v="0"/>
    <n v="0"/>
    <n v="0"/>
    <n v="0"/>
  </r>
  <r>
    <d v="2013-11-23T00:00:00"/>
    <n v="5626"/>
    <n v="1964"/>
    <x v="0"/>
    <s v="PhD"/>
    <s v="Single"/>
    <n v="61798"/>
    <n v="0"/>
    <n v="13"/>
    <n v="338"/>
    <n v="4"/>
    <n v="89"/>
    <n v="11"/>
    <n v="8"/>
    <n v="13"/>
    <n v="463"/>
    <n v="1"/>
    <n v="4"/>
    <n v="2"/>
    <n v="9"/>
    <n v="4"/>
    <n v="0"/>
    <n v="0"/>
    <n v="0"/>
    <n v="0"/>
    <n v="0"/>
    <n v="0"/>
    <n v="0"/>
  </r>
  <r>
    <d v="2013-10-28T00:00:00"/>
    <n v="7600"/>
    <n v="1992"/>
    <x v="1"/>
    <s v="Basic"/>
    <s v="Single"/>
    <n v="15253"/>
    <n v="1"/>
    <n v="13"/>
    <n v="1"/>
    <n v="3"/>
    <n v="3"/>
    <n v="8"/>
    <n v="1"/>
    <n v="13"/>
    <n v="29"/>
    <n v="2"/>
    <n v="1"/>
    <n v="0"/>
    <n v="3"/>
    <n v="7"/>
    <n v="0"/>
    <n v="0"/>
    <n v="0"/>
    <n v="0"/>
    <n v="0"/>
    <n v="0"/>
    <n v="0"/>
  </r>
  <r>
    <d v="2013-10-28T00:00:00"/>
    <n v="6406"/>
    <n v="1988"/>
    <x v="4"/>
    <s v="Master"/>
    <s v="Married"/>
    <n v="78285"/>
    <n v="0"/>
    <n v="13"/>
    <n v="647"/>
    <n v="107"/>
    <n v="391"/>
    <n v="175"/>
    <n v="67"/>
    <n v="40"/>
    <n v="1427"/>
    <n v="1"/>
    <n v="6"/>
    <n v="4"/>
    <n v="10"/>
    <n v="3"/>
    <n v="0"/>
    <n v="0"/>
    <n v="0"/>
    <n v="0"/>
    <n v="0"/>
    <n v="0"/>
    <n v="0"/>
  </r>
  <r>
    <d v="2013-10-03T00:00:00"/>
    <n v="7002"/>
    <n v="1955"/>
    <x v="0"/>
    <s v="Graduation"/>
    <s v="Single"/>
    <n v="62535"/>
    <n v="1"/>
    <n v="13"/>
    <n v="163"/>
    <n v="48"/>
    <n v="90"/>
    <n v="0"/>
    <n v="45"/>
    <n v="52"/>
    <n v="398"/>
    <n v="1"/>
    <n v="3"/>
    <n v="2"/>
    <n v="8"/>
    <n v="3"/>
    <n v="0"/>
    <n v="0"/>
    <n v="0"/>
    <n v="0"/>
    <n v="0"/>
    <n v="0"/>
    <n v="0"/>
  </r>
  <r>
    <d v="2013-08-15T00:00:00"/>
    <n v="8234"/>
    <n v="1973"/>
    <x v="0"/>
    <s v="Basic"/>
    <s v="Together"/>
    <n v="27190"/>
    <n v="1"/>
    <n v="13"/>
    <n v="1"/>
    <n v="6"/>
    <n v="7"/>
    <n v="0"/>
    <n v="1"/>
    <n v="3"/>
    <n v="18"/>
    <n v="1"/>
    <n v="1"/>
    <n v="0"/>
    <n v="2"/>
    <n v="8"/>
    <n v="1"/>
    <n v="0"/>
    <n v="0"/>
    <n v="0"/>
    <n v="0"/>
    <n v="1"/>
    <n v="0"/>
  </r>
  <r>
    <d v="2013-07-05T00:00:00"/>
    <n v="6116"/>
    <n v="1968"/>
    <x v="0"/>
    <s v="2n Cycle"/>
    <s v="Married"/>
    <n v="48985"/>
    <n v="1"/>
    <n v="13"/>
    <n v="19"/>
    <n v="13"/>
    <n v="18"/>
    <n v="10"/>
    <n v="7"/>
    <n v="8"/>
    <n v="75"/>
    <n v="1"/>
    <n v="1"/>
    <n v="1"/>
    <n v="3"/>
    <n v="3"/>
    <n v="0"/>
    <n v="0"/>
    <n v="0"/>
    <n v="0"/>
    <n v="0"/>
    <n v="0"/>
    <n v="0"/>
  </r>
  <r>
    <d v="2013-06-19T00:00:00"/>
    <n v="291"/>
    <n v="1970"/>
    <x v="6"/>
    <s v="Graduation"/>
    <s v="Married"/>
    <n v="72940"/>
    <n v="0"/>
    <n v="13"/>
    <n v="182"/>
    <n v="74"/>
    <n v="298"/>
    <n v="162"/>
    <n v="149"/>
    <n v="116"/>
    <n v="981"/>
    <n v="1"/>
    <n v="3"/>
    <n v="3"/>
    <n v="6"/>
    <n v="1"/>
    <n v="0"/>
    <n v="0"/>
    <n v="0"/>
    <n v="0"/>
    <n v="0"/>
    <n v="0"/>
    <n v="0"/>
  </r>
  <r>
    <d v="2013-06-16T00:00:00"/>
    <n v="8779"/>
    <n v="1985"/>
    <x v="2"/>
    <s v="2n Cycle"/>
    <s v="Married"/>
    <n v="36145"/>
    <n v="1"/>
    <n v="13"/>
    <n v="56"/>
    <n v="4"/>
    <n v="76"/>
    <n v="17"/>
    <n v="1"/>
    <n v="18"/>
    <n v="172"/>
    <n v="4"/>
    <n v="4"/>
    <n v="1"/>
    <n v="3"/>
    <n v="9"/>
    <n v="1"/>
    <n v="0"/>
    <n v="0"/>
    <n v="0"/>
    <n v="0"/>
    <n v="1"/>
    <n v="0"/>
  </r>
  <r>
    <d v="2013-04-29T00:00:00"/>
    <n v="4931"/>
    <n v="1977"/>
    <x v="6"/>
    <s v="Graduation"/>
    <s v="Together"/>
    <n v="157146"/>
    <n v="0"/>
    <n v="13"/>
    <n v="1"/>
    <n v="0"/>
    <n v="1725"/>
    <n v="2"/>
    <n v="1"/>
    <n v="1"/>
    <n v="1730"/>
    <n v="0"/>
    <n v="0"/>
    <n v="28"/>
    <n v="0"/>
    <n v="1"/>
    <n v="0"/>
    <n v="0"/>
    <n v="0"/>
    <n v="0"/>
    <n v="0"/>
    <n v="0"/>
    <n v="0"/>
  </r>
  <r>
    <d v="2013-04-22T00:00:00"/>
    <n v="1650"/>
    <n v="1960"/>
    <x v="0"/>
    <s v="Master"/>
    <s v="Married"/>
    <n v="81843"/>
    <n v="0"/>
    <n v="13"/>
    <n v="779"/>
    <n v="86"/>
    <n v="537"/>
    <n v="34"/>
    <n v="69"/>
    <n v="138"/>
    <n v="1643"/>
    <n v="1"/>
    <n v="5"/>
    <n v="9"/>
    <n v="12"/>
    <n v="3"/>
    <n v="0"/>
    <n v="0"/>
    <n v="0"/>
    <n v="0"/>
    <n v="0"/>
    <n v="0"/>
    <n v="0"/>
  </r>
  <r>
    <d v="2013-03-19T00:00:00"/>
    <n v="9701"/>
    <n v="1988"/>
    <x v="1"/>
    <s v="Graduation"/>
    <s v="Together"/>
    <n v="41883"/>
    <n v="1"/>
    <n v="13"/>
    <n v="32"/>
    <n v="34"/>
    <n v="41"/>
    <n v="73"/>
    <n v="16"/>
    <n v="116"/>
    <n v="312"/>
    <n v="3"/>
    <n v="4"/>
    <n v="2"/>
    <n v="3"/>
    <n v="7"/>
    <n v="0"/>
    <n v="0"/>
    <n v="0"/>
    <n v="0"/>
    <n v="0"/>
    <n v="0"/>
    <n v="0"/>
  </r>
  <r>
    <d v="2013-02-23T00:00:00"/>
    <n v="6431"/>
    <n v="1964"/>
    <x v="5"/>
    <s v="PhD"/>
    <s v="Married"/>
    <n v="45759"/>
    <n v="2"/>
    <n v="13"/>
    <n v="42"/>
    <n v="1"/>
    <n v="18"/>
    <n v="3"/>
    <n v="0"/>
    <n v="4"/>
    <n v="68"/>
    <n v="2"/>
    <n v="2"/>
    <n v="0"/>
    <n v="3"/>
    <n v="7"/>
    <n v="0"/>
    <n v="0"/>
    <n v="0"/>
    <n v="0"/>
    <n v="0"/>
    <n v="0"/>
    <n v="0"/>
  </r>
  <r>
    <d v="2013-02-23T00:00:00"/>
    <n v="10789"/>
    <n v="1964"/>
    <x v="0"/>
    <s v="PhD"/>
    <s v="Married"/>
    <n v="45759"/>
    <n v="2"/>
    <n v="13"/>
    <n v="42"/>
    <n v="1"/>
    <n v="18"/>
    <n v="3"/>
    <n v="0"/>
    <n v="4"/>
    <n v="68"/>
    <n v="2"/>
    <n v="2"/>
    <n v="0"/>
    <n v="3"/>
    <n v="7"/>
    <n v="0"/>
    <n v="0"/>
    <n v="0"/>
    <n v="0"/>
    <n v="0"/>
    <n v="0"/>
    <n v="0"/>
  </r>
  <r>
    <d v="2013-02-15T00:00:00"/>
    <n v="5302"/>
    <n v="1986"/>
    <x v="0"/>
    <s v="Graduation"/>
    <s v="Together"/>
    <n v="78394"/>
    <n v="0"/>
    <n v="13"/>
    <n v="298"/>
    <n v="27"/>
    <n v="697"/>
    <n v="216"/>
    <n v="24"/>
    <n v="166"/>
    <n v="1428"/>
    <n v="1"/>
    <n v="4"/>
    <n v="6"/>
    <n v="5"/>
    <n v="2"/>
    <n v="0"/>
    <n v="0"/>
    <n v="0"/>
    <n v="0"/>
    <n v="0"/>
    <n v="1"/>
    <n v="0"/>
  </r>
  <r>
    <d v="2012-12-30T00:00:00"/>
    <n v="4459"/>
    <n v="1989"/>
    <x v="0"/>
    <s v="Graduation"/>
    <s v="Single"/>
    <n v="30279"/>
    <n v="1"/>
    <n v="13"/>
    <n v="10"/>
    <n v="4"/>
    <n v="14"/>
    <n v="4"/>
    <n v="4"/>
    <n v="1"/>
    <n v="37"/>
    <n v="1"/>
    <n v="1"/>
    <n v="0"/>
    <n v="3"/>
    <n v="8"/>
    <n v="0"/>
    <n v="0"/>
    <n v="0"/>
    <n v="0"/>
    <n v="0"/>
    <n v="0"/>
    <n v="0"/>
  </r>
  <r>
    <d v="2012-12-30T00:00:00"/>
    <n v="10642"/>
    <n v="1989"/>
    <x v="0"/>
    <s v="Graduation"/>
    <s v="Single"/>
    <n v="30279"/>
    <n v="1"/>
    <n v="13"/>
    <n v="10"/>
    <n v="4"/>
    <n v="14"/>
    <n v="4"/>
    <n v="4"/>
    <n v="1"/>
    <n v="37"/>
    <n v="1"/>
    <n v="1"/>
    <n v="0"/>
    <n v="3"/>
    <n v="8"/>
    <n v="0"/>
    <n v="0"/>
    <n v="0"/>
    <n v="0"/>
    <n v="0"/>
    <n v="0"/>
    <n v="0"/>
  </r>
  <r>
    <d v="2012-10-31T00:00:00"/>
    <n v="9213"/>
    <n v="1970"/>
    <x v="0"/>
    <s v="Graduation"/>
    <s v="Widow"/>
    <n v="31880"/>
    <n v="1"/>
    <n v="13"/>
    <n v="4"/>
    <n v="1"/>
    <n v="5"/>
    <n v="2"/>
    <n v="0"/>
    <n v="3"/>
    <n v="15"/>
    <n v="1"/>
    <n v="1"/>
    <n v="0"/>
    <n v="2"/>
    <n v="8"/>
    <n v="0"/>
    <n v="0"/>
    <n v="0"/>
    <n v="0"/>
    <n v="0"/>
    <n v="0"/>
    <n v="0"/>
  </r>
  <r>
    <d v="2012-10-07T00:00:00"/>
    <n v="3678"/>
    <n v="1973"/>
    <x v="0"/>
    <s v="Graduation"/>
    <s v="Widow"/>
    <n v="60208"/>
    <n v="2"/>
    <n v="13"/>
    <n v="488"/>
    <n v="23"/>
    <n v="71"/>
    <n v="15"/>
    <n v="0"/>
    <n v="59"/>
    <n v="656"/>
    <n v="11"/>
    <n v="8"/>
    <n v="3"/>
    <n v="7"/>
    <n v="7"/>
    <n v="0"/>
    <n v="1"/>
    <n v="0"/>
    <n v="0"/>
    <n v="0"/>
    <n v="1"/>
    <n v="0"/>
  </r>
  <r>
    <d v="2012-08-09T00:00:00"/>
    <n v="3698"/>
    <n v="1983"/>
    <x v="0"/>
    <s v="Graduation"/>
    <s v="Together"/>
    <n v="78687"/>
    <n v="0"/>
    <n v="13"/>
    <n v="817"/>
    <n v="185"/>
    <n v="687"/>
    <n v="145"/>
    <n v="55"/>
    <n v="241"/>
    <n v="2130"/>
    <n v="1"/>
    <n v="4"/>
    <n v="6"/>
    <n v="8"/>
    <n v="2"/>
    <n v="0"/>
    <n v="0"/>
    <n v="1"/>
    <n v="0"/>
    <n v="0"/>
    <n v="1"/>
    <n v="0"/>
  </r>
  <r>
    <d v="2014-05-06T00:00:00"/>
    <n v="5929"/>
    <n v="1973"/>
    <x v="0"/>
    <s v="PhD"/>
    <s v="Married"/>
    <n v="37401"/>
    <n v="1"/>
    <n v="14"/>
    <n v="19"/>
    <n v="3"/>
    <n v="19"/>
    <n v="3"/>
    <n v="1"/>
    <n v="3"/>
    <n v="48"/>
    <n v="2"/>
    <n v="2"/>
    <n v="0"/>
    <n v="3"/>
    <n v="7"/>
    <n v="0"/>
    <n v="0"/>
    <n v="0"/>
    <n v="0"/>
    <n v="0"/>
    <n v="0"/>
    <n v="0"/>
  </r>
  <r>
    <d v="2014-05-06T00:00:00"/>
    <n v="10795"/>
    <n v="1973"/>
    <x v="5"/>
    <s v="PhD"/>
    <s v="Married"/>
    <n v="37401"/>
    <n v="1"/>
    <n v="14"/>
    <n v="19"/>
    <n v="3"/>
    <n v="19"/>
    <n v="3"/>
    <n v="1"/>
    <n v="3"/>
    <n v="48"/>
    <n v="2"/>
    <n v="2"/>
    <n v="0"/>
    <n v="3"/>
    <n v="7"/>
    <n v="0"/>
    <n v="0"/>
    <n v="0"/>
    <n v="0"/>
    <n v="0"/>
    <n v="0"/>
    <n v="0"/>
  </r>
  <r>
    <d v="2014-04-15T00:00:00"/>
    <n v="4390"/>
    <n v="1954"/>
    <x v="6"/>
    <s v="Graduation"/>
    <s v="Together"/>
    <n v="75315"/>
    <n v="1"/>
    <n v="14"/>
    <n v="459"/>
    <n v="15"/>
    <n v="171"/>
    <n v="142"/>
    <n v="23"/>
    <n v="31"/>
    <n v="841"/>
    <n v="2"/>
    <n v="5"/>
    <n v="4"/>
    <n v="12"/>
    <n v="2"/>
    <n v="0"/>
    <n v="0"/>
    <n v="0"/>
    <n v="0"/>
    <n v="0"/>
    <n v="0"/>
    <n v="0"/>
  </r>
  <r>
    <d v="2014-03-05T00:00:00"/>
    <n v="9362"/>
    <n v="1965"/>
    <x v="1"/>
    <s v="Graduation"/>
    <s v="Single"/>
    <n v="69263"/>
    <n v="1"/>
    <n v="14"/>
    <n v="492"/>
    <n v="5"/>
    <n v="32"/>
    <n v="13"/>
    <n v="5"/>
    <n v="21"/>
    <n v="568"/>
    <n v="1"/>
    <n v="9"/>
    <n v="1"/>
    <n v="7"/>
    <n v="6"/>
    <n v="0"/>
    <n v="1"/>
    <n v="0"/>
    <n v="0"/>
    <n v="0"/>
    <n v="0"/>
    <n v="0"/>
  </r>
  <r>
    <d v="2014-02-19T00:00:00"/>
    <n v="1577"/>
    <n v="1946"/>
    <x v="0"/>
    <s v="Graduation"/>
    <s v="Married"/>
    <n v="78569"/>
    <n v="0"/>
    <n v="14"/>
    <n v="558"/>
    <n v="79"/>
    <n v="622"/>
    <n v="207"/>
    <n v="175"/>
    <n v="95"/>
    <n v="1736"/>
    <n v="1"/>
    <n v="4"/>
    <n v="6"/>
    <n v="4"/>
    <n v="1"/>
    <n v="0"/>
    <n v="0"/>
    <n v="1"/>
    <n v="0"/>
    <n v="0"/>
    <n v="1"/>
    <n v="0"/>
  </r>
  <r>
    <d v="2014-01-11T00:00:00"/>
    <n v="4609"/>
    <n v="1966"/>
    <x v="0"/>
    <s v="PhD"/>
    <s v="Married"/>
    <n v="57705"/>
    <n v="1"/>
    <n v="14"/>
    <n v="383"/>
    <n v="0"/>
    <n v="53"/>
    <n v="6"/>
    <n v="4"/>
    <n v="40"/>
    <n v="486"/>
    <n v="3"/>
    <n v="8"/>
    <n v="1"/>
    <n v="6"/>
    <n v="6"/>
    <n v="0"/>
    <n v="0"/>
    <n v="0"/>
    <n v="0"/>
    <n v="0"/>
    <n v="0"/>
    <n v="0"/>
  </r>
  <r>
    <d v="2013-11-06T00:00:00"/>
    <n v="7143"/>
    <n v="1955"/>
    <x v="0"/>
    <s v="2n Cycle"/>
    <s v="Together"/>
    <n v="74805"/>
    <n v="1"/>
    <n v="14"/>
    <n v="209"/>
    <n v="162"/>
    <n v="209"/>
    <n v="41"/>
    <n v="162"/>
    <n v="37"/>
    <n v="820"/>
    <n v="5"/>
    <n v="4"/>
    <n v="7"/>
    <n v="10"/>
    <n v="2"/>
    <n v="0"/>
    <n v="0"/>
    <n v="0"/>
    <n v="0"/>
    <n v="0"/>
    <n v="0"/>
    <n v="0"/>
  </r>
  <r>
    <d v="2013-10-02T00:00:00"/>
    <n v="1729"/>
    <n v="1961"/>
    <x v="0"/>
    <s v="PhD"/>
    <s v="Together"/>
    <n v="66426"/>
    <n v="1"/>
    <n v="14"/>
    <n v="1043"/>
    <n v="24"/>
    <n v="97"/>
    <n v="32"/>
    <n v="24"/>
    <n v="157"/>
    <n v="1377"/>
    <n v="2"/>
    <n v="3"/>
    <n v="5"/>
    <n v="10"/>
    <n v="6"/>
    <n v="0"/>
    <n v="0"/>
    <n v="0"/>
    <n v="0"/>
    <n v="0"/>
    <n v="0"/>
    <n v="0"/>
  </r>
  <r>
    <d v="2013-09-07T00:00:00"/>
    <n v="10664"/>
    <n v="1949"/>
    <x v="0"/>
    <s v="Master"/>
    <s v="Widow"/>
    <n v="51529"/>
    <n v="1"/>
    <n v="14"/>
    <n v="400"/>
    <n v="4"/>
    <n v="35"/>
    <n v="6"/>
    <n v="0"/>
    <n v="22"/>
    <n v="467"/>
    <n v="2"/>
    <n v="9"/>
    <n v="1"/>
    <n v="5"/>
    <n v="8"/>
    <n v="0"/>
    <n v="0"/>
    <n v="0"/>
    <n v="0"/>
    <n v="0"/>
    <n v="0"/>
    <n v="0"/>
  </r>
  <r>
    <d v="2013-08-06T00:00:00"/>
    <n v="5029"/>
    <n v="1946"/>
    <x v="0"/>
    <s v="Graduation"/>
    <s v="Married"/>
    <n v="18100"/>
    <n v="0"/>
    <n v="14"/>
    <n v="3"/>
    <n v="1"/>
    <n v="2"/>
    <n v="4"/>
    <n v="3"/>
    <n v="1"/>
    <n v="14"/>
    <n v="1"/>
    <n v="0"/>
    <n v="0"/>
    <n v="3"/>
    <n v="5"/>
    <n v="0"/>
    <n v="0"/>
    <n v="0"/>
    <n v="0"/>
    <n v="0"/>
    <n v="0"/>
    <n v="0"/>
  </r>
  <r>
    <d v="2013-07-25T00:00:00"/>
    <n v="10507"/>
    <n v="1977"/>
    <x v="2"/>
    <s v="2n Cycle"/>
    <s v="Divorced"/>
    <n v="59601"/>
    <n v="1"/>
    <n v="14"/>
    <n v="691"/>
    <n v="7"/>
    <n v="69"/>
    <n v="0"/>
    <n v="7"/>
    <n v="23"/>
    <n v="797"/>
    <n v="4"/>
    <n v="2"/>
    <n v="2"/>
    <n v="7"/>
    <n v="8"/>
    <n v="0"/>
    <n v="1"/>
    <n v="0"/>
    <n v="0"/>
    <n v="0"/>
    <n v="0"/>
    <n v="0"/>
  </r>
  <r>
    <d v="2013-04-30T00:00:00"/>
    <n v="3865"/>
    <n v="1977"/>
    <x v="1"/>
    <s v="2n Cycle"/>
    <s v="Together"/>
    <n v="20981"/>
    <n v="0"/>
    <n v="14"/>
    <n v="2"/>
    <n v="12"/>
    <n v="10"/>
    <n v="6"/>
    <n v="13"/>
    <n v="30"/>
    <n v="73"/>
    <n v="1"/>
    <n v="3"/>
    <n v="1"/>
    <n v="2"/>
    <n v="8"/>
    <n v="0"/>
    <n v="0"/>
    <n v="0"/>
    <n v="0"/>
    <n v="0"/>
    <n v="1"/>
    <n v="0"/>
  </r>
  <r>
    <d v="2013-03-19T00:00:00"/>
    <n v="6982"/>
    <n v="1976"/>
    <x v="5"/>
    <s v="Graduation"/>
    <s v="Married"/>
    <n v="74068"/>
    <n v="0"/>
    <n v="14"/>
    <n v="783"/>
    <n v="30"/>
    <n v="537"/>
    <n v="140"/>
    <n v="76"/>
    <n v="15"/>
    <n v="1581"/>
    <n v="1"/>
    <n v="4"/>
    <n v="10"/>
    <n v="9"/>
    <n v="2"/>
    <n v="0"/>
    <n v="0"/>
    <n v="0"/>
    <n v="0"/>
    <n v="0"/>
    <n v="0"/>
    <n v="0"/>
  </r>
  <r>
    <d v="2013-03-01T00:00:00"/>
    <n v="7042"/>
    <n v="1983"/>
    <x v="0"/>
    <s v="Graduation"/>
    <s v="Married"/>
    <n v="36790"/>
    <n v="0"/>
    <n v="14"/>
    <n v="3"/>
    <n v="3"/>
    <n v="14"/>
    <n v="15"/>
    <n v="21"/>
    <n v="10"/>
    <n v="66"/>
    <n v="1"/>
    <n v="2"/>
    <n v="1"/>
    <n v="2"/>
    <n v="9"/>
    <n v="0"/>
    <n v="0"/>
    <n v="0"/>
    <n v="0"/>
    <n v="0"/>
    <n v="1"/>
    <n v="0"/>
  </r>
  <r>
    <d v="2013-01-12T00:00:00"/>
    <n v="9668"/>
    <n v="1971"/>
    <x v="6"/>
    <s v="Graduation"/>
    <s v="Married"/>
    <n v="18793"/>
    <n v="1"/>
    <n v="14"/>
    <n v="4"/>
    <n v="16"/>
    <n v="20"/>
    <n v="0"/>
    <n v="17"/>
    <n v="20"/>
    <n v="77"/>
    <n v="3"/>
    <n v="2"/>
    <n v="0"/>
    <n v="4"/>
    <n v="8"/>
    <n v="0"/>
    <n v="0"/>
    <n v="0"/>
    <n v="0"/>
    <n v="0"/>
    <n v="0"/>
    <n v="0"/>
  </r>
  <r>
    <d v="2012-12-12T00:00:00"/>
    <n v="6878"/>
    <n v="1954"/>
    <x v="0"/>
    <s v="Graduation"/>
    <s v="Widow"/>
    <n v="27421"/>
    <n v="0"/>
    <n v="14"/>
    <n v="43"/>
    <n v="12"/>
    <n v="96"/>
    <n v="78"/>
    <n v="40"/>
    <n v="55"/>
    <n v="324"/>
    <n v="3"/>
    <n v="4"/>
    <n v="1"/>
    <n v="6"/>
    <n v="7"/>
    <n v="0"/>
    <n v="0"/>
    <n v="0"/>
    <n v="0"/>
    <n v="0"/>
    <n v="0"/>
    <n v="0"/>
  </r>
  <r>
    <d v="2012-11-12T00:00:00"/>
    <n v="4099"/>
    <n v="1972"/>
    <x v="0"/>
    <s v="Graduation"/>
    <s v="Married"/>
    <n v="30675"/>
    <n v="1"/>
    <n v="14"/>
    <n v="10"/>
    <n v="2"/>
    <n v="16"/>
    <n v="11"/>
    <n v="2"/>
    <n v="21"/>
    <n v="62"/>
    <n v="1"/>
    <n v="1"/>
    <n v="0"/>
    <n v="3"/>
    <n v="8"/>
    <n v="0"/>
    <n v="0"/>
    <n v="0"/>
    <n v="0"/>
    <n v="0"/>
    <n v="0"/>
    <n v="0"/>
  </r>
  <r>
    <d v="2012-09-22T00:00:00"/>
    <n v="5031"/>
    <n v="1974"/>
    <x v="0"/>
    <s v="Graduation"/>
    <s v="Together"/>
    <n v="83145"/>
    <n v="0"/>
    <n v="14"/>
    <n v="777"/>
    <n v="35"/>
    <n v="731"/>
    <n v="39"/>
    <n v="137"/>
    <n v="114"/>
    <n v="1833"/>
    <n v="1"/>
    <n v="5"/>
    <n v="9"/>
    <n v="11"/>
    <n v="2"/>
    <n v="0"/>
    <n v="0"/>
    <n v="1"/>
    <n v="0"/>
    <n v="0"/>
    <n v="1"/>
    <n v="0"/>
  </r>
  <r>
    <d v="2012-09-10T00:00:00"/>
    <n v="1970"/>
    <n v="1968"/>
    <x v="0"/>
    <s v="Master"/>
    <s v="Together"/>
    <n v="34053"/>
    <n v="1"/>
    <n v="14"/>
    <n v="63"/>
    <n v="0"/>
    <n v="21"/>
    <n v="7"/>
    <n v="0"/>
    <n v="12"/>
    <n v="103"/>
    <n v="1"/>
    <n v="3"/>
    <n v="0"/>
    <n v="3"/>
    <n v="8"/>
    <n v="0"/>
    <n v="0"/>
    <n v="0"/>
    <n v="0"/>
    <n v="0"/>
    <n v="0"/>
    <n v="0"/>
  </r>
  <r>
    <d v="2014-03-20T00:00:00"/>
    <n v="5726"/>
    <n v="1983"/>
    <x v="6"/>
    <s v="Master"/>
    <s v="Single"/>
    <n v="31788"/>
    <n v="1"/>
    <n v="15"/>
    <n v="16"/>
    <n v="7"/>
    <n v="23"/>
    <n v="0"/>
    <n v="8"/>
    <n v="6"/>
    <n v="60"/>
    <n v="3"/>
    <n v="3"/>
    <n v="0"/>
    <n v="4"/>
    <n v="5"/>
    <n v="0"/>
    <n v="0"/>
    <n v="0"/>
    <n v="0"/>
    <n v="0"/>
    <n v="0"/>
    <n v="1"/>
  </r>
  <r>
    <d v="2014-02-27T00:00:00"/>
    <n v="5231"/>
    <n v="1974"/>
    <x v="0"/>
    <s v="2n Cycle"/>
    <s v="Married"/>
    <n v="45894"/>
    <n v="2"/>
    <n v="15"/>
    <n v="27"/>
    <n v="2"/>
    <n v="7"/>
    <n v="0"/>
    <n v="2"/>
    <n v="13"/>
    <n v="51"/>
    <n v="1"/>
    <n v="1"/>
    <n v="0"/>
    <n v="3"/>
    <n v="5"/>
    <n v="0"/>
    <n v="0"/>
    <n v="0"/>
    <n v="0"/>
    <n v="0"/>
    <n v="0"/>
    <n v="0"/>
  </r>
  <r>
    <d v="2014-02-09T00:00:00"/>
    <n v="1307"/>
    <n v="1978"/>
    <x v="0"/>
    <s v="Graduation"/>
    <s v="Divorced"/>
    <n v="41986"/>
    <n v="1"/>
    <n v="15"/>
    <n v="27"/>
    <n v="5"/>
    <n v="8"/>
    <n v="8"/>
    <n v="3"/>
    <n v="12"/>
    <n v="63"/>
    <n v="3"/>
    <n v="3"/>
    <n v="0"/>
    <n v="4"/>
    <n v="4"/>
    <n v="0"/>
    <n v="0"/>
    <n v="0"/>
    <n v="0"/>
    <n v="0"/>
    <n v="0"/>
    <n v="0"/>
  </r>
  <r>
    <d v="2013-10-12T00:00:00"/>
    <n v="10609"/>
    <n v="1962"/>
    <x v="1"/>
    <s v="PhD"/>
    <s v="Married"/>
    <n v="42769"/>
    <n v="1"/>
    <n v="15"/>
    <n v="71"/>
    <n v="0"/>
    <n v="13"/>
    <n v="3"/>
    <n v="1"/>
    <n v="0"/>
    <n v="88"/>
    <n v="2"/>
    <n v="1"/>
    <n v="1"/>
    <n v="4"/>
    <n v="4"/>
    <n v="0"/>
    <n v="0"/>
    <n v="0"/>
    <n v="0"/>
    <n v="0"/>
    <n v="0"/>
    <n v="0"/>
  </r>
  <r>
    <d v="2013-09-28T00:00:00"/>
    <n v="5782"/>
    <n v="1982"/>
    <x v="0"/>
    <s v="2n Cycle"/>
    <s v="Together"/>
    <n v="58582"/>
    <n v="1"/>
    <n v="15"/>
    <n v="402"/>
    <n v="35"/>
    <n v="106"/>
    <n v="101"/>
    <n v="77"/>
    <n v="42"/>
    <n v="763"/>
    <n v="2"/>
    <n v="9"/>
    <n v="2"/>
    <n v="9"/>
    <n v="5"/>
    <n v="0"/>
    <n v="1"/>
    <n v="0"/>
    <n v="0"/>
    <n v="0"/>
    <n v="0"/>
    <n v="0"/>
  </r>
  <r>
    <d v="2013-09-24T00:00:00"/>
    <n v="7533"/>
    <n v="1964"/>
    <x v="1"/>
    <s v="Graduation"/>
    <s v="Married"/>
    <n v="49096"/>
    <n v="2"/>
    <n v="15"/>
    <n v="144"/>
    <n v="1"/>
    <n v="32"/>
    <n v="2"/>
    <n v="1"/>
    <n v="7"/>
    <n v="187"/>
    <n v="4"/>
    <n v="4"/>
    <n v="1"/>
    <n v="4"/>
    <n v="7"/>
    <n v="0"/>
    <n v="0"/>
    <n v="0"/>
    <n v="0"/>
    <n v="0"/>
    <n v="0"/>
    <n v="0"/>
  </r>
  <r>
    <d v="2013-05-05T00:00:00"/>
    <n v="9493"/>
    <n v="1980"/>
    <x v="1"/>
    <s v="PhD"/>
    <s v="Single"/>
    <n v="76412"/>
    <n v="0"/>
    <n v="15"/>
    <n v="840"/>
    <n v="53"/>
    <n v="804"/>
    <n v="23"/>
    <n v="71"/>
    <n v="17"/>
    <n v="1808"/>
    <n v="1"/>
    <n v="5"/>
    <n v="4"/>
    <n v="8"/>
    <n v="3"/>
    <n v="0"/>
    <n v="0"/>
    <n v="1"/>
    <n v="1"/>
    <n v="0"/>
    <n v="1"/>
    <n v="0"/>
  </r>
  <r>
    <d v="2013-02-16T00:00:00"/>
    <n v="2253"/>
    <n v="1990"/>
    <x v="0"/>
    <s v="Graduation"/>
    <s v="Married"/>
    <n v="18929"/>
    <n v="0"/>
    <n v="15"/>
    <n v="32"/>
    <n v="0"/>
    <n v="8"/>
    <n v="23"/>
    <n v="4"/>
    <n v="18"/>
    <n v="85"/>
    <n v="1"/>
    <n v="1"/>
    <n v="0"/>
    <n v="4"/>
    <n v="6"/>
    <n v="0"/>
    <n v="0"/>
    <n v="0"/>
    <n v="0"/>
    <n v="0"/>
    <n v="0"/>
    <n v="0"/>
  </r>
  <r>
    <d v="2013-02-16T00:00:00"/>
    <n v="2326"/>
    <n v="1990"/>
    <x v="0"/>
    <s v="Graduation"/>
    <s v="Married"/>
    <n v="18929"/>
    <n v="0"/>
    <n v="15"/>
    <n v="32"/>
    <n v="0"/>
    <n v="8"/>
    <n v="23"/>
    <n v="4"/>
    <n v="18"/>
    <n v="85"/>
    <n v="1"/>
    <n v="1"/>
    <n v="0"/>
    <n v="4"/>
    <n v="6"/>
    <n v="0"/>
    <n v="0"/>
    <n v="0"/>
    <n v="0"/>
    <n v="0"/>
    <n v="0"/>
    <n v="0"/>
  </r>
  <r>
    <d v="2013-02-16T00:00:00"/>
    <n v="1876"/>
    <n v="1990"/>
    <x v="5"/>
    <s v="Graduation"/>
    <s v="Married"/>
    <n v="18929"/>
    <n v="0"/>
    <n v="15"/>
    <n v="32"/>
    <n v="0"/>
    <n v="8"/>
    <n v="23"/>
    <n v="4"/>
    <n v="18"/>
    <n v="85"/>
    <n v="1"/>
    <n v="1"/>
    <n v="0"/>
    <n v="4"/>
    <n v="6"/>
    <n v="0"/>
    <n v="0"/>
    <n v="0"/>
    <n v="0"/>
    <n v="0"/>
    <n v="0"/>
    <n v="0"/>
  </r>
  <r>
    <d v="2012-12-29T00:00:00"/>
    <n v="7141"/>
    <n v="1986"/>
    <x v="0"/>
    <s v="Master"/>
    <s v="Single"/>
    <n v="21888"/>
    <n v="1"/>
    <n v="15"/>
    <n v="88"/>
    <n v="10"/>
    <n v="46"/>
    <n v="2"/>
    <n v="3"/>
    <n v="64"/>
    <n v="213"/>
    <n v="4"/>
    <n v="5"/>
    <n v="1"/>
    <n v="2"/>
    <n v="10"/>
    <n v="0"/>
    <n v="0"/>
    <n v="0"/>
    <n v="0"/>
    <n v="0"/>
    <n v="1"/>
    <n v="0"/>
  </r>
  <r>
    <d v="2012-12-10T00:00:00"/>
    <n v="7393"/>
    <n v="1978"/>
    <x v="0"/>
    <s v="Graduation"/>
    <s v="Together"/>
    <n v="41580"/>
    <n v="2"/>
    <n v="15"/>
    <n v="56"/>
    <n v="5"/>
    <n v="24"/>
    <n v="4"/>
    <n v="0"/>
    <n v="3"/>
    <n v="92"/>
    <n v="3"/>
    <n v="2"/>
    <n v="1"/>
    <n v="3"/>
    <n v="5"/>
    <n v="0"/>
    <n v="0"/>
    <n v="0"/>
    <n v="0"/>
    <n v="0"/>
    <n v="0"/>
    <n v="0"/>
  </r>
  <r>
    <d v="2012-11-22T00:00:00"/>
    <n v="4713"/>
    <n v="1979"/>
    <x v="0"/>
    <s v="PhD"/>
    <s v="Married"/>
    <n v="31605"/>
    <n v="1"/>
    <n v="15"/>
    <n v="74"/>
    <n v="0"/>
    <n v="42"/>
    <n v="2"/>
    <n v="1"/>
    <n v="6"/>
    <n v="125"/>
    <n v="2"/>
    <n v="2"/>
    <n v="1"/>
    <n v="4"/>
    <n v="7"/>
    <n v="0"/>
    <n v="0"/>
    <n v="0"/>
    <n v="0"/>
    <n v="0"/>
    <n v="0"/>
    <n v="0"/>
  </r>
  <r>
    <d v="2012-09-18T00:00:00"/>
    <n v="5093"/>
    <n v="1974"/>
    <x v="0"/>
    <s v="PhD"/>
    <s v="Divorced"/>
    <n v="25509"/>
    <n v="1"/>
    <n v="15"/>
    <n v="40"/>
    <n v="3"/>
    <n v="30"/>
    <n v="10"/>
    <n v="7"/>
    <n v="11"/>
    <n v="101"/>
    <n v="3"/>
    <n v="3"/>
    <n v="0"/>
    <n v="3"/>
    <n v="9"/>
    <n v="0"/>
    <n v="0"/>
    <n v="0"/>
    <n v="0"/>
    <n v="0"/>
    <n v="1"/>
    <n v="0"/>
  </r>
  <r>
    <d v="2012-09-18T00:00:00"/>
    <n v="8524"/>
    <n v="1974"/>
    <x v="0"/>
    <s v="PhD"/>
    <s v="Divorced"/>
    <n v="25509"/>
    <n v="1"/>
    <n v="15"/>
    <n v="40"/>
    <n v="3"/>
    <n v="30"/>
    <n v="10"/>
    <n v="7"/>
    <n v="11"/>
    <n v="101"/>
    <n v="3"/>
    <n v="3"/>
    <n v="0"/>
    <n v="3"/>
    <n v="9"/>
    <n v="0"/>
    <n v="0"/>
    <n v="0"/>
    <n v="0"/>
    <n v="0"/>
    <n v="1"/>
    <n v="0"/>
  </r>
  <r>
    <d v="2012-08-16T00:00:00"/>
    <n v="3766"/>
    <n v="1959"/>
    <x v="0"/>
    <s v="Master"/>
    <s v="Widow"/>
    <n v="33051"/>
    <n v="0"/>
    <n v="15"/>
    <n v="100"/>
    <n v="71"/>
    <n v="243"/>
    <n v="108"/>
    <n v="94"/>
    <n v="219"/>
    <n v="835"/>
    <n v="3"/>
    <n v="9"/>
    <n v="1"/>
    <n v="8"/>
    <n v="9"/>
    <n v="0"/>
    <n v="0"/>
    <n v="0"/>
    <n v="0"/>
    <n v="0"/>
    <n v="1"/>
    <n v="0"/>
  </r>
  <r>
    <d v="2014-06-05T00:00:00"/>
    <n v="9725"/>
    <n v="1966"/>
    <x v="0"/>
    <s v="PhD"/>
    <s v="Together"/>
    <n v="28764"/>
    <n v="2"/>
    <n v="16"/>
    <n v="8"/>
    <n v="0"/>
    <n v="3"/>
    <n v="0"/>
    <n v="0"/>
    <n v="1"/>
    <n v="12"/>
    <n v="1"/>
    <n v="1"/>
    <n v="0"/>
    <n v="2"/>
    <n v="8"/>
    <n v="1"/>
    <n v="0"/>
    <n v="0"/>
    <n v="0"/>
    <n v="0"/>
    <n v="0"/>
    <n v="0"/>
  </r>
  <r>
    <d v="2014-05-12T00:00:00"/>
    <n v="8933"/>
    <n v="1983"/>
    <x v="1"/>
    <s v="2n Cycle"/>
    <s v="Married"/>
    <n v="32146"/>
    <n v="1"/>
    <n v="16"/>
    <n v="26"/>
    <n v="3"/>
    <n v="23"/>
    <n v="4"/>
    <n v="7"/>
    <n v="3"/>
    <n v="66"/>
    <n v="2"/>
    <n v="2"/>
    <n v="0"/>
    <n v="4"/>
    <n v="6"/>
    <n v="0"/>
    <n v="0"/>
    <n v="0"/>
    <n v="0"/>
    <n v="0"/>
    <n v="0"/>
    <n v="0"/>
  </r>
  <r>
    <d v="2014-04-13T00:00:00"/>
    <n v="10779"/>
    <n v="1983"/>
    <x v="0"/>
    <s v="Graduation"/>
    <s v="Single"/>
    <n v="22148"/>
    <n v="0"/>
    <n v="16"/>
    <n v="15"/>
    <n v="5"/>
    <n v="14"/>
    <n v="0"/>
    <n v="4"/>
    <n v="11"/>
    <n v="49"/>
    <n v="1"/>
    <n v="1"/>
    <n v="0"/>
    <n v="3"/>
    <n v="7"/>
    <n v="0"/>
    <n v="0"/>
    <n v="0"/>
    <n v="0"/>
    <n v="0"/>
    <n v="0"/>
    <n v="0"/>
  </r>
  <r>
    <d v="2014-04-10T00:00:00"/>
    <n v="9289"/>
    <n v="1979"/>
    <x v="0"/>
    <s v="Graduation"/>
    <s v="Married"/>
    <n v="36781"/>
    <n v="1"/>
    <n v="16"/>
    <n v="29"/>
    <n v="1"/>
    <n v="17"/>
    <n v="0"/>
    <n v="3"/>
    <n v="13"/>
    <n v="63"/>
    <n v="1"/>
    <n v="2"/>
    <n v="1"/>
    <n v="2"/>
    <n v="8"/>
    <n v="0"/>
    <n v="0"/>
    <n v="0"/>
    <n v="0"/>
    <n v="0"/>
    <n v="1"/>
    <n v="0"/>
  </r>
  <r>
    <d v="2014-04-03T00:00:00"/>
    <n v="2613"/>
    <n v="1960"/>
    <x v="0"/>
    <s v="Master"/>
    <s v="Married"/>
    <n v="54197"/>
    <n v="1"/>
    <n v="16"/>
    <n v="162"/>
    <n v="6"/>
    <n v="37"/>
    <n v="6"/>
    <n v="13"/>
    <n v="13"/>
    <n v="237"/>
    <n v="2"/>
    <n v="1"/>
    <n v="3"/>
    <n v="6"/>
    <n v="1"/>
    <n v="0"/>
    <n v="0"/>
    <n v="0"/>
    <n v="0"/>
    <n v="0"/>
    <n v="0"/>
    <n v="0"/>
  </r>
  <r>
    <d v="2014-02-12T00:00:00"/>
    <n v="10133"/>
    <n v="1970"/>
    <x v="1"/>
    <s v="Graduation"/>
    <s v="Single"/>
    <n v="93790"/>
    <n v="0"/>
    <n v="16"/>
    <n v="1302"/>
    <n v="68"/>
    <n v="731"/>
    <n v="89"/>
    <n v="114"/>
    <n v="45"/>
    <n v="2349"/>
    <n v="0"/>
    <n v="6"/>
    <n v="7"/>
    <n v="12"/>
    <n v="2"/>
    <n v="0"/>
    <n v="1"/>
    <n v="1"/>
    <n v="1"/>
    <n v="0"/>
    <n v="1"/>
    <n v="0"/>
  </r>
  <r>
    <d v="2014-02-10T00:00:00"/>
    <n v="8443"/>
    <n v="1972"/>
    <x v="6"/>
    <s v="Graduation"/>
    <s v="Single"/>
    <n v="24762"/>
    <n v="1"/>
    <n v="16"/>
    <n v="6"/>
    <n v="10"/>
    <n v="12"/>
    <n v="3"/>
    <n v="15"/>
    <n v="40"/>
    <n v="86"/>
    <n v="3"/>
    <n v="3"/>
    <n v="1"/>
    <n v="2"/>
    <n v="8"/>
    <n v="1"/>
    <n v="0"/>
    <n v="0"/>
    <n v="0"/>
    <n v="0"/>
    <n v="1"/>
    <n v="0"/>
  </r>
  <r>
    <d v="2014-01-22T00:00:00"/>
    <n v="10796"/>
    <n v="1984"/>
    <x v="5"/>
    <s v="Master"/>
    <s v="Married"/>
    <n v="30477"/>
    <n v="1"/>
    <n v="16"/>
    <n v="47"/>
    <n v="1"/>
    <n v="6"/>
    <n v="0"/>
    <n v="0"/>
    <n v="12"/>
    <n v="66"/>
    <n v="1"/>
    <n v="1"/>
    <n v="1"/>
    <n v="3"/>
    <n v="6"/>
    <n v="0"/>
    <n v="0"/>
    <n v="0"/>
    <n v="0"/>
    <n v="0"/>
    <n v="0"/>
    <n v="0"/>
  </r>
  <r>
    <d v="2013-12-15T00:00:00"/>
    <n v="10241"/>
    <n v="1975"/>
    <x v="0"/>
    <s v="2n Cycle"/>
    <s v="Divorced"/>
    <n v="11448"/>
    <n v="0"/>
    <n v="16"/>
    <n v="0"/>
    <n v="0"/>
    <n v="0"/>
    <n v="6"/>
    <n v="2"/>
    <n v="6"/>
    <n v="14"/>
    <n v="1"/>
    <n v="1"/>
    <n v="0"/>
    <n v="2"/>
    <n v="6"/>
    <n v="0"/>
    <n v="0"/>
    <n v="0"/>
    <n v="0"/>
    <n v="0"/>
    <n v="0"/>
    <n v="0"/>
  </r>
  <r>
    <d v="2013-10-30T00:00:00"/>
    <n v="3388"/>
    <n v="1967"/>
    <x v="4"/>
    <s v="Graduation"/>
    <s v="Divorced"/>
    <n v="70844"/>
    <n v="2"/>
    <n v="16"/>
    <n v="129"/>
    <n v="26"/>
    <n v="67"/>
    <n v="3"/>
    <n v="67"/>
    <n v="2"/>
    <n v="294"/>
    <n v="5"/>
    <n v="6"/>
    <n v="1"/>
    <n v="5"/>
    <n v="7"/>
    <n v="0"/>
    <n v="0"/>
    <n v="0"/>
    <n v="0"/>
    <n v="0"/>
    <n v="0"/>
    <n v="0"/>
  </r>
  <r>
    <d v="2013-10-04T00:00:00"/>
    <n v="6507"/>
    <n v="1980"/>
    <x v="3"/>
    <s v="Graduation"/>
    <s v="Single"/>
    <n v="30828"/>
    <n v="1"/>
    <n v="16"/>
    <n v="16"/>
    <n v="11"/>
    <n v="15"/>
    <n v="2"/>
    <n v="0"/>
    <n v="12"/>
    <n v="56"/>
    <n v="2"/>
    <n v="1"/>
    <n v="1"/>
    <n v="4"/>
    <n v="3"/>
    <n v="0"/>
    <n v="0"/>
    <n v="0"/>
    <n v="0"/>
    <n v="0"/>
    <n v="0"/>
    <n v="0"/>
  </r>
  <r>
    <d v="2013-09-09T00:00:00"/>
    <n v="7446"/>
    <n v="1967"/>
    <x v="2"/>
    <s v="Master"/>
    <s v="Together"/>
    <n v="62513"/>
    <n v="1"/>
    <n v="16"/>
    <n v="520"/>
    <n v="42"/>
    <n v="98"/>
    <n v="0"/>
    <n v="42"/>
    <n v="14"/>
    <n v="716"/>
    <n v="2"/>
    <n v="6"/>
    <n v="4"/>
    <n v="10"/>
    <n v="6"/>
    <n v="0"/>
    <n v="0"/>
    <n v="0"/>
    <n v="0"/>
    <n v="0"/>
    <n v="0"/>
    <n v="0"/>
  </r>
  <r>
    <d v="2013-08-26T00:00:00"/>
    <n v="87"/>
    <n v="1981"/>
    <x v="4"/>
    <s v="2n Cycle"/>
    <s v="Married"/>
    <n v="27733"/>
    <n v="1"/>
    <n v="16"/>
    <n v="0"/>
    <n v="7"/>
    <n v="5"/>
    <n v="26"/>
    <n v="2"/>
    <n v="17"/>
    <n v="57"/>
    <n v="2"/>
    <n v="2"/>
    <n v="0"/>
    <n v="3"/>
    <n v="7"/>
    <n v="0"/>
    <n v="0"/>
    <n v="0"/>
    <n v="0"/>
    <n v="0"/>
    <n v="0"/>
    <n v="0"/>
  </r>
  <r>
    <d v="2013-08-06T00:00:00"/>
    <n v="10477"/>
    <n v="1973"/>
    <x v="0"/>
    <s v="PhD"/>
    <s v="Together"/>
    <n v="39435"/>
    <n v="1"/>
    <n v="16"/>
    <n v="71"/>
    <n v="0"/>
    <n v="18"/>
    <n v="0"/>
    <n v="0"/>
    <n v="13"/>
    <n v="102"/>
    <n v="1"/>
    <n v="3"/>
    <n v="1"/>
    <n v="2"/>
    <n v="7"/>
    <n v="0"/>
    <n v="0"/>
    <n v="0"/>
    <n v="0"/>
    <n v="0"/>
    <n v="0"/>
    <n v="0"/>
  </r>
  <r>
    <d v="2013-02-02T00:00:00"/>
    <n v="6072"/>
    <n v="1970"/>
    <x v="0"/>
    <s v="Master"/>
    <s v="Single"/>
    <n v="75345"/>
    <n v="0"/>
    <n v="16"/>
    <n v="918"/>
    <n v="57"/>
    <n v="842"/>
    <n v="99"/>
    <n v="38"/>
    <n v="133"/>
    <n v="2087"/>
    <n v="1"/>
    <n v="5"/>
    <n v="8"/>
    <n v="6"/>
    <n v="3"/>
    <n v="0"/>
    <n v="0"/>
    <n v="0"/>
    <n v="1"/>
    <n v="0"/>
    <n v="1"/>
    <n v="0"/>
  </r>
  <r>
    <d v="2013-01-25T00:00:00"/>
    <n v="2518"/>
    <n v="1986"/>
    <x v="4"/>
    <s v="2n Cycle"/>
    <s v="Together"/>
    <n v="20491"/>
    <n v="0"/>
    <n v="16"/>
    <n v="5"/>
    <n v="4"/>
    <n v="5"/>
    <n v="4"/>
    <n v="2"/>
    <n v="10"/>
    <n v="30"/>
    <n v="1"/>
    <n v="0"/>
    <n v="1"/>
    <n v="2"/>
    <n v="7"/>
    <n v="0"/>
    <n v="0"/>
    <n v="0"/>
    <n v="0"/>
    <n v="0"/>
    <n v="0"/>
    <n v="0"/>
  </r>
  <r>
    <d v="2012-11-17T00:00:00"/>
    <n v="247"/>
    <n v="1971"/>
    <x v="0"/>
    <s v="Graduation"/>
    <s v="Married"/>
    <n v="36715"/>
    <n v="1"/>
    <n v="16"/>
    <n v="172"/>
    <n v="10"/>
    <n v="125"/>
    <n v="21"/>
    <n v="13"/>
    <n v="16"/>
    <n v="357"/>
    <n v="6"/>
    <n v="7"/>
    <n v="2"/>
    <n v="4"/>
    <n v="9"/>
    <n v="0"/>
    <n v="0"/>
    <n v="0"/>
    <n v="0"/>
    <n v="0"/>
    <n v="1"/>
    <n v="0"/>
  </r>
  <r>
    <d v="2012-11-13T00:00:00"/>
    <n v="9463"/>
    <n v="1959"/>
    <x v="1"/>
    <s v="Graduation"/>
    <s v="Together"/>
    <n v="71706"/>
    <n v="1"/>
    <n v="16"/>
    <n v="931"/>
    <n v="56"/>
    <n v="253"/>
    <n v="91"/>
    <n v="98"/>
    <n v="14"/>
    <n v="1443"/>
    <n v="4"/>
    <n v="9"/>
    <n v="5"/>
    <n v="7"/>
    <n v="5"/>
    <n v="0"/>
    <n v="0"/>
    <n v="0"/>
    <n v="0"/>
    <n v="0"/>
    <n v="0"/>
    <n v="0"/>
  </r>
  <r>
    <d v="2012-11-07T00:00:00"/>
    <n v="1459"/>
    <n v="1966"/>
    <x v="0"/>
    <s v="PhD"/>
    <s v="Married"/>
    <n v="69063"/>
    <n v="1"/>
    <n v="16"/>
    <n v="666"/>
    <n v="35"/>
    <n v="124"/>
    <n v="69"/>
    <n v="8"/>
    <n v="26"/>
    <n v="928"/>
    <n v="1"/>
    <n v="5"/>
    <n v="3"/>
    <n v="5"/>
    <n v="3"/>
    <n v="0"/>
    <n v="0"/>
    <n v="0"/>
    <n v="0"/>
    <n v="0"/>
    <n v="0"/>
    <n v="0"/>
  </r>
  <r>
    <d v="2012-11-01T00:00:00"/>
    <n v="9530"/>
    <n v="1988"/>
    <x v="6"/>
    <s v="Graduation"/>
    <s v="Married"/>
    <n v="24645"/>
    <n v="1"/>
    <n v="16"/>
    <n v="5"/>
    <n v="3"/>
    <n v="4"/>
    <n v="4"/>
    <n v="1"/>
    <n v="0"/>
    <n v="17"/>
    <n v="1"/>
    <n v="1"/>
    <n v="0"/>
    <n v="2"/>
    <n v="8"/>
    <n v="0"/>
    <n v="0"/>
    <n v="0"/>
    <n v="0"/>
    <n v="0"/>
    <n v="0"/>
    <n v="0"/>
  </r>
  <r>
    <d v="2012-10-16T00:00:00"/>
    <n v="9653"/>
    <n v="1975"/>
    <x v="6"/>
    <s v="Graduation"/>
    <s v="Married"/>
    <n v="35797"/>
    <n v="1"/>
    <n v="16"/>
    <n v="27"/>
    <n v="1"/>
    <n v="14"/>
    <n v="4"/>
    <n v="1"/>
    <n v="21"/>
    <n v="68"/>
    <n v="2"/>
    <n v="2"/>
    <n v="0"/>
    <n v="3"/>
    <n v="8"/>
    <n v="0"/>
    <n v="0"/>
    <n v="0"/>
    <n v="0"/>
    <n v="0"/>
    <n v="0"/>
    <n v="0"/>
  </r>
  <r>
    <d v="2014-06-19T00:00:00"/>
    <n v="10785"/>
    <n v="1969"/>
    <x v="6"/>
    <s v="Graduation"/>
    <s v="Married"/>
    <n v="44078"/>
    <n v="2"/>
    <n v="17"/>
    <n v="24"/>
    <n v="1"/>
    <n v="10"/>
    <n v="2"/>
    <n v="0"/>
    <n v="4"/>
    <n v="41"/>
    <n v="2"/>
    <n v="2"/>
    <n v="0"/>
    <n v="3"/>
    <n v="5"/>
    <n v="0"/>
    <n v="0"/>
    <n v="0"/>
    <n v="0"/>
    <n v="0"/>
    <n v="0"/>
    <n v="0"/>
  </r>
  <r>
    <d v="2014-05-08T00:00:00"/>
    <n v="9392"/>
    <n v="1971"/>
    <x v="0"/>
    <s v="Graduation"/>
    <s v="Single"/>
    <n v="26954"/>
    <n v="1"/>
    <n v="17"/>
    <n v="4"/>
    <n v="1"/>
    <n v="11"/>
    <n v="0"/>
    <n v="0"/>
    <n v="1"/>
    <n v="17"/>
    <n v="1"/>
    <n v="1"/>
    <n v="0"/>
    <n v="2"/>
    <n v="7"/>
    <n v="0"/>
    <n v="0"/>
    <n v="0"/>
    <n v="0"/>
    <n v="0"/>
    <n v="0"/>
    <n v="0"/>
  </r>
  <r>
    <d v="2014-03-02T00:00:00"/>
    <n v="3769"/>
    <n v="1972"/>
    <x v="3"/>
    <s v="PhD"/>
    <s v="Together"/>
    <n v="53790.45"/>
    <n v="1"/>
    <n v="17"/>
    <n v="25"/>
    <n v="1"/>
    <n v="13"/>
    <n v="0"/>
    <n v="0"/>
    <n v="3"/>
    <n v="42"/>
    <n v="1"/>
    <n v="1"/>
    <n v="0"/>
    <n v="3"/>
    <n v="7"/>
    <n v="0"/>
    <n v="0"/>
    <n v="0"/>
    <n v="0"/>
    <n v="0"/>
    <n v="0"/>
    <n v="0"/>
  </r>
  <r>
    <d v="2014-03-02T00:00:00"/>
    <n v="10146"/>
    <n v="1972"/>
    <x v="3"/>
    <s v="PhD"/>
    <s v="Together"/>
    <n v="38887"/>
    <n v="1"/>
    <n v="17"/>
    <n v="25"/>
    <n v="1"/>
    <n v="13"/>
    <n v="0"/>
    <n v="0"/>
    <n v="3"/>
    <n v="42"/>
    <n v="1"/>
    <n v="1"/>
    <n v="0"/>
    <n v="3"/>
    <n v="7"/>
    <n v="0"/>
    <n v="0"/>
    <n v="0"/>
    <n v="0"/>
    <n v="0"/>
    <n v="0"/>
    <n v="0"/>
  </r>
  <r>
    <d v="2014-01-30T00:00:00"/>
    <n v="4741"/>
    <n v="1974"/>
    <x v="0"/>
    <s v="2n Cycle"/>
    <s v="Married"/>
    <n v="65463"/>
    <n v="1"/>
    <n v="17"/>
    <n v="391"/>
    <n v="32"/>
    <n v="70"/>
    <n v="21"/>
    <n v="32"/>
    <n v="16"/>
    <n v="562"/>
    <n v="2"/>
    <n v="6"/>
    <n v="2"/>
    <n v="9"/>
    <n v="5"/>
    <n v="0"/>
    <n v="1"/>
    <n v="0"/>
    <n v="0"/>
    <n v="0"/>
    <n v="0"/>
    <n v="0"/>
  </r>
  <r>
    <d v="2014-01-30T00:00:00"/>
    <n v="1880"/>
    <n v="1959"/>
    <x v="5"/>
    <s v="PhD"/>
    <s v="Together"/>
    <n v="53537"/>
    <n v="2"/>
    <n v="17"/>
    <n v="81"/>
    <n v="0"/>
    <n v="6"/>
    <n v="0"/>
    <n v="0"/>
    <n v="6"/>
    <n v="93"/>
    <n v="2"/>
    <n v="2"/>
    <n v="1"/>
    <n v="3"/>
    <n v="5"/>
    <n v="0"/>
    <n v="0"/>
    <n v="0"/>
    <n v="0"/>
    <n v="0"/>
    <n v="0"/>
    <n v="0"/>
  </r>
  <r>
    <d v="2013-10-17T00:00:00"/>
    <n v="6471"/>
    <n v="1971"/>
    <x v="0"/>
    <s v="Master"/>
    <s v="Single"/>
    <n v="36230"/>
    <n v="1"/>
    <n v="17"/>
    <n v="14"/>
    <n v="2"/>
    <n v="30"/>
    <n v="8"/>
    <n v="2"/>
    <n v="3"/>
    <n v="59"/>
    <n v="1"/>
    <n v="2"/>
    <n v="0"/>
    <n v="4"/>
    <n v="5"/>
    <n v="0"/>
    <n v="0"/>
    <n v="0"/>
    <n v="0"/>
    <n v="0"/>
    <n v="0"/>
    <n v="0"/>
  </r>
  <r>
    <d v="2013-08-15T00:00:00"/>
    <n v="5718"/>
    <n v="1950"/>
    <x v="6"/>
    <s v="Graduation"/>
    <s v="Married"/>
    <n v="80763"/>
    <n v="0"/>
    <n v="17"/>
    <n v="674"/>
    <n v="168"/>
    <n v="108"/>
    <n v="192"/>
    <n v="42"/>
    <n v="231"/>
    <n v="1415"/>
    <n v="1"/>
    <n v="5"/>
    <n v="11"/>
    <n v="6"/>
    <n v="3"/>
    <n v="0"/>
    <n v="0"/>
    <n v="1"/>
    <n v="1"/>
    <n v="0"/>
    <n v="1"/>
    <n v="0"/>
  </r>
  <r>
    <d v="2013-06-24T00:00:00"/>
    <n v="3478"/>
    <n v="1971"/>
    <x v="1"/>
    <s v="PhD"/>
    <s v="Married"/>
    <n v="60585"/>
    <n v="2"/>
    <n v="17"/>
    <n v="267"/>
    <n v="42"/>
    <n v="309"/>
    <n v="55"/>
    <n v="42"/>
    <n v="21"/>
    <n v="736"/>
    <n v="10"/>
    <n v="7"/>
    <n v="4"/>
    <n v="9"/>
    <n v="5"/>
    <n v="0"/>
    <n v="0"/>
    <n v="0"/>
    <n v="0"/>
    <n v="0"/>
    <n v="1"/>
    <n v="0"/>
  </r>
  <r>
    <d v="2013-06-13T00:00:00"/>
    <n v="7848"/>
    <n v="1974"/>
    <x v="5"/>
    <s v="Graduation"/>
    <s v="Single"/>
    <n v="49166"/>
    <n v="1"/>
    <n v="17"/>
    <n v="224"/>
    <n v="2"/>
    <n v="25"/>
    <n v="7"/>
    <n v="0"/>
    <n v="110"/>
    <n v="368"/>
    <n v="2"/>
    <n v="5"/>
    <n v="3"/>
    <n v="3"/>
    <n v="6"/>
    <n v="0"/>
    <n v="0"/>
    <n v="0"/>
    <n v="0"/>
    <n v="0"/>
    <n v="0"/>
    <n v="0"/>
  </r>
  <r>
    <d v="2013-04-23T00:00:00"/>
    <n v="7999"/>
    <n v="1955"/>
    <x v="0"/>
    <s v="PhD"/>
    <s v="Together"/>
    <n v="75261"/>
    <n v="0"/>
    <n v="17"/>
    <n v="1239"/>
    <n v="17"/>
    <n v="413"/>
    <n v="23"/>
    <n v="34"/>
    <n v="17"/>
    <n v="1743"/>
    <n v="1"/>
    <n v="5"/>
    <n v="6"/>
    <n v="5"/>
    <n v="2"/>
    <n v="0"/>
    <n v="1"/>
    <n v="1"/>
    <n v="0"/>
    <n v="0"/>
    <n v="1"/>
    <n v="0"/>
  </r>
  <r>
    <d v="2013-04-15T00:00:00"/>
    <n v="11101"/>
    <n v="1991"/>
    <x v="3"/>
    <s v="Graduation"/>
    <s v="Together"/>
    <n v="89891"/>
    <n v="0"/>
    <n v="17"/>
    <n v="412"/>
    <n v="22"/>
    <n v="132"/>
    <n v="59"/>
    <n v="28"/>
    <n v="183"/>
    <n v="836"/>
    <n v="1"/>
    <n v="11"/>
    <n v="6"/>
    <n v="8"/>
    <n v="4"/>
    <n v="0"/>
    <n v="0"/>
    <n v="1"/>
    <n v="0"/>
    <n v="0"/>
    <n v="0"/>
    <n v="0"/>
  </r>
  <r>
    <d v="2013-02-14T00:00:00"/>
    <n v="9212"/>
    <n v="1962"/>
    <x v="0"/>
    <s v="Master"/>
    <s v="Married"/>
    <n v="72828"/>
    <n v="1"/>
    <n v="17"/>
    <n v="1205"/>
    <n v="0"/>
    <n v="235"/>
    <n v="19"/>
    <n v="14"/>
    <n v="205"/>
    <n v="1678"/>
    <n v="6"/>
    <n v="6"/>
    <n v="3"/>
    <n v="13"/>
    <n v="7"/>
    <n v="0"/>
    <n v="0"/>
    <n v="0"/>
    <n v="0"/>
    <n v="0"/>
    <n v="0"/>
    <n v="0"/>
  </r>
  <r>
    <d v="2013-01-29T00:00:00"/>
    <n v="10983"/>
    <n v="1952"/>
    <x v="6"/>
    <s v="Graduation"/>
    <s v="Together"/>
    <n v="75278"/>
    <n v="0"/>
    <n v="17"/>
    <n v="304"/>
    <n v="98"/>
    <n v="230"/>
    <n v="150"/>
    <n v="74"/>
    <n v="74"/>
    <n v="930"/>
    <n v="1"/>
    <n v="6"/>
    <n v="3"/>
    <n v="13"/>
    <n v="3"/>
    <n v="0"/>
    <n v="0"/>
    <n v="0"/>
    <n v="0"/>
    <n v="0"/>
    <n v="0"/>
    <n v="0"/>
  </r>
  <r>
    <d v="2012-12-19T00:00:00"/>
    <n v="3629"/>
    <n v="1978"/>
    <x v="1"/>
    <s v="Graduation"/>
    <s v="Single"/>
    <n v="38557"/>
    <n v="1"/>
    <n v="17"/>
    <n v="76"/>
    <n v="3"/>
    <n v="31"/>
    <n v="4"/>
    <n v="4"/>
    <n v="27"/>
    <n v="145"/>
    <n v="2"/>
    <n v="3"/>
    <n v="1"/>
    <n v="3"/>
    <n v="7"/>
    <n v="0"/>
    <n v="0"/>
    <n v="0"/>
    <n v="0"/>
    <n v="0"/>
    <n v="0"/>
    <n v="0"/>
  </r>
  <r>
    <d v="2012-10-30T00:00:00"/>
    <n v="4673"/>
    <n v="1963"/>
    <x v="0"/>
    <s v="PhD"/>
    <s v="Married"/>
    <n v="81300"/>
    <n v="1"/>
    <n v="17"/>
    <n v="1004"/>
    <n v="12"/>
    <n v="145"/>
    <n v="32"/>
    <n v="12"/>
    <n v="36"/>
    <n v="1241"/>
    <n v="3"/>
    <n v="10"/>
    <n v="3"/>
    <n v="5"/>
    <n v="5"/>
    <n v="0"/>
    <n v="0"/>
    <n v="0"/>
    <n v="1"/>
    <n v="0"/>
    <n v="1"/>
    <n v="0"/>
  </r>
  <r>
    <d v="2012-10-23T00:00:00"/>
    <n v="796"/>
    <n v="1965"/>
    <x v="1"/>
    <s v="2n Cycle"/>
    <s v="Divorced"/>
    <n v="60161"/>
    <n v="1"/>
    <n v="17"/>
    <n v="584"/>
    <n v="44"/>
    <n v="212"/>
    <n v="46"/>
    <n v="8"/>
    <n v="177"/>
    <n v="1071"/>
    <n v="3"/>
    <n v="11"/>
    <n v="4"/>
    <n v="8"/>
    <n v="8"/>
    <n v="0"/>
    <n v="0"/>
    <n v="0"/>
    <n v="0"/>
    <n v="0"/>
    <n v="0"/>
    <n v="0"/>
  </r>
  <r>
    <d v="2012-09-28T00:00:00"/>
    <n v="618"/>
    <n v="1977"/>
    <x v="3"/>
    <s v="PhD"/>
    <s v="Married"/>
    <n v="69389"/>
    <n v="1"/>
    <n v="17"/>
    <n v="422"/>
    <n v="7"/>
    <n v="238"/>
    <n v="69"/>
    <n v="46"/>
    <n v="15"/>
    <n v="797"/>
    <n v="1"/>
    <n v="7"/>
    <n v="2"/>
    <n v="12"/>
    <n v="4"/>
    <n v="0"/>
    <n v="0"/>
    <n v="0"/>
    <n v="0"/>
    <n v="0"/>
    <n v="0"/>
    <n v="0"/>
  </r>
  <r>
    <d v="2012-09-10T00:00:00"/>
    <n v="380"/>
    <n v="1954"/>
    <x v="6"/>
    <s v="Graduation"/>
    <s v="Divorced"/>
    <n v="64497"/>
    <n v="1"/>
    <n v="17"/>
    <n v="1170"/>
    <n v="48"/>
    <n v="320"/>
    <n v="42"/>
    <n v="32"/>
    <n v="192"/>
    <n v="1804"/>
    <n v="5"/>
    <n v="11"/>
    <n v="4"/>
    <n v="9"/>
    <n v="8"/>
    <n v="1"/>
    <n v="0"/>
    <n v="0"/>
    <n v="0"/>
    <n v="0"/>
    <n v="1"/>
    <n v="0"/>
  </r>
  <r>
    <d v="2012-08-11T00:00:00"/>
    <n v="1092"/>
    <n v="1980"/>
    <x v="5"/>
    <s v="Graduation"/>
    <s v="Married"/>
    <n v="61014"/>
    <n v="1"/>
    <n v="17"/>
    <n v="269"/>
    <n v="129"/>
    <n v="495"/>
    <n v="182"/>
    <n v="43"/>
    <n v="29"/>
    <n v="1147"/>
    <n v="4"/>
    <n v="9"/>
    <n v="3"/>
    <n v="4"/>
    <n v="7"/>
    <n v="0"/>
    <n v="0"/>
    <n v="0"/>
    <n v="0"/>
    <n v="0"/>
    <n v="0"/>
    <n v="0"/>
  </r>
  <r>
    <d v="2014-04-17T00:00:00"/>
    <n v="8962"/>
    <n v="1975"/>
    <x v="6"/>
    <s v="Master"/>
    <s v="Married"/>
    <n v="44319"/>
    <n v="2"/>
    <n v="18"/>
    <n v="26"/>
    <n v="0"/>
    <n v="8"/>
    <n v="0"/>
    <n v="0"/>
    <n v="3"/>
    <n v="37"/>
    <n v="2"/>
    <n v="2"/>
    <n v="0"/>
    <n v="3"/>
    <n v="5"/>
    <n v="0"/>
    <n v="0"/>
    <n v="0"/>
    <n v="0"/>
    <n v="0"/>
    <n v="0"/>
    <n v="0"/>
  </r>
  <r>
    <d v="2014-03-18T00:00:00"/>
    <n v="8207"/>
    <n v="1957"/>
    <x v="1"/>
    <s v="2n Cycle"/>
    <s v="Married"/>
    <n v="53233"/>
    <n v="1"/>
    <n v="18"/>
    <n v="28"/>
    <n v="0"/>
    <n v="9"/>
    <n v="3"/>
    <n v="0"/>
    <n v="0"/>
    <n v="40"/>
    <n v="1"/>
    <n v="1"/>
    <n v="0"/>
    <n v="3"/>
    <n v="4"/>
    <n v="0"/>
    <n v="0"/>
    <n v="0"/>
    <n v="0"/>
    <n v="0"/>
    <n v="0"/>
    <n v="0"/>
  </r>
  <r>
    <d v="2014-03-18T00:00:00"/>
    <n v="6521"/>
    <n v="1954"/>
    <x v="6"/>
    <s v="Graduation"/>
    <s v="Together"/>
    <n v="77972"/>
    <n v="0"/>
    <n v="18"/>
    <n v="613"/>
    <n v="22"/>
    <n v="319"/>
    <n v="33"/>
    <n v="102"/>
    <n v="12"/>
    <n v="1101"/>
    <n v="1"/>
    <n v="4"/>
    <n v="6"/>
    <n v="9"/>
    <n v="1"/>
    <n v="0"/>
    <n v="0"/>
    <n v="0"/>
    <n v="0"/>
    <n v="0"/>
    <n v="0"/>
    <n v="0"/>
  </r>
  <r>
    <d v="2014-02-25T00:00:00"/>
    <n v="535"/>
    <n v="1987"/>
    <x v="4"/>
    <s v="Graduation"/>
    <s v="Divorced"/>
    <n v="81361"/>
    <n v="0"/>
    <n v="18"/>
    <n v="163"/>
    <n v="23"/>
    <n v="424"/>
    <n v="27"/>
    <n v="65"/>
    <n v="76"/>
    <n v="778"/>
    <n v="1"/>
    <n v="3"/>
    <n v="10"/>
    <n v="13"/>
    <n v="1"/>
    <n v="0"/>
    <n v="0"/>
    <n v="0"/>
    <n v="0"/>
    <n v="0"/>
    <n v="0"/>
    <n v="0"/>
  </r>
  <r>
    <d v="2014-02-25T00:00:00"/>
    <n v="4608"/>
    <n v="1987"/>
    <x v="6"/>
    <s v="Graduation"/>
    <s v="Divorced"/>
    <n v="81361"/>
    <n v="0"/>
    <n v="18"/>
    <n v="163"/>
    <n v="23"/>
    <n v="424"/>
    <n v="27"/>
    <n v="65"/>
    <n v="76"/>
    <n v="778"/>
    <n v="1"/>
    <n v="3"/>
    <n v="10"/>
    <n v="13"/>
    <n v="1"/>
    <n v="0"/>
    <n v="0"/>
    <n v="0"/>
    <n v="0"/>
    <n v="0"/>
    <n v="1"/>
    <n v="0"/>
  </r>
  <r>
    <d v="2014-01-18T00:00:00"/>
    <n v="11086"/>
    <n v="1984"/>
    <x v="0"/>
    <s v="Basic"/>
    <s v="Single"/>
    <n v="25707"/>
    <n v="1"/>
    <n v="18"/>
    <n v="1"/>
    <n v="6"/>
    <n v="2"/>
    <n v="3"/>
    <n v="6"/>
    <n v="3"/>
    <n v="21"/>
    <n v="1"/>
    <n v="1"/>
    <n v="0"/>
    <n v="3"/>
    <n v="7"/>
    <n v="0"/>
    <n v="0"/>
    <n v="0"/>
    <n v="0"/>
    <n v="0"/>
    <n v="0"/>
    <n v="0"/>
  </r>
  <r>
    <d v="2013-12-11T00:00:00"/>
    <n v="1064"/>
    <n v="1971"/>
    <x v="0"/>
    <s v="PhD"/>
    <s v="Married"/>
    <n v="42403"/>
    <n v="1"/>
    <n v="18"/>
    <n v="22"/>
    <n v="1"/>
    <n v="11"/>
    <n v="0"/>
    <n v="5"/>
    <n v="3"/>
    <n v="42"/>
    <n v="1"/>
    <n v="1"/>
    <n v="0"/>
    <n v="3"/>
    <n v="8"/>
    <n v="0"/>
    <n v="0"/>
    <n v="0"/>
    <n v="0"/>
    <n v="0"/>
    <n v="0"/>
    <n v="0"/>
  </r>
  <r>
    <d v="2013-10-13T00:00:00"/>
    <n v="7000"/>
    <n v="1972"/>
    <x v="4"/>
    <s v="2n Cycle"/>
    <s v="Single"/>
    <n v="65704"/>
    <n v="0"/>
    <n v="18"/>
    <n v="279"/>
    <n v="172"/>
    <n v="74"/>
    <n v="38"/>
    <n v="8"/>
    <n v="246"/>
    <n v="817"/>
    <n v="1"/>
    <n v="2"/>
    <n v="10"/>
    <n v="10"/>
    <n v="1"/>
    <n v="0"/>
    <n v="0"/>
    <n v="0"/>
    <n v="0"/>
    <n v="0"/>
    <n v="0"/>
    <n v="0"/>
  </r>
  <r>
    <d v="2013-10-10T00:00:00"/>
    <n v="1581"/>
    <n v="1980"/>
    <x v="0"/>
    <s v="Graduation"/>
    <s v="Married"/>
    <n v="37406"/>
    <n v="1"/>
    <n v="18"/>
    <n v="2"/>
    <n v="0"/>
    <n v="8"/>
    <n v="2"/>
    <n v="2"/>
    <n v="3"/>
    <n v="17"/>
    <n v="1"/>
    <n v="1"/>
    <n v="0"/>
    <n v="2"/>
    <n v="8"/>
    <n v="0"/>
    <n v="0"/>
    <n v="0"/>
    <n v="0"/>
    <n v="0"/>
    <n v="1"/>
    <n v="0"/>
  </r>
  <r>
    <d v="2013-07-21T00:00:00"/>
    <n v="7384"/>
    <n v="1951"/>
    <x v="0"/>
    <s v="Master"/>
    <s v="Together"/>
    <n v="39767"/>
    <n v="0"/>
    <n v="18"/>
    <n v="113"/>
    <n v="61"/>
    <n v="204"/>
    <n v="34"/>
    <n v="26"/>
    <n v="47"/>
    <n v="485"/>
    <n v="2"/>
    <n v="7"/>
    <n v="1"/>
    <n v="7"/>
    <n v="8"/>
    <n v="0"/>
    <n v="0"/>
    <n v="0"/>
    <n v="0"/>
    <n v="0"/>
    <n v="0"/>
    <n v="0"/>
  </r>
  <r>
    <d v="2013-05-20T00:00:00"/>
    <n v="10552"/>
    <n v="1979"/>
    <x v="0"/>
    <s v="2n Cycle"/>
    <s v="Married"/>
    <n v="54210"/>
    <n v="1"/>
    <n v="18"/>
    <n v="70"/>
    <n v="54"/>
    <n v="109"/>
    <n v="80"/>
    <n v="9"/>
    <n v="45"/>
    <n v="367"/>
    <n v="2"/>
    <n v="4"/>
    <n v="1"/>
    <n v="7"/>
    <n v="5"/>
    <n v="0"/>
    <n v="0"/>
    <n v="0"/>
    <n v="0"/>
    <n v="0"/>
    <n v="0"/>
    <n v="0"/>
  </r>
  <r>
    <d v="2013-05-18T00:00:00"/>
    <n v="6409"/>
    <n v="1967"/>
    <x v="6"/>
    <s v="Graduation"/>
    <s v="Divorced"/>
    <n v="57136"/>
    <n v="0"/>
    <n v="18"/>
    <n v="267"/>
    <n v="140"/>
    <n v="599"/>
    <n v="34"/>
    <n v="12"/>
    <n v="127"/>
    <n v="1179"/>
    <n v="1"/>
    <n v="7"/>
    <n v="5"/>
    <n v="7"/>
    <n v="6"/>
    <n v="0"/>
    <n v="0"/>
    <n v="0"/>
    <n v="0"/>
    <n v="0"/>
    <n v="1"/>
    <n v="0"/>
  </r>
  <r>
    <d v="2013-04-07T00:00:00"/>
    <n v="9507"/>
    <n v="1975"/>
    <x v="0"/>
    <s v="Graduation"/>
    <s v="Married"/>
    <n v="40794"/>
    <n v="1"/>
    <n v="18"/>
    <n v="261"/>
    <n v="23"/>
    <n v="73"/>
    <n v="4"/>
    <n v="23"/>
    <n v="50"/>
    <n v="434"/>
    <n v="2"/>
    <n v="6"/>
    <n v="3"/>
    <n v="5"/>
    <n v="7"/>
    <n v="0"/>
    <n v="0"/>
    <n v="0"/>
    <n v="0"/>
    <n v="0"/>
    <n v="0"/>
    <n v="0"/>
  </r>
  <r>
    <d v="2013-03-03T00:00:00"/>
    <n v="9560"/>
    <n v="1965"/>
    <x v="0"/>
    <s v="Graduation"/>
    <s v="Together"/>
    <n v="83003"/>
    <n v="0"/>
    <n v="18"/>
    <n v="856"/>
    <n v="61"/>
    <n v="570"/>
    <n v="40"/>
    <n v="25"/>
    <n v="122"/>
    <n v="1674"/>
    <n v="1"/>
    <n v="7"/>
    <n v="6"/>
    <n v="8"/>
    <n v="3"/>
    <n v="0"/>
    <n v="0"/>
    <n v="1"/>
    <n v="0"/>
    <n v="0"/>
    <n v="1"/>
    <n v="0"/>
  </r>
  <r>
    <d v="2012-12-07T00:00:00"/>
    <n v="10991"/>
    <n v="1960"/>
    <x v="1"/>
    <s v="Master"/>
    <s v="Married"/>
    <n v="89058"/>
    <n v="0"/>
    <n v="18"/>
    <n v="454"/>
    <n v="194"/>
    <n v="106"/>
    <n v="31"/>
    <n v="22"/>
    <n v="43"/>
    <n v="850"/>
    <n v="1"/>
    <n v="5"/>
    <n v="4"/>
    <n v="4"/>
    <n v="2"/>
    <n v="0"/>
    <n v="0"/>
    <n v="0"/>
    <n v="0"/>
    <n v="0"/>
    <n v="0"/>
    <n v="0"/>
  </r>
  <r>
    <d v="2012-11-28T00:00:00"/>
    <n v="4712"/>
    <n v="1991"/>
    <x v="0"/>
    <s v="2n Cycle"/>
    <s v="Together"/>
    <n v="20193"/>
    <n v="0"/>
    <n v="18"/>
    <n v="8"/>
    <n v="8"/>
    <n v="22"/>
    <n v="24"/>
    <n v="11"/>
    <n v="9"/>
    <n v="82"/>
    <n v="1"/>
    <n v="1"/>
    <n v="1"/>
    <n v="4"/>
    <n v="4"/>
    <n v="0"/>
    <n v="0"/>
    <n v="0"/>
    <n v="0"/>
    <n v="0"/>
    <n v="0"/>
    <n v="0"/>
  </r>
  <r>
    <d v="2012-10-27T00:00:00"/>
    <n v="11056"/>
    <n v="1974"/>
    <x v="0"/>
    <s v="Graduation"/>
    <s v="Married"/>
    <n v="72099"/>
    <n v="0"/>
    <n v="18"/>
    <n v="546"/>
    <n v="91"/>
    <n v="410"/>
    <n v="119"/>
    <n v="0"/>
    <n v="22"/>
    <n v="1188"/>
    <n v="1"/>
    <n v="3"/>
    <n v="4"/>
    <n v="10"/>
    <n v="1"/>
    <n v="0"/>
    <n v="0"/>
    <n v="0"/>
    <n v="0"/>
    <n v="0"/>
    <n v="0"/>
    <n v="0"/>
  </r>
  <r>
    <d v="2012-09-15T00:00:00"/>
    <n v="7414"/>
    <n v="1971"/>
    <x v="0"/>
    <s v="Graduation"/>
    <s v="Married"/>
    <n v="43824"/>
    <n v="2"/>
    <n v="18"/>
    <n v="96"/>
    <n v="1"/>
    <n v="42"/>
    <n v="12"/>
    <n v="3"/>
    <n v="32"/>
    <n v="186"/>
    <n v="4"/>
    <n v="3"/>
    <n v="1"/>
    <n v="4"/>
    <n v="8"/>
    <n v="0"/>
    <n v="0"/>
    <n v="0"/>
    <n v="0"/>
    <n v="0"/>
    <n v="0"/>
    <n v="0"/>
  </r>
  <r>
    <d v="2012-09-07T00:00:00"/>
    <n v="3076"/>
    <n v="1975"/>
    <x v="3"/>
    <s v="Graduation"/>
    <s v="Together"/>
    <n v="66653"/>
    <n v="2"/>
    <n v="18"/>
    <n v="452"/>
    <n v="18"/>
    <n v="102"/>
    <n v="16"/>
    <n v="18"/>
    <n v="6"/>
    <n v="612"/>
    <n v="4"/>
    <n v="4"/>
    <n v="2"/>
    <n v="12"/>
    <n v="3"/>
    <n v="0"/>
    <n v="0"/>
    <n v="0"/>
    <n v="0"/>
    <n v="0"/>
    <n v="0"/>
    <n v="0"/>
  </r>
  <r>
    <d v="2014-06-17T00:00:00"/>
    <n v="6355"/>
    <n v="1978"/>
    <x v="0"/>
    <s v="Graduation"/>
    <s v="Married"/>
    <n v="44359"/>
    <n v="2"/>
    <n v="19"/>
    <n v="20"/>
    <n v="0"/>
    <n v="14"/>
    <n v="7"/>
    <n v="3"/>
    <n v="1"/>
    <n v="45"/>
    <n v="3"/>
    <n v="2"/>
    <n v="0"/>
    <n v="4"/>
    <n v="3"/>
    <n v="0"/>
    <n v="0"/>
    <n v="0"/>
    <n v="0"/>
    <n v="0"/>
    <n v="0"/>
    <n v="0"/>
  </r>
  <r>
    <d v="2014-05-29T00:00:00"/>
    <n v="7959"/>
    <n v="1961"/>
    <x v="0"/>
    <s v="Graduation"/>
    <s v="Married"/>
    <n v="79410"/>
    <n v="0"/>
    <n v="19"/>
    <n v="658"/>
    <n v="80"/>
    <n v="483"/>
    <n v="123"/>
    <n v="13"/>
    <n v="13"/>
    <n v="1370"/>
    <n v="1"/>
    <n v="3"/>
    <n v="2"/>
    <n v="5"/>
    <n v="1"/>
    <n v="0"/>
    <n v="0"/>
    <n v="0"/>
    <n v="0"/>
    <n v="0"/>
    <n v="0"/>
    <n v="0"/>
  </r>
  <r>
    <d v="2014-05-23T00:00:00"/>
    <n v="5512"/>
    <n v="1977"/>
    <x v="0"/>
    <s v="Master"/>
    <s v="Married"/>
    <n v="55842"/>
    <n v="1"/>
    <n v="19"/>
    <n v="451"/>
    <n v="0"/>
    <n v="39"/>
    <n v="0"/>
    <n v="4"/>
    <n v="24"/>
    <n v="518"/>
    <n v="1"/>
    <n v="7"/>
    <n v="1"/>
    <n v="8"/>
    <n v="5"/>
    <n v="0"/>
    <n v="0"/>
    <n v="0"/>
    <n v="0"/>
    <n v="0"/>
    <n v="0"/>
    <n v="0"/>
  </r>
  <r>
    <d v="2014-05-12T00:00:00"/>
    <n v="10102"/>
    <n v="1966"/>
    <x v="6"/>
    <s v="Graduation"/>
    <s v="Widow"/>
    <n v="79946"/>
    <n v="0"/>
    <n v="19"/>
    <n v="395"/>
    <n v="183"/>
    <n v="565"/>
    <n v="166"/>
    <n v="141"/>
    <n v="28"/>
    <n v="1478"/>
    <n v="1"/>
    <n v="5"/>
    <n v="11"/>
    <n v="5"/>
    <n v="3"/>
    <n v="0"/>
    <n v="0"/>
    <n v="0"/>
    <n v="0"/>
    <n v="0"/>
    <n v="0"/>
    <n v="0"/>
  </r>
  <r>
    <d v="2014-03-19T00:00:00"/>
    <n v="9369"/>
    <n v="1979"/>
    <x v="4"/>
    <s v="2n Cycle"/>
    <s v="Single"/>
    <n v="88194"/>
    <n v="1"/>
    <n v="19"/>
    <n v="688"/>
    <n v="14"/>
    <n v="309"/>
    <n v="201"/>
    <n v="24"/>
    <n v="38"/>
    <n v="1274"/>
    <n v="1"/>
    <n v="11"/>
    <n v="10"/>
    <n v="10"/>
    <n v="5"/>
    <n v="1"/>
    <n v="0"/>
    <n v="0"/>
    <n v="1"/>
    <n v="0"/>
    <n v="1"/>
    <n v="0"/>
  </r>
  <r>
    <d v="2014-03-01T00:00:00"/>
    <n v="3711"/>
    <n v="1944"/>
    <x v="0"/>
    <s v="Master"/>
    <s v="Married"/>
    <n v="80184"/>
    <n v="0"/>
    <n v="19"/>
    <n v="1035"/>
    <n v="134"/>
    <n v="670"/>
    <n v="25"/>
    <n v="38"/>
    <n v="0"/>
    <n v="1902"/>
    <n v="1"/>
    <n v="6"/>
    <n v="3"/>
    <n v="10"/>
    <n v="3"/>
    <n v="0"/>
    <n v="0"/>
    <n v="1"/>
    <n v="1"/>
    <n v="0"/>
    <n v="0"/>
    <n v="0"/>
  </r>
  <r>
    <d v="2014-02-15T00:00:00"/>
    <n v="6931"/>
    <n v="1967"/>
    <x v="0"/>
    <s v="Graduation"/>
    <s v="Divorced"/>
    <n v="76982"/>
    <n v="0"/>
    <n v="19"/>
    <n v="464"/>
    <n v="151"/>
    <n v="292"/>
    <n v="65"/>
    <n v="60"/>
    <n v="30"/>
    <n v="1062"/>
    <n v="1"/>
    <n v="8"/>
    <n v="3"/>
    <n v="4"/>
    <n v="4"/>
    <n v="0"/>
    <n v="0"/>
    <n v="1"/>
    <n v="0"/>
    <n v="0"/>
    <n v="1"/>
    <n v="0"/>
  </r>
  <r>
    <d v="2013-12-23T00:00:00"/>
    <n v="9596"/>
    <n v="1980"/>
    <x v="2"/>
    <s v="PhD"/>
    <s v="Single"/>
    <n v="65295"/>
    <n v="0"/>
    <n v="19"/>
    <n v="365"/>
    <n v="32"/>
    <n v="117"/>
    <n v="34"/>
    <n v="110"/>
    <n v="6"/>
    <n v="664"/>
    <n v="1"/>
    <n v="3"/>
    <n v="3"/>
    <n v="13"/>
    <n v="2"/>
    <n v="0"/>
    <n v="0"/>
    <n v="0"/>
    <n v="0"/>
    <n v="0"/>
    <n v="0"/>
    <n v="0"/>
  </r>
  <r>
    <d v="2013-12-04T00:00:00"/>
    <n v="2727"/>
    <n v="1973"/>
    <x v="6"/>
    <s v="Graduation"/>
    <s v="Together"/>
    <n v="57100"/>
    <n v="0"/>
    <n v="19"/>
    <n v="181"/>
    <n v="21"/>
    <n v="69"/>
    <n v="39"/>
    <n v="3"/>
    <n v="96"/>
    <n v="409"/>
    <n v="1"/>
    <n v="3"/>
    <n v="3"/>
    <n v="6"/>
    <n v="3"/>
    <n v="0"/>
    <n v="0"/>
    <n v="0"/>
    <n v="0"/>
    <n v="0"/>
    <n v="0"/>
    <n v="0"/>
  </r>
  <r>
    <d v="2013-11-29T00:00:00"/>
    <n v="8416"/>
    <n v="1981"/>
    <x v="2"/>
    <s v="Graduation"/>
    <s v="Married"/>
    <n v="29009"/>
    <n v="1"/>
    <n v="19"/>
    <n v="6"/>
    <n v="6"/>
    <n v="15"/>
    <n v="10"/>
    <n v="5"/>
    <n v="2"/>
    <n v="44"/>
    <n v="2"/>
    <n v="2"/>
    <n v="0"/>
    <n v="3"/>
    <n v="6"/>
    <n v="0"/>
    <n v="0"/>
    <n v="0"/>
    <n v="0"/>
    <n v="0"/>
    <n v="0"/>
    <n v="0"/>
  </r>
  <r>
    <d v="2013-10-25T00:00:00"/>
    <n v="3967"/>
    <n v="1971"/>
    <x v="1"/>
    <s v="PhD"/>
    <s v="Married"/>
    <n v="78931"/>
    <n v="0"/>
    <n v="19"/>
    <n v="331"/>
    <n v="197"/>
    <n v="170"/>
    <n v="58"/>
    <n v="152"/>
    <n v="35"/>
    <n v="943"/>
    <n v="1"/>
    <n v="2"/>
    <n v="8"/>
    <n v="13"/>
    <n v="1"/>
    <n v="0"/>
    <n v="0"/>
    <n v="0"/>
    <n v="0"/>
    <n v="0"/>
    <n v="0"/>
    <n v="0"/>
  </r>
  <r>
    <d v="2013-10-02T00:00:00"/>
    <n v="2139"/>
    <n v="1975"/>
    <x v="3"/>
    <s v="Master"/>
    <s v="Married"/>
    <n v="7500"/>
    <n v="1"/>
    <n v="19"/>
    <n v="3"/>
    <n v="1"/>
    <n v="10"/>
    <n v="3"/>
    <n v="2"/>
    <n v="12"/>
    <n v="31"/>
    <n v="3"/>
    <n v="2"/>
    <n v="0"/>
    <n v="3"/>
    <n v="5"/>
    <n v="0"/>
    <n v="0"/>
    <n v="0"/>
    <n v="0"/>
    <n v="0"/>
    <n v="0"/>
    <n v="0"/>
  </r>
  <r>
    <d v="2013-09-18T00:00:00"/>
    <n v="2162"/>
    <n v="1976"/>
    <x v="0"/>
    <s v="Graduation"/>
    <s v="Married"/>
    <n v="56939"/>
    <n v="1"/>
    <n v="19"/>
    <n v="256"/>
    <n v="34"/>
    <n v="103"/>
    <n v="90"/>
    <n v="29"/>
    <n v="49"/>
    <n v="561"/>
    <n v="2"/>
    <n v="3"/>
    <n v="3"/>
    <n v="10"/>
    <n v="3"/>
    <n v="0"/>
    <n v="0"/>
    <n v="0"/>
    <n v="0"/>
    <n v="0"/>
    <n v="0"/>
    <n v="0"/>
  </r>
  <r>
    <d v="2013-08-17T00:00:00"/>
    <n v="9242"/>
    <n v="1990"/>
    <x v="6"/>
    <s v="Graduation"/>
    <s v="Single"/>
    <n v="64509"/>
    <n v="0"/>
    <n v="19"/>
    <n v="836"/>
    <n v="185"/>
    <n v="575"/>
    <n v="24"/>
    <n v="25"/>
    <n v="77"/>
    <n v="1722"/>
    <n v="1"/>
    <n v="6"/>
    <n v="3"/>
    <n v="9"/>
    <n v="4"/>
    <n v="1"/>
    <n v="0"/>
    <n v="0"/>
    <n v="0"/>
    <n v="0"/>
    <n v="1"/>
    <n v="0"/>
  </r>
  <r>
    <d v="2013-07-08T00:00:00"/>
    <n v="10595"/>
    <n v="1990"/>
    <x v="0"/>
    <s v="Graduation"/>
    <s v="Married"/>
    <n v="30093"/>
    <n v="0"/>
    <n v="19"/>
    <n v="2"/>
    <n v="6"/>
    <n v="28"/>
    <n v="13"/>
    <n v="4"/>
    <n v="16"/>
    <n v="69"/>
    <n v="1"/>
    <n v="2"/>
    <n v="0"/>
    <n v="3"/>
    <n v="7"/>
    <n v="0"/>
    <n v="0"/>
    <n v="0"/>
    <n v="0"/>
    <n v="0"/>
    <n v="0"/>
    <n v="0"/>
  </r>
  <r>
    <d v="2013-06-06T00:00:00"/>
    <n v="4855"/>
    <n v="1974"/>
    <x v="2"/>
    <s v="PhD"/>
    <s v="Together"/>
    <n v="30351"/>
    <n v="1"/>
    <n v="19"/>
    <n v="14"/>
    <n v="0"/>
    <n v="24"/>
    <n v="3"/>
    <n v="3"/>
    <n v="2"/>
    <n v="46"/>
    <n v="1"/>
    <n v="3"/>
    <n v="0"/>
    <n v="2"/>
    <n v="9"/>
    <n v="0"/>
    <n v="0"/>
    <n v="0"/>
    <n v="0"/>
    <n v="0"/>
    <n v="1"/>
    <n v="0"/>
  </r>
  <r>
    <d v="2013-06-06T00:00:00"/>
    <n v="5049"/>
    <n v="1974"/>
    <x v="0"/>
    <s v="PhD"/>
    <s v="Together"/>
    <n v="30351"/>
    <n v="1"/>
    <n v="19"/>
    <n v="14"/>
    <n v="0"/>
    <n v="24"/>
    <n v="3"/>
    <n v="3"/>
    <n v="2"/>
    <n v="46"/>
    <n v="1"/>
    <n v="3"/>
    <n v="0"/>
    <n v="2"/>
    <n v="9"/>
    <n v="0"/>
    <n v="0"/>
    <n v="0"/>
    <n v="0"/>
    <n v="0"/>
    <n v="0"/>
    <n v="0"/>
  </r>
  <r>
    <d v="2013-03-29T00:00:00"/>
    <n v="4967"/>
    <n v="1960"/>
    <x v="6"/>
    <s v="PhD"/>
    <s v="Together"/>
    <n v="38201"/>
    <n v="1"/>
    <n v="19"/>
    <n v="233"/>
    <n v="0"/>
    <n v="23"/>
    <n v="0"/>
    <n v="0"/>
    <n v="12"/>
    <n v="268"/>
    <n v="4"/>
    <n v="5"/>
    <n v="1"/>
    <n v="5"/>
    <n v="8"/>
    <n v="0"/>
    <n v="0"/>
    <n v="0"/>
    <n v="0"/>
    <n v="0"/>
    <n v="0"/>
    <n v="0"/>
  </r>
  <r>
    <d v="2013-02-20T00:00:00"/>
    <n v="5255"/>
    <n v="1986"/>
    <x v="3"/>
    <s v="Graduation"/>
    <s v="Single"/>
    <n v="53790.45"/>
    <n v="1"/>
    <n v="19"/>
    <n v="5"/>
    <n v="1"/>
    <n v="3"/>
    <n v="3"/>
    <n v="263"/>
    <n v="362"/>
    <n v="637"/>
    <n v="0"/>
    <n v="27"/>
    <n v="0"/>
    <n v="0"/>
    <n v="1"/>
    <n v="0"/>
    <n v="0"/>
    <n v="0"/>
    <n v="0"/>
    <n v="0"/>
    <n v="0"/>
    <n v="0"/>
  </r>
  <r>
    <d v="2012-12-12T00:00:00"/>
    <n v="9215"/>
    <n v="1980"/>
    <x v="1"/>
    <s v="PhD"/>
    <s v="Married"/>
    <n v="43974"/>
    <n v="1"/>
    <n v="19"/>
    <n v="378"/>
    <n v="0"/>
    <n v="101"/>
    <n v="0"/>
    <n v="0"/>
    <n v="72"/>
    <n v="551"/>
    <n v="5"/>
    <n v="6"/>
    <n v="4"/>
    <n v="6"/>
    <n v="7"/>
    <n v="0"/>
    <n v="0"/>
    <n v="0"/>
    <n v="0"/>
    <n v="0"/>
    <n v="0"/>
    <n v="0"/>
  </r>
  <r>
    <d v="2012-12-07T00:00:00"/>
    <n v="3525"/>
    <n v="1970"/>
    <x v="0"/>
    <s v="Graduation"/>
    <s v="Together"/>
    <n v="38200"/>
    <n v="2"/>
    <n v="19"/>
    <n v="12"/>
    <n v="0"/>
    <n v="4"/>
    <n v="0"/>
    <n v="0"/>
    <n v="1"/>
    <n v="17"/>
    <n v="1"/>
    <n v="1"/>
    <n v="0"/>
    <n v="2"/>
    <n v="7"/>
    <n v="0"/>
    <n v="0"/>
    <n v="0"/>
    <n v="0"/>
    <n v="0"/>
    <n v="0"/>
    <n v="0"/>
  </r>
  <r>
    <d v="2012-09-23T00:00:00"/>
    <n v="3619"/>
    <n v="1960"/>
    <x v="3"/>
    <s v="2n Cycle"/>
    <s v="Divorced"/>
    <n v="87305"/>
    <n v="0"/>
    <n v="19"/>
    <n v="345"/>
    <n v="25"/>
    <n v="501"/>
    <n v="63"/>
    <n v="138"/>
    <n v="80"/>
    <n v="1152"/>
    <n v="1"/>
    <n v="5"/>
    <n v="3"/>
    <n v="8"/>
    <n v="2"/>
    <n v="0"/>
    <n v="0"/>
    <n v="1"/>
    <n v="0"/>
    <n v="0"/>
    <n v="1"/>
    <n v="0"/>
  </r>
  <r>
    <d v="2012-09-12T00:00:00"/>
    <n v="4415"/>
    <n v="1961"/>
    <x v="0"/>
    <s v="Graduation"/>
    <s v="Married"/>
    <n v="16860"/>
    <n v="2"/>
    <n v="19"/>
    <n v="10"/>
    <n v="4"/>
    <n v="4"/>
    <n v="3"/>
    <n v="3"/>
    <n v="14"/>
    <n v="38"/>
    <n v="3"/>
    <n v="1"/>
    <n v="1"/>
    <n v="3"/>
    <n v="7"/>
    <n v="0"/>
    <n v="0"/>
    <n v="0"/>
    <n v="0"/>
    <n v="0"/>
    <n v="0"/>
    <n v="0"/>
  </r>
  <r>
    <d v="2012-08-30T00:00:00"/>
    <n v="3645"/>
    <n v="1972"/>
    <x v="0"/>
    <s v="PhD"/>
    <s v="Single"/>
    <n v="27213"/>
    <n v="1"/>
    <n v="19"/>
    <n v="19"/>
    <n v="3"/>
    <n v="26"/>
    <n v="10"/>
    <n v="9"/>
    <n v="3"/>
    <n v="70"/>
    <n v="3"/>
    <n v="2"/>
    <n v="0"/>
    <n v="4"/>
    <n v="8"/>
    <n v="0"/>
    <n v="0"/>
    <n v="0"/>
    <n v="0"/>
    <n v="0"/>
    <n v="1"/>
    <n v="0"/>
  </r>
  <r>
    <d v="2012-08-01T00:00:00"/>
    <n v="4692"/>
    <n v="1976"/>
    <x v="3"/>
    <s v="Graduation"/>
    <s v="Married"/>
    <n v="7500"/>
    <n v="1"/>
    <n v="19"/>
    <n v="7"/>
    <n v="0"/>
    <n v="12"/>
    <n v="13"/>
    <n v="7"/>
    <n v="32"/>
    <n v="71"/>
    <n v="5"/>
    <n v="4"/>
    <n v="1"/>
    <n v="2"/>
    <n v="9"/>
    <n v="1"/>
    <n v="0"/>
    <n v="0"/>
    <n v="0"/>
    <n v="0"/>
    <n v="1"/>
    <n v="0"/>
  </r>
  <r>
    <d v="2014-06-22T00:00:00"/>
    <n v="3955"/>
    <n v="1965"/>
    <x v="6"/>
    <s v="Graduation"/>
    <s v="Divorced"/>
    <n v="4861"/>
    <n v="0"/>
    <n v="20"/>
    <n v="2"/>
    <n v="1"/>
    <n v="1"/>
    <n v="1"/>
    <n v="0"/>
    <n v="1"/>
    <n v="6"/>
    <n v="0"/>
    <n v="0"/>
    <n v="0"/>
    <n v="0"/>
    <n v="14"/>
    <n v="0"/>
    <n v="0"/>
    <n v="0"/>
    <n v="0"/>
    <n v="0"/>
    <n v="0"/>
    <n v="0"/>
  </r>
  <r>
    <d v="2014-04-18T00:00:00"/>
    <n v="5313"/>
    <n v="1971"/>
    <x v="0"/>
    <s v="Master"/>
    <s v="Married"/>
    <n v="38196"/>
    <n v="2"/>
    <n v="20"/>
    <n v="30"/>
    <n v="0"/>
    <n v="11"/>
    <n v="0"/>
    <n v="0"/>
    <n v="3"/>
    <n v="44"/>
    <n v="3"/>
    <n v="2"/>
    <n v="0"/>
    <n v="4"/>
    <n v="5"/>
    <n v="0"/>
    <n v="0"/>
    <n v="0"/>
    <n v="0"/>
    <n v="0"/>
    <n v="0"/>
    <n v="0"/>
  </r>
  <r>
    <d v="2014-02-08T00:00:00"/>
    <n v="7196"/>
    <n v="1950"/>
    <x v="1"/>
    <s v="PhD"/>
    <s v="Married"/>
    <n v="41145"/>
    <n v="2"/>
    <n v="20"/>
    <n v="9"/>
    <n v="0"/>
    <n v="3"/>
    <n v="0"/>
    <n v="0"/>
    <n v="1"/>
    <n v="13"/>
    <n v="1"/>
    <n v="0"/>
    <n v="0"/>
    <n v="3"/>
    <n v="3"/>
    <n v="0"/>
    <n v="0"/>
    <n v="0"/>
    <n v="0"/>
    <n v="0"/>
    <n v="0"/>
    <n v="0"/>
  </r>
  <r>
    <d v="2014-01-28T00:00:00"/>
    <n v="1381"/>
    <n v="1982"/>
    <x v="0"/>
    <s v="PhD"/>
    <s v="Single"/>
    <n v="38513"/>
    <n v="1"/>
    <n v="20"/>
    <n v="172"/>
    <n v="3"/>
    <n v="115"/>
    <n v="16"/>
    <n v="0"/>
    <n v="18"/>
    <n v="324"/>
    <n v="5"/>
    <n v="6"/>
    <n v="1"/>
    <n v="5"/>
    <n v="8"/>
    <n v="0"/>
    <n v="0"/>
    <n v="0"/>
    <n v="0"/>
    <n v="0"/>
    <n v="1"/>
    <n v="0"/>
  </r>
  <r>
    <d v="2014-01-25T00:00:00"/>
    <n v="10951"/>
    <n v="1968"/>
    <x v="0"/>
    <s v="Graduation"/>
    <s v="Married"/>
    <n v="45688"/>
    <n v="1"/>
    <n v="20"/>
    <n v="279"/>
    <n v="0"/>
    <n v="18"/>
    <n v="0"/>
    <n v="0"/>
    <n v="9"/>
    <n v="306"/>
    <n v="2"/>
    <n v="3"/>
    <n v="1"/>
    <n v="8"/>
    <n v="4"/>
    <n v="0"/>
    <n v="1"/>
    <n v="0"/>
    <n v="0"/>
    <n v="0"/>
    <n v="0"/>
    <n v="0"/>
  </r>
  <r>
    <d v="2013-11-27T00:00:00"/>
    <n v="4322"/>
    <n v="1958"/>
    <x v="0"/>
    <s v="PhD"/>
    <s v="Together"/>
    <n v="77863"/>
    <n v="0"/>
    <n v="20"/>
    <n v="881"/>
    <n v="38"/>
    <n v="319"/>
    <n v="16"/>
    <n v="25"/>
    <n v="12"/>
    <n v="1291"/>
    <n v="1"/>
    <n v="4"/>
    <n v="5"/>
    <n v="10"/>
    <n v="2"/>
    <n v="0"/>
    <n v="0"/>
    <n v="0"/>
    <n v="0"/>
    <n v="0"/>
    <n v="0"/>
    <n v="0"/>
  </r>
  <r>
    <d v="2013-10-19T00:00:00"/>
    <n v="7444"/>
    <n v="1969"/>
    <x v="0"/>
    <s v="Master"/>
    <s v="Married"/>
    <n v="42169"/>
    <n v="2"/>
    <n v="20"/>
    <n v="19"/>
    <n v="0"/>
    <n v="9"/>
    <n v="0"/>
    <n v="0"/>
    <n v="2"/>
    <n v="30"/>
    <n v="2"/>
    <n v="1"/>
    <n v="0"/>
    <n v="3"/>
    <n v="8"/>
    <n v="0"/>
    <n v="0"/>
    <n v="0"/>
    <n v="0"/>
    <n v="0"/>
    <n v="0"/>
    <n v="0"/>
  </r>
  <r>
    <d v="2013-05-07T00:00:00"/>
    <n v="2942"/>
    <n v="1964"/>
    <x v="0"/>
    <s v="Graduation"/>
    <s v="Single"/>
    <n v="45906"/>
    <n v="1"/>
    <n v="20"/>
    <n v="305"/>
    <n v="3"/>
    <n v="27"/>
    <n v="4"/>
    <n v="3"/>
    <n v="144"/>
    <n v="486"/>
    <n v="2"/>
    <n v="5"/>
    <n v="4"/>
    <n v="4"/>
    <n v="5"/>
    <n v="1"/>
    <n v="0"/>
    <n v="0"/>
    <n v="0"/>
    <n v="0"/>
    <n v="0"/>
    <n v="0"/>
  </r>
  <r>
    <d v="2013-03-07T00:00:00"/>
    <n v="2874"/>
    <n v="1988"/>
    <x v="6"/>
    <s v="2n Cycle"/>
    <s v="Divorced"/>
    <n v="35388"/>
    <n v="1"/>
    <n v="20"/>
    <n v="6"/>
    <n v="4"/>
    <n v="7"/>
    <n v="4"/>
    <n v="3"/>
    <n v="8"/>
    <n v="32"/>
    <n v="1"/>
    <n v="1"/>
    <n v="0"/>
    <n v="3"/>
    <n v="7"/>
    <n v="0"/>
    <n v="0"/>
    <n v="0"/>
    <n v="0"/>
    <n v="0"/>
    <n v="0"/>
    <n v="0"/>
  </r>
  <r>
    <d v="2013-02-28T00:00:00"/>
    <n v="3667"/>
    <n v="1969"/>
    <x v="4"/>
    <s v="Graduation"/>
    <s v="Married"/>
    <n v="80952"/>
    <n v="0"/>
    <n v="20"/>
    <n v="778"/>
    <n v="178"/>
    <n v="689"/>
    <n v="41"/>
    <n v="27"/>
    <n v="44"/>
    <n v="1757"/>
    <n v="1"/>
    <n v="8"/>
    <n v="5"/>
    <n v="11"/>
    <n v="8"/>
    <n v="0"/>
    <n v="1"/>
    <n v="1"/>
    <n v="1"/>
    <n v="0"/>
    <n v="1"/>
    <n v="0"/>
  </r>
  <r>
    <d v="2013-02-12T00:00:00"/>
    <n v="3697"/>
    <n v="1954"/>
    <x v="1"/>
    <s v="Graduation"/>
    <s v="Together"/>
    <n v="39898"/>
    <n v="1"/>
    <n v="20"/>
    <n v="69"/>
    <n v="8"/>
    <n v="26"/>
    <n v="12"/>
    <n v="7"/>
    <n v="12"/>
    <n v="134"/>
    <n v="2"/>
    <n v="3"/>
    <n v="0"/>
    <n v="4"/>
    <n v="7"/>
    <n v="0"/>
    <n v="0"/>
    <n v="0"/>
    <n v="0"/>
    <n v="0"/>
    <n v="0"/>
    <n v="0"/>
  </r>
  <r>
    <d v="2013-02-12T00:00:00"/>
    <n v="9955"/>
    <n v="1954"/>
    <x v="0"/>
    <s v="Graduation"/>
    <s v="Together"/>
    <n v="39898"/>
    <n v="1"/>
    <n v="20"/>
    <n v="69"/>
    <n v="8"/>
    <n v="26"/>
    <n v="12"/>
    <n v="7"/>
    <n v="12"/>
    <n v="134"/>
    <n v="2"/>
    <n v="3"/>
    <n v="0"/>
    <n v="4"/>
    <n v="7"/>
    <n v="0"/>
    <n v="0"/>
    <n v="0"/>
    <n v="0"/>
    <n v="0"/>
    <n v="0"/>
    <n v="0"/>
  </r>
  <r>
    <d v="2013-01-29T00:00:00"/>
    <n v="5320"/>
    <n v="1973"/>
    <x v="6"/>
    <s v="Master"/>
    <s v="Divorced"/>
    <n v="44051"/>
    <n v="2"/>
    <n v="20"/>
    <n v="79"/>
    <n v="7"/>
    <n v="58"/>
    <n v="6"/>
    <n v="3"/>
    <n v="18"/>
    <n v="171"/>
    <n v="4"/>
    <n v="3"/>
    <n v="1"/>
    <n v="4"/>
    <n v="6"/>
    <n v="0"/>
    <n v="0"/>
    <n v="0"/>
    <n v="0"/>
    <n v="0"/>
    <n v="1"/>
    <n v="0"/>
  </r>
  <r>
    <d v="2013-01-17T00:00:00"/>
    <n v="6422"/>
    <n v="1954"/>
    <x v="5"/>
    <s v="Graduation"/>
    <s v="Married"/>
    <n v="86718"/>
    <n v="0"/>
    <n v="20"/>
    <n v="344"/>
    <n v="189"/>
    <n v="482"/>
    <n v="50"/>
    <n v="33"/>
    <n v="172"/>
    <n v="1270"/>
    <n v="1"/>
    <n v="5"/>
    <n v="6"/>
    <n v="5"/>
    <n v="2"/>
    <n v="0"/>
    <n v="0"/>
    <n v="0"/>
    <n v="0"/>
    <n v="0"/>
    <n v="0"/>
    <n v="0"/>
  </r>
  <r>
    <d v="2013-01-11T00:00:00"/>
    <n v="3690"/>
    <n v="1986"/>
    <x v="0"/>
    <s v="Master"/>
    <s v="Married"/>
    <n v="80141"/>
    <n v="0"/>
    <n v="20"/>
    <n v="1184"/>
    <n v="102"/>
    <n v="673"/>
    <n v="52"/>
    <n v="40"/>
    <n v="40"/>
    <n v="2091"/>
    <n v="1"/>
    <n v="7"/>
    <n v="4"/>
    <n v="10"/>
    <n v="6"/>
    <n v="0"/>
    <n v="0"/>
    <n v="1"/>
    <n v="0"/>
    <n v="0"/>
    <n v="1"/>
    <n v="0"/>
  </r>
  <r>
    <d v="2012-11-20T00:00:00"/>
    <n v="2408"/>
    <n v="1976"/>
    <x v="5"/>
    <s v="Graduation"/>
    <s v="Married"/>
    <n v="58597"/>
    <n v="2"/>
    <n v="20"/>
    <n v="490"/>
    <n v="0"/>
    <n v="184"/>
    <n v="10"/>
    <n v="28"/>
    <n v="21"/>
    <n v="733"/>
    <n v="12"/>
    <n v="7"/>
    <n v="4"/>
    <n v="9"/>
    <n v="7"/>
    <n v="0"/>
    <n v="0"/>
    <n v="0"/>
    <n v="0"/>
    <n v="0"/>
    <n v="0"/>
    <n v="0"/>
  </r>
  <r>
    <d v="2012-11-05T00:00:00"/>
    <n v="9260"/>
    <n v="1945"/>
    <x v="1"/>
    <s v="PhD"/>
    <s v="Married"/>
    <n v="70356"/>
    <n v="0"/>
    <n v="20"/>
    <n v="1349"/>
    <n v="16"/>
    <n v="249"/>
    <n v="43"/>
    <n v="16"/>
    <n v="33"/>
    <n v="1706"/>
    <n v="2"/>
    <n v="10"/>
    <n v="6"/>
    <n v="9"/>
    <n v="6"/>
    <n v="0"/>
    <n v="0"/>
    <n v="0"/>
    <n v="0"/>
    <n v="0"/>
    <n v="0"/>
    <n v="0"/>
  </r>
  <r>
    <d v="2012-11-03T00:00:00"/>
    <n v="9648"/>
    <n v="1967"/>
    <x v="0"/>
    <s v="Graduation"/>
    <s v="Single"/>
    <n v="46904"/>
    <n v="2"/>
    <n v="20"/>
    <n v="153"/>
    <n v="4"/>
    <n v="56"/>
    <n v="0"/>
    <n v="9"/>
    <n v="31"/>
    <n v="253"/>
    <n v="4"/>
    <n v="5"/>
    <n v="1"/>
    <n v="4"/>
    <n v="8"/>
    <n v="0"/>
    <n v="0"/>
    <n v="0"/>
    <n v="0"/>
    <n v="0"/>
    <n v="0"/>
    <n v="0"/>
  </r>
  <r>
    <d v="2012-08-31T00:00:00"/>
    <n v="4939"/>
    <n v="1946"/>
    <x v="2"/>
    <s v="Graduation"/>
    <s v="Together"/>
    <n v="37760"/>
    <n v="0"/>
    <n v="20"/>
    <n v="84"/>
    <n v="5"/>
    <n v="38"/>
    <n v="150"/>
    <n v="12"/>
    <n v="28"/>
    <n v="317"/>
    <n v="2"/>
    <n v="4"/>
    <n v="1"/>
    <n v="6"/>
    <n v="7"/>
    <n v="0"/>
    <n v="0"/>
    <n v="0"/>
    <n v="0"/>
    <n v="0"/>
    <n v="0"/>
    <n v="0"/>
  </r>
  <r>
    <d v="2012-08-31T00:00:00"/>
    <n v="8652"/>
    <n v="1946"/>
    <x v="6"/>
    <s v="Graduation"/>
    <s v="Together"/>
    <n v="37760"/>
    <n v="0"/>
    <n v="20"/>
    <n v="84"/>
    <n v="5"/>
    <n v="38"/>
    <n v="150"/>
    <n v="12"/>
    <n v="28"/>
    <n v="317"/>
    <n v="2"/>
    <n v="4"/>
    <n v="1"/>
    <n v="6"/>
    <n v="7"/>
    <n v="0"/>
    <n v="0"/>
    <n v="0"/>
    <n v="0"/>
    <n v="0"/>
    <n v="0"/>
    <n v="0"/>
  </r>
  <r>
    <d v="2012-08-12T00:00:00"/>
    <n v="4702"/>
    <n v="1964"/>
    <x v="0"/>
    <s v="Graduation"/>
    <s v="Single"/>
    <n v="61839"/>
    <n v="0"/>
    <n v="20"/>
    <n v="1000"/>
    <n v="155"/>
    <n v="379"/>
    <n v="224"/>
    <n v="17"/>
    <n v="120"/>
    <n v="1895"/>
    <n v="1"/>
    <n v="4"/>
    <n v="8"/>
    <n v="4"/>
    <n v="8"/>
    <n v="0"/>
    <n v="0"/>
    <n v="0"/>
    <n v="0"/>
    <n v="0"/>
    <n v="0"/>
    <n v="0"/>
  </r>
  <r>
    <d v="2014-05-15T00:00:00"/>
    <n v="2587"/>
    <n v="1972"/>
    <x v="3"/>
    <s v="PhD"/>
    <s v="Married"/>
    <n v="29791"/>
    <n v="1"/>
    <n v="21"/>
    <n v="14"/>
    <n v="0"/>
    <n v="6"/>
    <n v="0"/>
    <n v="0"/>
    <n v="0"/>
    <n v="20"/>
    <n v="2"/>
    <n v="2"/>
    <n v="0"/>
    <n v="3"/>
    <n v="5"/>
    <n v="0"/>
    <n v="0"/>
    <n v="0"/>
    <n v="0"/>
    <n v="0"/>
    <n v="0"/>
    <n v="0"/>
  </r>
  <r>
    <d v="2014-04-12T00:00:00"/>
    <n v="2811"/>
    <n v="1963"/>
    <x v="0"/>
    <s v="PhD"/>
    <s v="Single"/>
    <n v="48918"/>
    <n v="2"/>
    <n v="21"/>
    <n v="52"/>
    <n v="0"/>
    <n v="9"/>
    <n v="0"/>
    <n v="0"/>
    <n v="1"/>
    <n v="62"/>
    <n v="2"/>
    <n v="1"/>
    <n v="0"/>
    <n v="4"/>
    <n v="4"/>
    <n v="0"/>
    <n v="0"/>
    <n v="0"/>
    <n v="0"/>
    <n v="0"/>
    <n v="0"/>
    <n v="0"/>
  </r>
  <r>
    <d v="2014-04-12T00:00:00"/>
    <n v="9150"/>
    <n v="1963"/>
    <x v="0"/>
    <s v="PhD"/>
    <s v="Single"/>
    <n v="48918"/>
    <n v="2"/>
    <n v="21"/>
    <n v="52"/>
    <n v="0"/>
    <n v="9"/>
    <n v="0"/>
    <n v="0"/>
    <n v="1"/>
    <n v="62"/>
    <n v="2"/>
    <n v="1"/>
    <n v="0"/>
    <n v="4"/>
    <n v="4"/>
    <n v="0"/>
    <n v="0"/>
    <n v="0"/>
    <n v="0"/>
    <n v="0"/>
    <n v="0"/>
    <n v="0"/>
  </r>
  <r>
    <d v="2014-04-06T00:00:00"/>
    <n v="10127"/>
    <n v="1965"/>
    <x v="1"/>
    <s v="Graduation"/>
    <s v="Married"/>
    <n v="58692"/>
    <n v="1"/>
    <n v="21"/>
    <n v="301"/>
    <n v="11"/>
    <n v="61"/>
    <n v="4"/>
    <n v="7"/>
    <n v="11"/>
    <n v="395"/>
    <n v="1"/>
    <n v="8"/>
    <n v="2"/>
    <n v="4"/>
    <n v="7"/>
    <n v="0"/>
    <n v="0"/>
    <n v="0"/>
    <n v="0"/>
    <n v="0"/>
    <n v="0"/>
    <n v="0"/>
  </r>
  <r>
    <d v="2014-03-19T00:00:00"/>
    <n v="5493"/>
    <n v="1976"/>
    <x v="0"/>
    <s v="Graduation"/>
    <s v="Married"/>
    <n v="39356"/>
    <n v="2"/>
    <n v="21"/>
    <n v="15"/>
    <n v="0"/>
    <n v="2"/>
    <n v="0"/>
    <n v="0"/>
    <n v="6"/>
    <n v="23"/>
    <n v="1"/>
    <n v="1"/>
    <n v="0"/>
    <n v="2"/>
    <n v="6"/>
    <n v="1"/>
    <n v="0"/>
    <n v="0"/>
    <n v="0"/>
    <n v="0"/>
    <n v="0"/>
    <n v="0"/>
  </r>
  <r>
    <d v="2014-02-06T00:00:00"/>
    <n v="2666"/>
    <n v="1972"/>
    <x v="1"/>
    <s v="Master"/>
    <s v="Married"/>
    <n v="76234"/>
    <n v="1"/>
    <n v="21"/>
    <n v="519"/>
    <n v="50"/>
    <n v="167"/>
    <n v="130"/>
    <n v="0"/>
    <n v="41"/>
    <n v="907"/>
    <n v="1"/>
    <n v="8"/>
    <n v="3"/>
    <n v="11"/>
    <n v="3"/>
    <n v="0"/>
    <n v="1"/>
    <n v="0"/>
    <n v="0"/>
    <n v="0"/>
    <n v="0"/>
    <n v="0"/>
  </r>
  <r>
    <d v="2013-10-05T00:00:00"/>
    <n v="10099"/>
    <n v="1984"/>
    <x v="6"/>
    <s v="Graduation"/>
    <s v="Married"/>
    <n v="55434"/>
    <n v="1"/>
    <n v="21"/>
    <n v="238"/>
    <n v="115"/>
    <n v="215"/>
    <n v="169"/>
    <n v="69"/>
    <n v="76"/>
    <n v="882"/>
    <n v="3"/>
    <n v="5"/>
    <n v="3"/>
    <n v="13"/>
    <n v="4"/>
    <n v="0"/>
    <n v="0"/>
    <n v="0"/>
    <n v="0"/>
    <n v="0"/>
    <n v="0"/>
    <n v="0"/>
  </r>
  <r>
    <d v="2013-09-28T00:00:00"/>
    <n v="10562"/>
    <n v="1946"/>
    <x v="5"/>
    <s v="Master"/>
    <s v="Married"/>
    <n v="66835"/>
    <n v="0"/>
    <n v="21"/>
    <n v="620"/>
    <n v="26"/>
    <n v="195"/>
    <n v="34"/>
    <n v="17"/>
    <n v="141"/>
    <n v="1033"/>
    <n v="1"/>
    <n v="6"/>
    <n v="4"/>
    <n v="13"/>
    <n v="2"/>
    <n v="0"/>
    <n v="0"/>
    <n v="0"/>
    <n v="0"/>
    <n v="0"/>
    <n v="0"/>
    <n v="0"/>
  </r>
  <r>
    <d v="2013-09-28T00:00:00"/>
    <n v="7881"/>
    <n v="1946"/>
    <x v="0"/>
    <s v="Master"/>
    <s v="Married"/>
    <n v="66835"/>
    <n v="0"/>
    <n v="21"/>
    <n v="620"/>
    <n v="26"/>
    <n v="195"/>
    <n v="34"/>
    <n v="17"/>
    <n v="141"/>
    <n v="1033"/>
    <n v="1"/>
    <n v="6"/>
    <n v="4"/>
    <n v="13"/>
    <n v="2"/>
    <n v="0"/>
    <n v="0"/>
    <n v="0"/>
    <n v="0"/>
    <n v="0"/>
    <n v="0"/>
    <n v="0"/>
  </r>
  <r>
    <d v="2013-07-29T00:00:00"/>
    <n v="6721"/>
    <n v="1951"/>
    <x v="1"/>
    <s v="Graduation"/>
    <s v="Married"/>
    <n v="71965"/>
    <n v="1"/>
    <n v="21"/>
    <n v="572"/>
    <n v="19"/>
    <n v="286"/>
    <n v="50"/>
    <n v="38"/>
    <n v="248"/>
    <n v="1213"/>
    <n v="3"/>
    <n v="6"/>
    <n v="3"/>
    <n v="5"/>
    <n v="3"/>
    <n v="0"/>
    <n v="0"/>
    <n v="0"/>
    <n v="0"/>
    <n v="0"/>
    <n v="0"/>
    <n v="0"/>
  </r>
  <r>
    <d v="2013-06-29T00:00:00"/>
    <n v="5204"/>
    <n v="1971"/>
    <x v="0"/>
    <s v="Graduation"/>
    <s v="Together"/>
    <n v="74538"/>
    <n v="0"/>
    <n v="21"/>
    <n v="380"/>
    <n v="98"/>
    <n v="733"/>
    <n v="110"/>
    <n v="112"/>
    <n v="28"/>
    <n v="1461"/>
    <n v="1"/>
    <n v="8"/>
    <n v="8"/>
    <n v="5"/>
    <n v="3"/>
    <n v="0"/>
    <n v="0"/>
    <n v="1"/>
    <n v="0"/>
    <n v="0"/>
    <n v="1"/>
    <n v="0"/>
  </r>
  <r>
    <d v="2013-06-17T00:00:00"/>
    <n v="5209"/>
    <n v="1954"/>
    <x v="6"/>
    <s v="Graduation"/>
    <s v="Divorced"/>
    <n v="50002"/>
    <n v="1"/>
    <n v="21"/>
    <n v="443"/>
    <n v="5"/>
    <n v="71"/>
    <n v="21"/>
    <n v="16"/>
    <n v="82"/>
    <n v="638"/>
    <n v="2"/>
    <n v="8"/>
    <n v="2"/>
    <n v="7"/>
    <n v="7"/>
    <n v="0"/>
    <n v="0"/>
    <n v="0"/>
    <n v="0"/>
    <n v="0"/>
    <n v="0"/>
    <n v="0"/>
  </r>
  <r>
    <d v="2013-06-08T00:00:00"/>
    <n v="10128"/>
    <n v="1958"/>
    <x v="1"/>
    <s v="Graduation"/>
    <s v="Together"/>
    <n v="53977"/>
    <n v="1"/>
    <n v="21"/>
    <n v="620"/>
    <n v="16"/>
    <n v="165"/>
    <n v="0"/>
    <n v="24"/>
    <n v="82"/>
    <n v="907"/>
    <n v="5"/>
    <n v="5"/>
    <n v="5"/>
    <n v="12"/>
    <n v="5"/>
    <n v="0"/>
    <n v="0"/>
    <n v="0"/>
    <n v="0"/>
    <n v="0"/>
    <n v="0"/>
    <n v="0"/>
  </r>
  <r>
    <d v="2013-06-08T00:00:00"/>
    <n v="9284"/>
    <n v="1958"/>
    <x v="0"/>
    <s v="Graduation"/>
    <s v="Together"/>
    <n v="53977"/>
    <n v="1"/>
    <n v="21"/>
    <n v="620"/>
    <n v="16"/>
    <n v="165"/>
    <n v="0"/>
    <n v="24"/>
    <n v="82"/>
    <n v="907"/>
    <n v="5"/>
    <n v="5"/>
    <n v="5"/>
    <n v="12"/>
    <n v="5"/>
    <n v="0"/>
    <n v="0"/>
    <n v="0"/>
    <n v="0"/>
    <n v="0"/>
    <n v="0"/>
    <n v="0"/>
  </r>
  <r>
    <d v="2013-05-26T00:00:00"/>
    <n v="8643"/>
    <n v="1971"/>
    <x v="5"/>
    <s v="Graduation"/>
    <s v="Together"/>
    <n v="69930"/>
    <n v="0"/>
    <n v="21"/>
    <n v="252"/>
    <n v="98"/>
    <n v="827"/>
    <n v="219"/>
    <n v="70"/>
    <n v="196"/>
    <n v="1662"/>
    <n v="1"/>
    <n v="4"/>
    <n v="5"/>
    <n v="12"/>
    <n v="3"/>
    <n v="0"/>
    <n v="0"/>
    <n v="0"/>
    <n v="0"/>
    <n v="0"/>
    <n v="0"/>
    <n v="0"/>
  </r>
  <r>
    <d v="2013-03-17T00:00:00"/>
    <n v="1685"/>
    <n v="1967"/>
    <x v="1"/>
    <s v="PhD"/>
    <s v="Together"/>
    <n v="62981"/>
    <n v="0"/>
    <n v="21"/>
    <n v="796"/>
    <n v="14"/>
    <n v="590"/>
    <n v="38"/>
    <n v="44"/>
    <n v="0"/>
    <n v="1482"/>
    <n v="1"/>
    <n v="4"/>
    <n v="5"/>
    <n v="13"/>
    <n v="3"/>
    <n v="0"/>
    <n v="1"/>
    <n v="0"/>
    <n v="0"/>
    <n v="0"/>
    <n v="0"/>
    <n v="0"/>
  </r>
  <r>
    <d v="2013-01-21T00:00:00"/>
    <n v="2877"/>
    <n v="1974"/>
    <x v="6"/>
    <s v="Master"/>
    <s v="Together"/>
    <n v="46014"/>
    <n v="2"/>
    <n v="21"/>
    <n v="410"/>
    <n v="0"/>
    <n v="59"/>
    <n v="19"/>
    <n v="9"/>
    <n v="44"/>
    <n v="541"/>
    <n v="10"/>
    <n v="7"/>
    <n v="1"/>
    <n v="8"/>
    <n v="7"/>
    <n v="0"/>
    <n v="0"/>
    <n v="0"/>
    <n v="0"/>
    <n v="0"/>
    <n v="0"/>
    <n v="0"/>
  </r>
  <r>
    <d v="2012-11-08T00:00:00"/>
    <n v="8369"/>
    <n v="1987"/>
    <x v="0"/>
    <s v="Graduation"/>
    <s v="Together"/>
    <n v="18227"/>
    <n v="1"/>
    <n v="21"/>
    <n v="1"/>
    <n v="2"/>
    <n v="7"/>
    <n v="4"/>
    <n v="3"/>
    <n v="11"/>
    <n v="28"/>
    <n v="1"/>
    <n v="0"/>
    <n v="1"/>
    <n v="2"/>
    <n v="8"/>
    <n v="0"/>
    <n v="0"/>
    <n v="0"/>
    <n v="0"/>
    <n v="0"/>
    <n v="0"/>
    <n v="0"/>
  </r>
  <r>
    <d v="2012-09-07T00:00:00"/>
    <n v="6233"/>
    <n v="1976"/>
    <x v="0"/>
    <s v="Graduation"/>
    <s v="Married"/>
    <n v="65991"/>
    <n v="1"/>
    <n v="21"/>
    <n v="507"/>
    <n v="19"/>
    <n v="364"/>
    <n v="25"/>
    <n v="47"/>
    <n v="9"/>
    <n v="971"/>
    <n v="3"/>
    <n v="9"/>
    <n v="5"/>
    <n v="10"/>
    <n v="7"/>
    <n v="0"/>
    <n v="0"/>
    <n v="0"/>
    <n v="0"/>
    <n v="0"/>
    <n v="0"/>
    <n v="0"/>
  </r>
  <r>
    <d v="2012-08-26T00:00:00"/>
    <n v="195"/>
    <n v="1972"/>
    <x v="0"/>
    <s v="Graduation"/>
    <s v="Single"/>
    <n v="38808"/>
    <n v="1"/>
    <n v="21"/>
    <n v="125"/>
    <n v="17"/>
    <n v="52"/>
    <n v="3"/>
    <n v="19"/>
    <n v="30"/>
    <n v="246"/>
    <n v="4"/>
    <n v="5"/>
    <n v="1"/>
    <n v="4"/>
    <n v="8"/>
    <n v="1"/>
    <n v="0"/>
    <n v="0"/>
    <n v="0"/>
    <n v="0"/>
    <n v="1"/>
    <n v="0"/>
  </r>
  <r>
    <d v="2012-08-04T00:00:00"/>
    <n v="1501"/>
    <n v="1982"/>
    <x v="2"/>
    <s v="PhD"/>
    <s v="Married"/>
    <n v="160803"/>
    <n v="0"/>
    <n v="21"/>
    <n v="55"/>
    <n v="16"/>
    <n v="1622"/>
    <n v="17"/>
    <n v="3"/>
    <n v="4"/>
    <n v="1717"/>
    <n v="15"/>
    <n v="0"/>
    <n v="28"/>
    <n v="1"/>
    <n v="0"/>
    <n v="0"/>
    <n v="0"/>
    <n v="0"/>
    <n v="0"/>
    <n v="0"/>
    <n v="0"/>
    <n v="0"/>
  </r>
  <r>
    <d v="2014-05-29T00:00:00"/>
    <n v="10846"/>
    <n v="1978"/>
    <x v="1"/>
    <s v="Master"/>
    <s v="Married"/>
    <n v="43783"/>
    <n v="1"/>
    <n v="22"/>
    <n v="327"/>
    <n v="9"/>
    <n v="125"/>
    <n v="25"/>
    <n v="4"/>
    <n v="139"/>
    <n v="629"/>
    <n v="6"/>
    <n v="7"/>
    <n v="1"/>
    <n v="8"/>
    <n v="7"/>
    <n v="1"/>
    <n v="0"/>
    <n v="0"/>
    <n v="0"/>
    <n v="0"/>
    <n v="0"/>
    <n v="0"/>
  </r>
  <r>
    <d v="2014-04-30T00:00:00"/>
    <n v="8341"/>
    <n v="1969"/>
    <x v="0"/>
    <s v="PhD"/>
    <s v="Married"/>
    <n v="30396"/>
    <n v="1"/>
    <n v="22"/>
    <n v="15"/>
    <n v="0"/>
    <n v="6"/>
    <n v="0"/>
    <n v="1"/>
    <n v="12"/>
    <n v="34"/>
    <n v="2"/>
    <n v="1"/>
    <n v="1"/>
    <n v="2"/>
    <n v="7"/>
    <n v="1"/>
    <n v="0"/>
    <n v="0"/>
    <n v="0"/>
    <n v="0"/>
    <n v="1"/>
    <n v="0"/>
  </r>
  <r>
    <d v="2014-04-11T00:00:00"/>
    <n v="10766"/>
    <n v="1964"/>
    <x v="0"/>
    <s v="PhD"/>
    <s v="Married"/>
    <n v="65526"/>
    <n v="1"/>
    <n v="22"/>
    <n v="397"/>
    <n v="19"/>
    <n v="69"/>
    <n v="12"/>
    <n v="0"/>
    <n v="9"/>
    <n v="506"/>
    <n v="1"/>
    <n v="4"/>
    <n v="4"/>
    <n v="8"/>
    <n v="2"/>
    <n v="0"/>
    <n v="0"/>
    <n v="0"/>
    <n v="0"/>
    <n v="0"/>
    <n v="0"/>
    <n v="0"/>
  </r>
  <r>
    <d v="2014-04-11T00:00:00"/>
    <n v="9971"/>
    <n v="1964"/>
    <x v="6"/>
    <s v="PhD"/>
    <s v="Married"/>
    <n v="65526"/>
    <n v="1"/>
    <n v="22"/>
    <n v="397"/>
    <n v="19"/>
    <n v="69"/>
    <n v="12"/>
    <n v="0"/>
    <n v="9"/>
    <n v="506"/>
    <n v="1"/>
    <n v="4"/>
    <n v="4"/>
    <n v="8"/>
    <n v="2"/>
    <n v="0"/>
    <n v="0"/>
    <n v="0"/>
    <n v="0"/>
    <n v="0"/>
    <n v="0"/>
    <n v="0"/>
  </r>
  <r>
    <d v="2014-04-07T00:00:00"/>
    <n v="1740"/>
    <n v="1944"/>
    <x v="0"/>
    <s v="Graduation"/>
    <s v="Married"/>
    <n v="55956"/>
    <n v="0"/>
    <n v="22"/>
    <n v="760"/>
    <n v="38"/>
    <n v="104"/>
    <n v="50"/>
    <n v="9"/>
    <n v="38"/>
    <n v="999"/>
    <n v="2"/>
    <n v="7"/>
    <n v="3"/>
    <n v="4"/>
    <n v="4"/>
    <n v="0"/>
    <n v="1"/>
    <n v="0"/>
    <n v="0"/>
    <n v="0"/>
    <n v="0"/>
    <n v="0"/>
  </r>
  <r>
    <d v="2014-04-05T00:00:00"/>
    <n v="8737"/>
    <n v="1978"/>
    <x v="0"/>
    <s v="Graduation"/>
    <s v="Divorced"/>
    <n v="55563"/>
    <n v="1"/>
    <n v="22"/>
    <n v="29"/>
    <n v="1"/>
    <n v="9"/>
    <n v="2"/>
    <n v="0"/>
    <n v="2"/>
    <n v="43"/>
    <n v="1"/>
    <n v="2"/>
    <n v="0"/>
    <n v="3"/>
    <n v="3"/>
    <n v="0"/>
    <n v="0"/>
    <n v="0"/>
    <n v="0"/>
    <n v="0"/>
    <n v="0"/>
    <n v="0"/>
  </r>
  <r>
    <d v="2014-03-12T00:00:00"/>
    <n v="6466"/>
    <n v="1965"/>
    <x v="0"/>
    <s v="PhD"/>
    <s v="Married"/>
    <n v="57236"/>
    <n v="2"/>
    <n v="22"/>
    <n v="105"/>
    <n v="0"/>
    <n v="9"/>
    <n v="2"/>
    <n v="1"/>
    <n v="4"/>
    <n v="121"/>
    <n v="3"/>
    <n v="2"/>
    <n v="1"/>
    <n v="4"/>
    <n v="3"/>
    <n v="0"/>
    <n v="0"/>
    <n v="0"/>
    <n v="0"/>
    <n v="0"/>
    <n v="0"/>
    <n v="0"/>
  </r>
  <r>
    <d v="2013-10-09T00:00:00"/>
    <n v="10430"/>
    <n v="1973"/>
    <x v="3"/>
    <s v="Graduation"/>
    <s v="Divorced"/>
    <n v="89694"/>
    <n v="2"/>
    <n v="22"/>
    <n v="1126"/>
    <n v="28"/>
    <n v="211"/>
    <n v="37"/>
    <n v="28"/>
    <n v="42"/>
    <n v="1472"/>
    <n v="3"/>
    <n v="4"/>
    <n v="3"/>
    <n v="4"/>
    <n v="5"/>
    <n v="0"/>
    <n v="1"/>
    <n v="1"/>
    <n v="1"/>
    <n v="0"/>
    <n v="0"/>
    <n v="0"/>
  </r>
  <r>
    <d v="2013-06-25T00:00:00"/>
    <n v="8773"/>
    <n v="1971"/>
    <x v="2"/>
    <s v="Master"/>
    <s v="Together"/>
    <n v="57420"/>
    <n v="1"/>
    <n v="22"/>
    <n v="280"/>
    <n v="0"/>
    <n v="18"/>
    <n v="0"/>
    <n v="0"/>
    <n v="24"/>
    <n v="322"/>
    <n v="3"/>
    <n v="5"/>
    <n v="1"/>
    <n v="6"/>
    <n v="7"/>
    <n v="0"/>
    <n v="1"/>
    <n v="0"/>
    <n v="0"/>
    <n v="0"/>
    <n v="0"/>
    <n v="0"/>
  </r>
  <r>
    <d v="2013-04-13T00:00:00"/>
    <n v="2371"/>
    <n v="1972"/>
    <x v="4"/>
    <s v="Graduation"/>
    <s v="Married"/>
    <n v="33622"/>
    <n v="2"/>
    <n v="22"/>
    <n v="39"/>
    <n v="1"/>
    <n v="22"/>
    <n v="3"/>
    <n v="4"/>
    <n v="12"/>
    <n v="81"/>
    <n v="3"/>
    <n v="2"/>
    <n v="0"/>
    <n v="4"/>
    <n v="7"/>
    <n v="0"/>
    <n v="0"/>
    <n v="0"/>
    <n v="0"/>
    <n v="0"/>
    <n v="0"/>
    <n v="0"/>
  </r>
  <r>
    <d v="2013-02-13T00:00:00"/>
    <n v="7786"/>
    <n v="1986"/>
    <x v="0"/>
    <s v="PhD"/>
    <s v="Single"/>
    <n v="29999"/>
    <n v="1"/>
    <n v="22"/>
    <n v="68"/>
    <n v="7"/>
    <n v="59"/>
    <n v="10"/>
    <n v="5"/>
    <n v="11"/>
    <n v="160"/>
    <n v="4"/>
    <n v="3"/>
    <n v="1"/>
    <n v="4"/>
    <n v="8"/>
    <n v="0"/>
    <n v="0"/>
    <n v="0"/>
    <n v="0"/>
    <n v="0"/>
    <n v="0"/>
    <n v="0"/>
  </r>
  <r>
    <d v="2012-12-06T00:00:00"/>
    <n v="4088"/>
    <n v="1962"/>
    <x v="0"/>
    <s v="PhD"/>
    <s v="Together"/>
    <n v="31497"/>
    <n v="1"/>
    <n v="22"/>
    <n v="108"/>
    <n v="1"/>
    <n v="28"/>
    <n v="13"/>
    <n v="1"/>
    <n v="4"/>
    <n v="155"/>
    <n v="2"/>
    <n v="3"/>
    <n v="1"/>
    <n v="4"/>
    <n v="8"/>
    <n v="0"/>
    <n v="0"/>
    <n v="0"/>
    <n v="0"/>
    <n v="0"/>
    <n v="0"/>
    <n v="0"/>
  </r>
  <r>
    <d v="2012-12-06T00:00:00"/>
    <n v="4971"/>
    <n v="1962"/>
    <x v="6"/>
    <s v="PhD"/>
    <s v="Together"/>
    <n v="31497"/>
    <n v="1"/>
    <n v="22"/>
    <n v="108"/>
    <n v="1"/>
    <n v="28"/>
    <n v="13"/>
    <n v="1"/>
    <n v="4"/>
    <n v="155"/>
    <n v="2"/>
    <n v="3"/>
    <n v="1"/>
    <n v="4"/>
    <n v="8"/>
    <n v="0"/>
    <n v="0"/>
    <n v="0"/>
    <n v="0"/>
    <n v="0"/>
    <n v="0"/>
    <n v="0"/>
  </r>
  <r>
    <d v="2014-06-16T00:00:00"/>
    <n v="10560"/>
    <n v="1980"/>
    <x v="0"/>
    <s v="PhD"/>
    <s v="Single"/>
    <n v="36802"/>
    <n v="1"/>
    <n v="23"/>
    <n v="16"/>
    <n v="1"/>
    <n v="2"/>
    <n v="0"/>
    <n v="0"/>
    <n v="1"/>
    <n v="20"/>
    <n v="1"/>
    <n v="1"/>
    <n v="0"/>
    <n v="3"/>
    <n v="5"/>
    <n v="0"/>
    <n v="0"/>
    <n v="0"/>
    <n v="0"/>
    <n v="0"/>
    <n v="0"/>
    <n v="0"/>
  </r>
  <r>
    <d v="2014-06-03T00:00:00"/>
    <n v="6892"/>
    <n v="1968"/>
    <x v="0"/>
    <s v="Graduation"/>
    <s v="Divorced"/>
    <n v="61671"/>
    <n v="1"/>
    <n v="23"/>
    <n v="641"/>
    <n v="7"/>
    <n v="56"/>
    <n v="0"/>
    <n v="0"/>
    <n v="28"/>
    <n v="732"/>
    <n v="8"/>
    <n v="10"/>
    <n v="4"/>
    <n v="6"/>
    <n v="8"/>
    <n v="0"/>
    <n v="1"/>
    <n v="0"/>
    <n v="1"/>
    <n v="0"/>
    <n v="0"/>
    <n v="0"/>
  </r>
  <r>
    <d v="2014-05-17T00:00:00"/>
    <n v="11004"/>
    <n v="1893"/>
    <x v="6"/>
    <s v="2n Cycle"/>
    <s v="Single"/>
    <n v="60182"/>
    <n v="1"/>
    <n v="23"/>
    <n v="8"/>
    <n v="0"/>
    <n v="5"/>
    <n v="7"/>
    <n v="0"/>
    <n v="2"/>
    <n v="22"/>
    <n v="1"/>
    <n v="1"/>
    <n v="0"/>
    <n v="2"/>
    <n v="4"/>
    <n v="0"/>
    <n v="0"/>
    <n v="0"/>
    <n v="0"/>
    <n v="0"/>
    <n v="0"/>
    <n v="0"/>
  </r>
  <r>
    <d v="2014-03-25T00:00:00"/>
    <n v="1818"/>
    <n v="1971"/>
    <x v="1"/>
    <s v="PhD"/>
    <s v="Together"/>
    <n v="29732"/>
    <n v="1"/>
    <n v="23"/>
    <n v="25"/>
    <n v="0"/>
    <n v="8"/>
    <n v="0"/>
    <n v="1"/>
    <n v="4"/>
    <n v="38"/>
    <n v="1"/>
    <n v="2"/>
    <n v="0"/>
    <n v="2"/>
    <n v="9"/>
    <n v="0"/>
    <n v="0"/>
    <n v="0"/>
    <n v="0"/>
    <n v="0"/>
    <n v="0"/>
    <n v="0"/>
  </r>
  <r>
    <d v="2014-03-10T00:00:00"/>
    <n v="9485"/>
    <n v="1986"/>
    <x v="6"/>
    <s v="PhD"/>
    <s v="Married"/>
    <n v="45921"/>
    <n v="0"/>
    <n v="23"/>
    <n v="102"/>
    <n v="9"/>
    <n v="49"/>
    <n v="24"/>
    <n v="3"/>
    <n v="12"/>
    <n v="199"/>
    <n v="1"/>
    <n v="2"/>
    <n v="1"/>
    <n v="6"/>
    <n v="4"/>
    <n v="0"/>
    <n v="0"/>
    <n v="0"/>
    <n v="0"/>
    <n v="0"/>
    <n v="0"/>
    <n v="0"/>
  </r>
  <r>
    <d v="2014-03-01T00:00:00"/>
    <n v="6646"/>
    <n v="1984"/>
    <x v="1"/>
    <s v="Graduation"/>
    <s v="Together"/>
    <n v="16529"/>
    <n v="1"/>
    <n v="23"/>
    <n v="3"/>
    <n v="0"/>
    <n v="5"/>
    <n v="13"/>
    <n v="0"/>
    <n v="1"/>
    <n v="22"/>
    <n v="1"/>
    <n v="1"/>
    <n v="0"/>
    <n v="3"/>
    <n v="6"/>
    <n v="0"/>
    <n v="0"/>
    <n v="0"/>
    <n v="0"/>
    <n v="0"/>
    <n v="0"/>
    <n v="0"/>
  </r>
  <r>
    <d v="2014-02-17T00:00:00"/>
    <n v="4248"/>
    <n v="1960"/>
    <x v="0"/>
    <s v="Master"/>
    <s v="Single"/>
    <n v="98777"/>
    <n v="0"/>
    <n v="23"/>
    <n v="1000"/>
    <n v="19"/>
    <n v="711"/>
    <n v="125"/>
    <n v="115"/>
    <n v="38"/>
    <n v="2008"/>
    <n v="0"/>
    <n v="4"/>
    <n v="6"/>
    <n v="9"/>
    <n v="1"/>
    <n v="0"/>
    <n v="1"/>
    <n v="0"/>
    <n v="0"/>
    <n v="0"/>
    <n v="0"/>
    <n v="0"/>
  </r>
  <r>
    <d v="2014-02-17T00:00:00"/>
    <n v="7451"/>
    <n v="1960"/>
    <x v="0"/>
    <s v="Master"/>
    <s v="Single"/>
    <n v="98777"/>
    <n v="0"/>
    <n v="23"/>
    <n v="1000"/>
    <n v="19"/>
    <n v="711"/>
    <n v="125"/>
    <n v="115"/>
    <n v="38"/>
    <n v="2008"/>
    <n v="0"/>
    <n v="4"/>
    <n v="6"/>
    <n v="9"/>
    <n v="1"/>
    <n v="0"/>
    <n v="1"/>
    <n v="0"/>
    <n v="0"/>
    <n v="0"/>
    <n v="0"/>
    <n v="0"/>
  </r>
  <r>
    <d v="2014-02-05T00:00:00"/>
    <n v="7861"/>
    <n v="1952"/>
    <x v="0"/>
    <s v="Master"/>
    <s v="Married"/>
    <n v="77027"/>
    <n v="1"/>
    <n v="23"/>
    <n v="820"/>
    <n v="57"/>
    <n v="242"/>
    <n v="45"/>
    <n v="0"/>
    <n v="11"/>
    <n v="1175"/>
    <n v="2"/>
    <n v="8"/>
    <n v="3"/>
    <n v="6"/>
    <n v="4"/>
    <n v="0"/>
    <n v="0"/>
    <n v="0"/>
    <n v="0"/>
    <n v="0"/>
    <n v="0"/>
    <n v="0"/>
  </r>
  <r>
    <d v="2014-01-27T00:00:00"/>
    <n v="5232"/>
    <n v="1965"/>
    <x v="0"/>
    <s v="Graduation"/>
    <s v="Married"/>
    <n v="69139"/>
    <n v="1"/>
    <n v="23"/>
    <n v="86"/>
    <n v="12"/>
    <n v="75"/>
    <n v="33"/>
    <n v="15"/>
    <n v="6"/>
    <n v="227"/>
    <n v="1"/>
    <n v="4"/>
    <n v="1"/>
    <n v="5"/>
    <n v="4"/>
    <n v="0"/>
    <n v="0"/>
    <n v="0"/>
    <n v="0"/>
    <n v="0"/>
    <n v="0"/>
    <n v="0"/>
  </r>
  <r>
    <d v="2014-01-27T00:00:00"/>
    <n v="3011"/>
    <n v="1965"/>
    <x v="6"/>
    <s v="Graduation"/>
    <s v="Married"/>
    <n v="69139"/>
    <n v="1"/>
    <n v="23"/>
    <n v="86"/>
    <n v="12"/>
    <n v="75"/>
    <n v="33"/>
    <n v="15"/>
    <n v="6"/>
    <n v="227"/>
    <n v="1"/>
    <n v="4"/>
    <n v="1"/>
    <n v="5"/>
    <n v="4"/>
    <n v="0"/>
    <n v="0"/>
    <n v="0"/>
    <n v="0"/>
    <n v="0"/>
    <n v="0"/>
    <n v="0"/>
  </r>
  <r>
    <d v="2014-01-14T00:00:00"/>
    <n v="5758"/>
    <n v="1982"/>
    <x v="0"/>
    <s v="Graduation"/>
    <s v="Married"/>
    <n v="65169"/>
    <n v="0"/>
    <n v="23"/>
    <n v="1074"/>
    <n v="0"/>
    <n v="69"/>
    <n v="0"/>
    <n v="0"/>
    <n v="46"/>
    <n v="1189"/>
    <n v="1"/>
    <n v="10"/>
    <n v="4"/>
    <n v="13"/>
    <n v="6"/>
    <n v="1"/>
    <n v="0"/>
    <n v="1"/>
    <n v="1"/>
    <n v="1"/>
    <n v="1"/>
    <n v="0"/>
  </r>
  <r>
    <d v="2013-10-16T00:00:00"/>
    <n v="2173"/>
    <n v="1952"/>
    <x v="0"/>
    <s v="Graduation"/>
    <s v="Widow"/>
    <n v="40049"/>
    <n v="1"/>
    <n v="23"/>
    <n v="13"/>
    <n v="6"/>
    <n v="7"/>
    <n v="0"/>
    <n v="3"/>
    <n v="3"/>
    <n v="32"/>
    <n v="1"/>
    <n v="1"/>
    <n v="0"/>
    <n v="3"/>
    <n v="6"/>
    <n v="0"/>
    <n v="0"/>
    <n v="0"/>
    <n v="0"/>
    <n v="0"/>
    <n v="0"/>
    <n v="0"/>
  </r>
  <r>
    <d v="2013-10-02T00:00:00"/>
    <n v="10711"/>
    <n v="1945"/>
    <x v="6"/>
    <s v="Graduation"/>
    <s v="Married"/>
    <n v="69755"/>
    <n v="0"/>
    <n v="23"/>
    <n v="217"/>
    <n v="77"/>
    <n v="373"/>
    <n v="111"/>
    <n v="23"/>
    <n v="93"/>
    <n v="894"/>
    <n v="1"/>
    <n v="3"/>
    <n v="6"/>
    <n v="12"/>
    <n v="1"/>
    <n v="0"/>
    <n v="0"/>
    <n v="0"/>
    <n v="0"/>
    <n v="0"/>
    <n v="0"/>
    <n v="0"/>
  </r>
  <r>
    <d v="2013-07-11T00:00:00"/>
    <n v="8268"/>
    <n v="1961"/>
    <x v="1"/>
    <s v="PhD"/>
    <s v="Married"/>
    <n v="53790.45"/>
    <n v="1"/>
    <n v="23"/>
    <n v="352"/>
    <n v="0"/>
    <n v="27"/>
    <n v="10"/>
    <n v="0"/>
    <n v="15"/>
    <n v="404"/>
    <n v="3"/>
    <n v="6"/>
    <n v="1"/>
    <n v="7"/>
    <n v="6"/>
    <n v="0"/>
    <n v="0"/>
    <n v="0"/>
    <n v="0"/>
    <n v="0"/>
    <n v="0"/>
    <n v="0"/>
  </r>
  <r>
    <d v="2013-07-11T00:00:00"/>
    <n v="2782"/>
    <n v="1961"/>
    <x v="0"/>
    <s v="PhD"/>
    <s v="Married"/>
    <n v="54456"/>
    <n v="1"/>
    <n v="23"/>
    <n v="352"/>
    <n v="0"/>
    <n v="27"/>
    <n v="10"/>
    <n v="0"/>
    <n v="15"/>
    <n v="404"/>
    <n v="3"/>
    <n v="6"/>
    <n v="1"/>
    <n v="7"/>
    <n v="6"/>
    <n v="0"/>
    <n v="0"/>
    <n v="0"/>
    <n v="0"/>
    <n v="0"/>
    <n v="0"/>
    <n v="0"/>
  </r>
  <r>
    <d v="2013-06-02T00:00:00"/>
    <n v="9432"/>
    <n v="1977"/>
    <x v="6"/>
    <s v="Graduation"/>
    <s v="Together"/>
    <n v="666666"/>
    <n v="1"/>
    <n v="23"/>
    <n v="9"/>
    <n v="14"/>
    <n v="18"/>
    <n v="8"/>
    <n v="1"/>
    <n v="12"/>
    <n v="62"/>
    <n v="4"/>
    <n v="3"/>
    <n v="1"/>
    <n v="3"/>
    <n v="6"/>
    <n v="0"/>
    <n v="0"/>
    <n v="0"/>
    <n v="0"/>
    <n v="0"/>
    <n v="0"/>
    <n v="0"/>
  </r>
  <r>
    <d v="2013-06-01T00:00:00"/>
    <n v="5872"/>
    <n v="1951"/>
    <x v="2"/>
    <s v="Graduation"/>
    <s v="Single"/>
    <n v="60689"/>
    <n v="1"/>
    <n v="23"/>
    <n v="240"/>
    <n v="90"/>
    <n v="216"/>
    <n v="63"/>
    <n v="6"/>
    <n v="24"/>
    <n v="639"/>
    <n v="4"/>
    <n v="4"/>
    <n v="4"/>
    <n v="10"/>
    <n v="3"/>
    <n v="0"/>
    <n v="0"/>
    <n v="0"/>
    <n v="0"/>
    <n v="0"/>
    <n v="0"/>
    <n v="0"/>
  </r>
  <r>
    <d v="2013-05-20T00:00:00"/>
    <n v="11187"/>
    <n v="1978"/>
    <x v="1"/>
    <s v="Basic"/>
    <s v="Single"/>
    <n v="26487"/>
    <n v="1"/>
    <n v="23"/>
    <n v="2"/>
    <n v="8"/>
    <n v="10"/>
    <n v="12"/>
    <n v="14"/>
    <n v="23"/>
    <n v="69"/>
    <n v="3"/>
    <n v="2"/>
    <n v="1"/>
    <n v="3"/>
    <n v="5"/>
    <n v="0"/>
    <n v="0"/>
    <n v="0"/>
    <n v="0"/>
    <n v="0"/>
    <n v="0"/>
    <n v="0"/>
  </r>
  <r>
    <d v="2013-05-04T00:00:00"/>
    <n v="2428"/>
    <n v="1970"/>
    <x v="4"/>
    <s v="Graduation"/>
    <s v="Married"/>
    <n v="28164"/>
    <n v="1"/>
    <n v="23"/>
    <n v="3"/>
    <n v="18"/>
    <n v="26"/>
    <n v="11"/>
    <n v="8"/>
    <n v="12"/>
    <n v="78"/>
    <n v="3"/>
    <n v="2"/>
    <n v="0"/>
    <n v="4"/>
    <n v="7"/>
    <n v="0"/>
    <n v="0"/>
    <n v="0"/>
    <n v="0"/>
    <n v="0"/>
    <n v="0"/>
    <n v="0"/>
  </r>
  <r>
    <d v="2013-03-18T00:00:00"/>
    <n v="1726"/>
    <n v="1970"/>
    <x v="0"/>
    <s v="Graduation"/>
    <s v="Single"/>
    <n v="22585"/>
    <n v="0"/>
    <n v="23"/>
    <n v="3"/>
    <n v="9"/>
    <n v="15"/>
    <n v="13"/>
    <n v="2"/>
    <n v="39"/>
    <n v="81"/>
    <n v="1"/>
    <n v="1"/>
    <n v="1"/>
    <n v="2"/>
    <n v="9"/>
    <n v="1"/>
    <n v="0"/>
    <n v="0"/>
    <n v="0"/>
    <n v="0"/>
    <n v="1"/>
    <n v="0"/>
  </r>
  <r>
    <d v="2013-01-17T00:00:00"/>
    <n v="1802"/>
    <n v="1971"/>
    <x v="0"/>
    <s v="Graduation"/>
    <s v="Married"/>
    <n v="64795"/>
    <n v="1"/>
    <n v="23"/>
    <n v="412"/>
    <n v="5"/>
    <n v="119"/>
    <n v="38"/>
    <n v="29"/>
    <n v="77"/>
    <n v="680"/>
    <n v="3"/>
    <n v="3"/>
    <n v="3"/>
    <n v="12"/>
    <n v="2"/>
    <n v="0"/>
    <n v="0"/>
    <n v="0"/>
    <n v="0"/>
    <n v="0"/>
    <n v="0"/>
    <n v="0"/>
  </r>
  <r>
    <d v="2013-01-10T00:00:00"/>
    <n v="1162"/>
    <n v="1987"/>
    <x v="0"/>
    <s v="PhD"/>
    <s v="Single"/>
    <n v="42000"/>
    <n v="0"/>
    <n v="23"/>
    <n v="124"/>
    <n v="83"/>
    <n v="267"/>
    <n v="85"/>
    <n v="59"/>
    <n v="35"/>
    <n v="653"/>
    <n v="2"/>
    <n v="5"/>
    <n v="2"/>
    <n v="11"/>
    <n v="5"/>
    <n v="0"/>
    <n v="0"/>
    <n v="0"/>
    <n v="0"/>
    <n v="0"/>
    <n v="1"/>
    <n v="0"/>
  </r>
  <r>
    <d v="2013-01-10T00:00:00"/>
    <n v="10643"/>
    <n v="1987"/>
    <x v="3"/>
    <s v="PhD"/>
    <s v="Single"/>
    <n v="42000"/>
    <n v="0"/>
    <n v="23"/>
    <n v="124"/>
    <n v="83"/>
    <n v="267"/>
    <n v="85"/>
    <n v="59"/>
    <n v="35"/>
    <n v="653"/>
    <n v="2"/>
    <n v="5"/>
    <n v="2"/>
    <n v="11"/>
    <n v="5"/>
    <n v="0"/>
    <n v="0"/>
    <n v="0"/>
    <n v="0"/>
    <n v="0"/>
    <n v="1"/>
    <n v="0"/>
  </r>
  <r>
    <d v="2012-12-03T00:00:00"/>
    <n v="11112"/>
    <n v="1966"/>
    <x v="0"/>
    <s v="Graduation"/>
    <s v="Together"/>
    <n v="70713"/>
    <n v="1"/>
    <n v="23"/>
    <n v="736"/>
    <n v="114"/>
    <n v="279"/>
    <n v="82"/>
    <n v="76"/>
    <n v="190"/>
    <n v="1477"/>
    <n v="6"/>
    <n v="5"/>
    <n v="6"/>
    <n v="8"/>
    <n v="3"/>
    <n v="0"/>
    <n v="0"/>
    <n v="0"/>
    <n v="0"/>
    <n v="0"/>
    <n v="0"/>
    <n v="0"/>
  </r>
  <r>
    <d v="2012-11-24T00:00:00"/>
    <n v="2114"/>
    <n v="1946"/>
    <x v="2"/>
    <s v="PhD"/>
    <s v="Single"/>
    <n v="82800"/>
    <n v="0"/>
    <n v="23"/>
    <n v="1006"/>
    <n v="22"/>
    <n v="115"/>
    <n v="59"/>
    <n v="68"/>
    <n v="45"/>
    <n v="1315"/>
    <n v="1"/>
    <n v="7"/>
    <n v="6"/>
    <n v="12"/>
    <n v="3"/>
    <n v="0"/>
    <n v="0"/>
    <n v="1"/>
    <n v="1"/>
    <n v="0"/>
    <n v="1"/>
    <n v="0"/>
  </r>
  <r>
    <d v="2012-11-24T00:00:00"/>
    <n v="4261"/>
    <n v="1946"/>
    <x v="6"/>
    <s v="PhD"/>
    <s v="Single"/>
    <n v="82800"/>
    <n v="0"/>
    <n v="23"/>
    <n v="1006"/>
    <n v="22"/>
    <n v="115"/>
    <n v="59"/>
    <n v="68"/>
    <n v="45"/>
    <n v="1315"/>
    <n v="1"/>
    <n v="7"/>
    <n v="6"/>
    <n v="12"/>
    <n v="3"/>
    <n v="0"/>
    <n v="0"/>
    <n v="1"/>
    <n v="1"/>
    <n v="0"/>
    <n v="1"/>
    <n v="0"/>
  </r>
  <r>
    <d v="2012-10-26T00:00:00"/>
    <n v="2457"/>
    <n v="1975"/>
    <x v="0"/>
    <s v="Basic"/>
    <s v="Married"/>
    <n v="30801"/>
    <n v="1"/>
    <n v="23"/>
    <n v="8"/>
    <n v="4"/>
    <n v="5"/>
    <n v="15"/>
    <n v="2"/>
    <n v="11"/>
    <n v="45"/>
    <n v="2"/>
    <n v="1"/>
    <n v="0"/>
    <n v="3"/>
    <n v="7"/>
    <n v="0"/>
    <n v="0"/>
    <n v="0"/>
    <n v="0"/>
    <n v="0"/>
    <n v="0"/>
    <n v="0"/>
  </r>
  <r>
    <d v="2014-06-20T00:00:00"/>
    <n v="2495"/>
    <n v="1974"/>
    <x v="0"/>
    <s v="Master"/>
    <s v="Married"/>
    <n v="83891"/>
    <n v="1"/>
    <n v="24"/>
    <n v="217"/>
    <n v="38"/>
    <n v="350"/>
    <n v="111"/>
    <n v="85"/>
    <n v="15"/>
    <n v="816"/>
    <n v="1"/>
    <n v="4"/>
    <n v="7"/>
    <n v="10"/>
    <n v="1"/>
    <n v="0"/>
    <n v="0"/>
    <n v="0"/>
    <n v="0"/>
    <n v="0"/>
    <n v="0"/>
    <n v="0"/>
  </r>
  <r>
    <d v="2014-05-01T00:00:00"/>
    <n v="6983"/>
    <n v="1950"/>
    <x v="5"/>
    <s v="Master"/>
    <s v="Divorced"/>
    <n v="38054"/>
    <n v="2"/>
    <n v="24"/>
    <n v="23"/>
    <n v="2"/>
    <n v="17"/>
    <n v="2"/>
    <n v="1"/>
    <n v="0"/>
    <n v="45"/>
    <n v="2"/>
    <n v="2"/>
    <n v="0"/>
    <n v="3"/>
    <n v="7"/>
    <n v="0"/>
    <n v="0"/>
    <n v="0"/>
    <n v="0"/>
    <n v="0"/>
    <n v="0"/>
    <n v="0"/>
  </r>
  <r>
    <d v="2014-01-26T00:00:00"/>
    <n v="3436"/>
    <n v="1969"/>
    <x v="0"/>
    <s v="Graduation"/>
    <s v="Married"/>
    <n v="14045"/>
    <n v="1"/>
    <n v="24"/>
    <n v="11"/>
    <n v="0"/>
    <n v="5"/>
    <n v="2"/>
    <n v="1"/>
    <n v="1"/>
    <n v="20"/>
    <n v="1"/>
    <n v="1"/>
    <n v="0"/>
    <n v="3"/>
    <n v="7"/>
    <n v="0"/>
    <n v="0"/>
    <n v="0"/>
    <n v="0"/>
    <n v="0"/>
    <n v="0"/>
    <n v="0"/>
  </r>
  <r>
    <d v="2014-01-19T00:00:00"/>
    <n v="7505"/>
    <n v="1957"/>
    <x v="0"/>
    <s v="PhD"/>
    <s v="Married"/>
    <n v="44155"/>
    <n v="2"/>
    <n v="24"/>
    <n v="22"/>
    <n v="1"/>
    <n v="9"/>
    <n v="0"/>
    <n v="0"/>
    <n v="14"/>
    <n v="46"/>
    <n v="1"/>
    <n v="1"/>
    <n v="1"/>
    <n v="2"/>
    <n v="4"/>
    <n v="0"/>
    <n v="0"/>
    <n v="0"/>
    <n v="0"/>
    <n v="0"/>
    <n v="0"/>
    <n v="0"/>
  </r>
  <r>
    <d v="2014-01-09T00:00:00"/>
    <n v="4286"/>
    <n v="1970"/>
    <x v="5"/>
    <s v="PhD"/>
    <s v="Single"/>
    <n v="57642"/>
    <n v="1"/>
    <n v="24"/>
    <n v="580"/>
    <n v="6"/>
    <n v="58"/>
    <n v="8"/>
    <n v="0"/>
    <n v="27"/>
    <n v="679"/>
    <n v="3"/>
    <n v="7"/>
    <n v="6"/>
    <n v="6"/>
    <n v="4"/>
    <n v="1"/>
    <n v="0"/>
    <n v="0"/>
    <n v="0"/>
    <n v="0"/>
    <n v="0"/>
    <n v="0"/>
  </r>
  <r>
    <d v="2013-12-29T00:00:00"/>
    <n v="7224"/>
    <n v="1977"/>
    <x v="5"/>
    <s v="Graduation"/>
    <s v="Married"/>
    <n v="31353"/>
    <n v="2"/>
    <n v="24"/>
    <n v="10"/>
    <n v="0"/>
    <n v="10"/>
    <n v="3"/>
    <n v="1"/>
    <n v="7"/>
    <n v="31"/>
    <n v="2"/>
    <n v="1"/>
    <n v="1"/>
    <n v="2"/>
    <n v="8"/>
    <n v="0"/>
    <n v="0"/>
    <n v="0"/>
    <n v="0"/>
    <n v="0"/>
    <n v="0"/>
    <n v="0"/>
  </r>
  <r>
    <d v="2013-12-29T00:00:00"/>
    <n v="6215"/>
    <n v="1977"/>
    <x v="6"/>
    <s v="Graduation"/>
    <s v="Married"/>
    <n v="31353"/>
    <n v="2"/>
    <n v="24"/>
    <n v="10"/>
    <n v="0"/>
    <n v="10"/>
    <n v="3"/>
    <n v="1"/>
    <n v="7"/>
    <n v="31"/>
    <n v="2"/>
    <n v="1"/>
    <n v="1"/>
    <n v="2"/>
    <n v="8"/>
    <n v="0"/>
    <n v="0"/>
    <n v="0"/>
    <n v="0"/>
    <n v="0"/>
    <n v="1"/>
    <n v="0"/>
  </r>
  <r>
    <d v="2013-12-26T00:00:00"/>
    <n v="968"/>
    <n v="1968"/>
    <x v="3"/>
    <s v="Master"/>
    <s v="Divorced"/>
    <n v="41335"/>
    <n v="1"/>
    <n v="24"/>
    <n v="112"/>
    <n v="19"/>
    <n v="21"/>
    <n v="16"/>
    <n v="14"/>
    <n v="5"/>
    <n v="187"/>
    <n v="3"/>
    <n v="4"/>
    <n v="1"/>
    <n v="4"/>
    <n v="7"/>
    <n v="0"/>
    <n v="0"/>
    <n v="0"/>
    <n v="0"/>
    <n v="0"/>
    <n v="0"/>
    <n v="0"/>
  </r>
  <r>
    <d v="2013-12-26T00:00:00"/>
    <n v="4096"/>
    <n v="1968"/>
    <x v="2"/>
    <s v="Master"/>
    <s v="Divorced"/>
    <n v="41335"/>
    <n v="1"/>
    <n v="24"/>
    <n v="112"/>
    <n v="19"/>
    <n v="21"/>
    <n v="16"/>
    <n v="14"/>
    <n v="5"/>
    <n v="187"/>
    <n v="3"/>
    <n v="4"/>
    <n v="1"/>
    <n v="4"/>
    <n v="7"/>
    <n v="0"/>
    <n v="0"/>
    <n v="0"/>
    <n v="0"/>
    <n v="0"/>
    <n v="0"/>
    <n v="0"/>
  </r>
  <r>
    <d v="2013-12-08T00:00:00"/>
    <n v="3153"/>
    <n v="1957"/>
    <x v="6"/>
    <s v="PhD"/>
    <s v="Single"/>
    <n v="40737"/>
    <n v="3"/>
    <n v="24"/>
    <n v="11"/>
    <n v="0"/>
    <n v="4"/>
    <n v="0"/>
    <n v="0"/>
    <n v="2"/>
    <n v="17"/>
    <n v="1"/>
    <n v="1"/>
    <n v="0"/>
    <n v="2"/>
    <n v="8"/>
    <n v="0"/>
    <n v="0"/>
    <n v="0"/>
    <n v="0"/>
    <n v="0"/>
    <n v="0"/>
    <n v="0"/>
  </r>
  <r>
    <d v="2013-11-20T00:00:00"/>
    <n v="6504"/>
    <n v="1975"/>
    <x v="0"/>
    <s v="2n Cycle"/>
    <s v="Together"/>
    <n v="19789"/>
    <n v="1"/>
    <n v="24"/>
    <n v="2"/>
    <n v="5"/>
    <n v="9"/>
    <n v="28"/>
    <n v="6"/>
    <n v="28"/>
    <n v="78"/>
    <n v="3"/>
    <n v="2"/>
    <n v="1"/>
    <n v="3"/>
    <n v="5"/>
    <n v="1"/>
    <n v="0"/>
    <n v="0"/>
    <n v="0"/>
    <n v="0"/>
    <n v="0"/>
    <n v="0"/>
  </r>
  <r>
    <d v="2013-09-27T00:00:00"/>
    <n v="5329"/>
    <n v="1949"/>
    <x v="3"/>
    <s v="PhD"/>
    <s v="Divorced"/>
    <n v="35946"/>
    <n v="2"/>
    <n v="24"/>
    <n v="8"/>
    <n v="0"/>
    <n v="3"/>
    <n v="0"/>
    <n v="0"/>
    <n v="0"/>
    <n v="11"/>
    <n v="1"/>
    <n v="0"/>
    <n v="0"/>
    <n v="3"/>
    <n v="5"/>
    <n v="0"/>
    <n v="0"/>
    <n v="0"/>
    <n v="0"/>
    <n v="0"/>
    <n v="0"/>
    <n v="0"/>
  </r>
  <r>
    <d v="2013-09-20T00:00:00"/>
    <n v="1175"/>
    <n v="1983"/>
    <x v="0"/>
    <s v="Master"/>
    <s v="Married"/>
    <n v="36262"/>
    <n v="0"/>
    <n v="24"/>
    <n v="88"/>
    <n v="39"/>
    <n v="54"/>
    <n v="64"/>
    <n v="28"/>
    <n v="153"/>
    <n v="426"/>
    <n v="1"/>
    <n v="3"/>
    <n v="5"/>
    <n v="3"/>
    <n v="6"/>
    <n v="1"/>
    <n v="0"/>
    <n v="0"/>
    <n v="0"/>
    <n v="0"/>
    <n v="1"/>
    <n v="0"/>
  </r>
  <r>
    <d v="2013-08-31T00:00:00"/>
    <n v="1377"/>
    <n v="1954"/>
    <x v="6"/>
    <s v="Master"/>
    <s v="Widow"/>
    <n v="44551"/>
    <n v="1"/>
    <n v="24"/>
    <n v="182"/>
    <n v="4"/>
    <n v="33"/>
    <n v="0"/>
    <n v="0"/>
    <n v="66"/>
    <n v="285"/>
    <n v="2"/>
    <n v="4"/>
    <n v="1"/>
    <n v="5"/>
    <n v="7"/>
    <n v="0"/>
    <n v="0"/>
    <n v="0"/>
    <n v="0"/>
    <n v="0"/>
    <n v="0"/>
    <n v="0"/>
  </r>
  <r>
    <d v="2013-08-23T00:00:00"/>
    <n v="4607"/>
    <n v="1959"/>
    <x v="0"/>
    <s v="Graduation"/>
    <s v="Together"/>
    <n v="71367"/>
    <n v="0"/>
    <n v="24"/>
    <n v="227"/>
    <n v="23"/>
    <n v="389"/>
    <n v="42"/>
    <n v="21"/>
    <n v="75"/>
    <n v="777"/>
    <n v="1"/>
    <n v="4"/>
    <n v="5"/>
    <n v="7"/>
    <n v="2"/>
    <n v="0"/>
    <n v="0"/>
    <n v="0"/>
    <n v="0"/>
    <n v="0"/>
    <n v="0"/>
    <n v="0"/>
  </r>
  <r>
    <d v="2013-08-23T00:00:00"/>
    <n v="4944"/>
    <n v="1959"/>
    <x v="0"/>
    <s v="Graduation"/>
    <s v="Together"/>
    <n v="71367"/>
    <n v="0"/>
    <n v="24"/>
    <n v="227"/>
    <n v="23"/>
    <n v="389"/>
    <n v="42"/>
    <n v="21"/>
    <n v="75"/>
    <n v="777"/>
    <n v="1"/>
    <n v="4"/>
    <n v="5"/>
    <n v="7"/>
    <n v="2"/>
    <n v="0"/>
    <n v="0"/>
    <n v="0"/>
    <n v="0"/>
    <n v="0"/>
    <n v="0"/>
    <n v="0"/>
  </r>
  <r>
    <d v="2013-08-19T00:00:00"/>
    <n v="9483"/>
    <n v="1959"/>
    <x v="1"/>
    <s v="Graduation"/>
    <s v="Together"/>
    <n v="57957"/>
    <n v="1"/>
    <n v="24"/>
    <n v="290"/>
    <n v="59"/>
    <n v="177"/>
    <n v="77"/>
    <n v="5"/>
    <n v="29"/>
    <n v="637"/>
    <n v="7"/>
    <n v="4"/>
    <n v="6"/>
    <n v="8"/>
    <n v="3"/>
    <n v="0"/>
    <n v="0"/>
    <n v="0"/>
    <n v="0"/>
    <n v="0"/>
    <n v="0"/>
    <n v="1"/>
  </r>
  <r>
    <d v="2013-07-24T00:00:00"/>
    <n v="1378"/>
    <n v="1972"/>
    <x v="6"/>
    <s v="2n Cycle"/>
    <s v="Together"/>
    <n v="50334"/>
    <n v="1"/>
    <n v="24"/>
    <n v="284"/>
    <n v="16"/>
    <n v="160"/>
    <n v="84"/>
    <n v="16"/>
    <n v="134"/>
    <n v="694"/>
    <n v="6"/>
    <n v="7"/>
    <n v="4"/>
    <n v="6"/>
    <n v="6"/>
    <n v="0"/>
    <n v="0"/>
    <n v="0"/>
    <n v="0"/>
    <n v="0"/>
    <n v="0"/>
    <n v="0"/>
  </r>
  <r>
    <d v="2013-06-08T00:00:00"/>
    <n v="5991"/>
    <n v="1949"/>
    <x v="4"/>
    <s v="Master"/>
    <s v="Married"/>
    <n v="48150"/>
    <n v="1"/>
    <n v="24"/>
    <n v="173"/>
    <n v="2"/>
    <n v="39"/>
    <n v="3"/>
    <n v="2"/>
    <n v="47"/>
    <n v="266"/>
    <n v="3"/>
    <n v="5"/>
    <n v="1"/>
    <n v="4"/>
    <n v="7"/>
    <n v="0"/>
    <n v="0"/>
    <n v="0"/>
    <n v="0"/>
    <n v="0"/>
    <n v="0"/>
    <n v="0"/>
  </r>
  <r>
    <d v="2013-02-16T00:00:00"/>
    <n v="2807"/>
    <n v="1969"/>
    <x v="0"/>
    <s v="Graduation"/>
    <s v="Married"/>
    <n v="56796"/>
    <n v="1"/>
    <n v="24"/>
    <n v="656"/>
    <n v="38"/>
    <n v="161"/>
    <n v="62"/>
    <n v="47"/>
    <n v="37"/>
    <n v="1001"/>
    <n v="3"/>
    <n v="8"/>
    <n v="9"/>
    <n v="7"/>
    <n v="7"/>
    <n v="0"/>
    <n v="0"/>
    <n v="0"/>
    <n v="0"/>
    <n v="0"/>
    <n v="0"/>
    <n v="0"/>
  </r>
  <r>
    <d v="2013-02-16T00:00:00"/>
    <n v="1052"/>
    <n v="1969"/>
    <x v="3"/>
    <s v="Graduation"/>
    <s v="Married"/>
    <n v="56796"/>
    <n v="1"/>
    <n v="24"/>
    <n v="656"/>
    <n v="38"/>
    <n v="161"/>
    <n v="62"/>
    <n v="47"/>
    <n v="37"/>
    <n v="1001"/>
    <n v="3"/>
    <n v="8"/>
    <n v="9"/>
    <n v="7"/>
    <n v="7"/>
    <n v="0"/>
    <n v="0"/>
    <n v="0"/>
    <n v="0"/>
    <n v="0"/>
    <n v="0"/>
    <n v="0"/>
  </r>
  <r>
    <d v="2013-01-25T00:00:00"/>
    <n v="9760"/>
    <n v="1963"/>
    <x v="6"/>
    <s v="PhD"/>
    <s v="Widow"/>
    <n v="52278"/>
    <n v="1"/>
    <n v="24"/>
    <n v="953"/>
    <n v="0"/>
    <n v="71"/>
    <n v="0"/>
    <n v="0"/>
    <n v="174"/>
    <n v="1198"/>
    <n v="6"/>
    <n v="10"/>
    <n v="5"/>
    <n v="10"/>
    <n v="8"/>
    <n v="0"/>
    <n v="0"/>
    <n v="0"/>
    <n v="0"/>
    <n v="0"/>
    <n v="1"/>
    <n v="0"/>
  </r>
  <r>
    <d v="2013-01-25T00:00:00"/>
    <n v="7101"/>
    <n v="1963"/>
    <x v="0"/>
    <s v="PhD"/>
    <s v="Widow"/>
    <n v="52278"/>
    <n v="1"/>
    <n v="24"/>
    <n v="953"/>
    <n v="0"/>
    <n v="71"/>
    <n v="0"/>
    <n v="0"/>
    <n v="174"/>
    <n v="1198"/>
    <n v="6"/>
    <n v="10"/>
    <n v="5"/>
    <n v="10"/>
    <n v="8"/>
    <n v="0"/>
    <n v="0"/>
    <n v="0"/>
    <n v="0"/>
    <n v="0"/>
    <n v="0"/>
    <n v="0"/>
  </r>
  <r>
    <d v="2012-11-09T00:00:00"/>
    <n v="9909"/>
    <n v="1996"/>
    <x v="3"/>
    <s v="2n Cycle"/>
    <s v="Married"/>
    <n v="7500"/>
    <n v="0"/>
    <n v="24"/>
    <n v="3"/>
    <n v="18"/>
    <n v="14"/>
    <n v="15"/>
    <n v="22"/>
    <n v="50"/>
    <n v="122"/>
    <n v="3"/>
    <n v="3"/>
    <n v="1"/>
    <n v="3"/>
    <n v="9"/>
    <n v="0"/>
    <n v="0"/>
    <n v="0"/>
    <n v="0"/>
    <n v="0"/>
    <n v="1"/>
    <n v="0"/>
  </r>
  <r>
    <d v="2012-11-03T00:00:00"/>
    <n v="5907"/>
    <n v="1952"/>
    <x v="0"/>
    <s v="Master"/>
    <s v="Married"/>
    <n v="33444"/>
    <n v="2"/>
    <n v="24"/>
    <n v="8"/>
    <n v="0"/>
    <n v="8"/>
    <n v="0"/>
    <n v="0"/>
    <n v="2"/>
    <n v="18"/>
    <n v="1"/>
    <n v="1"/>
    <n v="0"/>
    <n v="2"/>
    <n v="8"/>
    <n v="0"/>
    <n v="0"/>
    <n v="0"/>
    <n v="0"/>
    <n v="0"/>
    <n v="0"/>
    <n v="0"/>
  </r>
  <r>
    <d v="2012-10-06T00:00:00"/>
    <n v="793"/>
    <n v="1973"/>
    <x v="3"/>
    <s v="Graduation"/>
    <s v="Married"/>
    <n v="20895"/>
    <n v="1"/>
    <n v="24"/>
    <n v="18"/>
    <n v="3"/>
    <n v="17"/>
    <n v="3"/>
    <n v="0"/>
    <n v="4"/>
    <n v="45"/>
    <n v="1"/>
    <n v="2"/>
    <n v="0"/>
    <n v="3"/>
    <n v="9"/>
    <n v="0"/>
    <n v="0"/>
    <n v="0"/>
    <n v="0"/>
    <n v="0"/>
    <n v="0"/>
    <n v="0"/>
  </r>
  <r>
    <d v="2012-09-12T00:00:00"/>
    <n v="8832"/>
    <n v="1976"/>
    <x v="4"/>
    <s v="Master"/>
    <s v="Together"/>
    <n v="37509"/>
    <n v="1"/>
    <n v="24"/>
    <n v="37"/>
    <n v="5"/>
    <n v="56"/>
    <n v="12"/>
    <n v="8"/>
    <n v="5"/>
    <n v="123"/>
    <n v="2"/>
    <n v="3"/>
    <n v="0"/>
    <n v="4"/>
    <n v="7"/>
    <n v="0"/>
    <n v="0"/>
    <n v="0"/>
    <n v="0"/>
    <n v="0"/>
    <n v="0"/>
    <n v="0"/>
  </r>
  <r>
    <d v="2012-08-18T00:00:00"/>
    <n v="2535"/>
    <n v="1978"/>
    <x v="0"/>
    <s v="Master"/>
    <s v="Married"/>
    <n v="88097"/>
    <n v="1"/>
    <n v="24"/>
    <n v="163"/>
    <n v="0"/>
    <n v="480"/>
    <n v="0"/>
    <n v="126"/>
    <n v="75"/>
    <n v="844"/>
    <n v="1"/>
    <n v="6"/>
    <n v="5"/>
    <n v="8"/>
    <n v="9"/>
    <n v="0"/>
    <n v="1"/>
    <n v="1"/>
    <n v="1"/>
    <n v="0"/>
    <n v="1"/>
    <n v="0"/>
  </r>
  <r>
    <d v="2014-05-07T00:00:00"/>
    <n v="1523"/>
    <n v="1973"/>
    <x v="6"/>
    <s v="Graduation"/>
    <s v="Married"/>
    <n v="59041"/>
    <n v="2"/>
    <n v="25"/>
    <n v="69"/>
    <n v="2"/>
    <n v="15"/>
    <n v="2"/>
    <n v="2"/>
    <n v="6"/>
    <n v="96"/>
    <n v="2"/>
    <n v="2"/>
    <n v="0"/>
    <n v="4"/>
    <n v="5"/>
    <n v="0"/>
    <n v="0"/>
    <n v="0"/>
    <n v="0"/>
    <n v="0"/>
    <n v="0"/>
    <n v="0"/>
  </r>
  <r>
    <d v="2014-04-21T00:00:00"/>
    <n v="1839"/>
    <n v="1974"/>
    <x v="5"/>
    <s v="Graduation"/>
    <s v="Single"/>
    <n v="43322"/>
    <n v="0"/>
    <n v="25"/>
    <n v="56"/>
    <n v="7"/>
    <n v="48"/>
    <n v="10"/>
    <n v="2"/>
    <n v="18"/>
    <n v="141"/>
    <n v="1"/>
    <n v="3"/>
    <n v="0"/>
    <n v="4"/>
    <n v="7"/>
    <n v="0"/>
    <n v="0"/>
    <n v="0"/>
    <n v="0"/>
    <n v="0"/>
    <n v="0"/>
    <n v="0"/>
  </r>
  <r>
    <d v="2014-04-13T00:00:00"/>
    <n v="9972"/>
    <n v="1955"/>
    <x v="6"/>
    <s v="PhD"/>
    <s v="Together"/>
    <n v="46015"/>
    <n v="2"/>
    <n v="25"/>
    <n v="38"/>
    <n v="0"/>
    <n v="2"/>
    <n v="0"/>
    <n v="0"/>
    <n v="6"/>
    <n v="46"/>
    <n v="1"/>
    <n v="1"/>
    <n v="0"/>
    <n v="3"/>
    <n v="7"/>
    <n v="1"/>
    <n v="0"/>
    <n v="0"/>
    <n v="0"/>
    <n v="1"/>
    <n v="0"/>
    <n v="0"/>
  </r>
  <r>
    <d v="2014-04-13T00:00:00"/>
    <n v="2945"/>
    <n v="1955"/>
    <x v="1"/>
    <s v="PhD"/>
    <s v="Together"/>
    <n v="46015"/>
    <n v="2"/>
    <n v="25"/>
    <n v="38"/>
    <n v="0"/>
    <n v="2"/>
    <n v="0"/>
    <n v="0"/>
    <n v="6"/>
    <n v="46"/>
    <n v="1"/>
    <n v="1"/>
    <n v="0"/>
    <n v="3"/>
    <n v="7"/>
    <n v="1"/>
    <n v="0"/>
    <n v="0"/>
    <n v="0"/>
    <n v="1"/>
    <n v="0"/>
    <n v="0"/>
  </r>
  <r>
    <d v="2014-03-23T00:00:00"/>
    <n v="9291"/>
    <n v="1959"/>
    <x v="0"/>
    <s v="Master"/>
    <s v="Married"/>
    <n v="34242"/>
    <n v="1"/>
    <n v="25"/>
    <n v="8"/>
    <n v="2"/>
    <n v="4"/>
    <n v="0"/>
    <n v="0"/>
    <n v="1"/>
    <n v="15"/>
    <n v="1"/>
    <n v="0"/>
    <n v="0"/>
    <n v="3"/>
    <n v="5"/>
    <n v="0"/>
    <n v="0"/>
    <n v="0"/>
    <n v="0"/>
    <n v="0"/>
    <n v="0"/>
    <n v="0"/>
  </r>
  <r>
    <d v="2014-03-10T00:00:00"/>
    <n v="2829"/>
    <n v="1955"/>
    <x v="1"/>
    <s v="Graduation"/>
    <s v="Married"/>
    <n v="65210"/>
    <n v="1"/>
    <n v="25"/>
    <n v="626"/>
    <n v="0"/>
    <n v="70"/>
    <n v="0"/>
    <n v="7"/>
    <n v="28"/>
    <n v="731"/>
    <n v="2"/>
    <n v="9"/>
    <n v="3"/>
    <n v="8"/>
    <n v="6"/>
    <n v="0"/>
    <n v="1"/>
    <n v="0"/>
    <n v="1"/>
    <n v="0"/>
    <n v="0"/>
    <n v="0"/>
  </r>
  <r>
    <d v="2014-01-28T00:00:00"/>
    <n v="8594"/>
    <n v="1958"/>
    <x v="0"/>
    <s v="PhD"/>
    <s v="Widow"/>
    <n v="50520"/>
    <n v="1"/>
    <n v="25"/>
    <n v="112"/>
    <n v="0"/>
    <n v="6"/>
    <n v="2"/>
    <n v="1"/>
    <n v="14"/>
    <n v="135"/>
    <n v="2"/>
    <n v="3"/>
    <n v="1"/>
    <n v="3"/>
    <n v="6"/>
    <n v="0"/>
    <n v="0"/>
    <n v="0"/>
    <n v="0"/>
    <n v="0"/>
    <n v="0"/>
    <n v="0"/>
  </r>
  <r>
    <d v="2014-01-24T00:00:00"/>
    <n v="1592"/>
    <n v="1970"/>
    <x v="1"/>
    <s v="Graduation"/>
    <s v="Married"/>
    <n v="90765"/>
    <n v="0"/>
    <n v="25"/>
    <n v="547"/>
    <n v="99"/>
    <n v="812"/>
    <n v="151"/>
    <n v="82"/>
    <n v="33"/>
    <n v="1724"/>
    <n v="0"/>
    <n v="4"/>
    <n v="6"/>
    <n v="5"/>
    <n v="1"/>
    <n v="0"/>
    <n v="0"/>
    <n v="1"/>
    <n v="1"/>
    <n v="0"/>
    <n v="0"/>
    <n v="0"/>
  </r>
  <r>
    <d v="2014-01-22T00:00:00"/>
    <n v="4310"/>
    <n v="1944"/>
    <x v="3"/>
    <s v="Graduation"/>
    <s v="Married"/>
    <n v="80589"/>
    <n v="0"/>
    <n v="25"/>
    <n v="507"/>
    <n v="93"/>
    <n v="520"/>
    <n v="242"/>
    <n v="40"/>
    <n v="26"/>
    <n v="1428"/>
    <n v="1"/>
    <n v="5"/>
    <n v="10"/>
    <n v="5"/>
    <n v="1"/>
    <n v="0"/>
    <n v="0"/>
    <n v="0"/>
    <n v="1"/>
    <n v="0"/>
    <n v="1"/>
    <n v="0"/>
  </r>
  <r>
    <d v="2013-12-15T00:00:00"/>
    <n v="6950"/>
    <n v="1958"/>
    <x v="1"/>
    <s v="Master"/>
    <s v="Married"/>
    <n v="49572"/>
    <n v="2"/>
    <n v="25"/>
    <n v="35"/>
    <n v="1"/>
    <n v="16"/>
    <n v="0"/>
    <n v="1"/>
    <n v="1"/>
    <n v="54"/>
    <n v="2"/>
    <n v="2"/>
    <n v="0"/>
    <n v="3"/>
    <n v="7"/>
    <n v="0"/>
    <n v="0"/>
    <n v="0"/>
    <n v="0"/>
    <n v="0"/>
    <n v="0"/>
    <n v="0"/>
  </r>
  <r>
    <d v="2013-11-09T00:00:00"/>
    <n v="8492"/>
    <n v="1978"/>
    <x v="0"/>
    <s v="Graduation"/>
    <s v="Together"/>
    <n v="75437"/>
    <n v="0"/>
    <n v="25"/>
    <n v="795"/>
    <n v="0"/>
    <n v="545"/>
    <n v="95"/>
    <n v="58"/>
    <n v="0"/>
    <n v="1493"/>
    <n v="1"/>
    <n v="8"/>
    <n v="4"/>
    <n v="10"/>
    <n v="6"/>
    <n v="0"/>
    <n v="0"/>
    <n v="0"/>
    <n v="1"/>
    <n v="0"/>
    <n v="0"/>
    <n v="0"/>
  </r>
  <r>
    <d v="2013-10-11T00:00:00"/>
    <n v="5684"/>
    <n v="1971"/>
    <x v="0"/>
    <s v="Master"/>
    <s v="Divorced"/>
    <n v="44635"/>
    <n v="2"/>
    <n v="25"/>
    <n v="56"/>
    <n v="0"/>
    <n v="9"/>
    <n v="0"/>
    <n v="0"/>
    <n v="3"/>
    <n v="68"/>
    <n v="2"/>
    <n v="2"/>
    <n v="0"/>
    <n v="3"/>
    <n v="7"/>
    <n v="0"/>
    <n v="0"/>
    <n v="0"/>
    <n v="0"/>
    <n v="0"/>
    <n v="0"/>
    <n v="0"/>
  </r>
  <r>
    <d v="2013-09-19T00:00:00"/>
    <n v="5909"/>
    <n v="1964"/>
    <x v="4"/>
    <s v="Graduation"/>
    <s v="Married"/>
    <n v="58512"/>
    <n v="1"/>
    <n v="25"/>
    <n v="895"/>
    <n v="10"/>
    <n v="101"/>
    <n v="13"/>
    <n v="0"/>
    <n v="152"/>
    <n v="1171"/>
    <n v="5"/>
    <n v="3"/>
    <n v="4"/>
    <n v="8"/>
    <n v="8"/>
    <n v="0"/>
    <n v="0"/>
    <n v="0"/>
    <n v="0"/>
    <n v="0"/>
    <n v="0"/>
    <n v="0"/>
  </r>
  <r>
    <d v="2013-08-25T00:00:00"/>
    <n v="9855"/>
    <n v="1952"/>
    <x v="0"/>
    <s v="PhD"/>
    <s v="Single"/>
    <n v="62000"/>
    <n v="1"/>
    <n v="25"/>
    <n v="899"/>
    <n v="0"/>
    <n v="101"/>
    <n v="0"/>
    <n v="0"/>
    <n v="20"/>
    <n v="1020"/>
    <n v="1"/>
    <n v="6"/>
    <n v="6"/>
    <n v="13"/>
    <n v="4"/>
    <n v="0"/>
    <n v="0"/>
    <n v="0"/>
    <n v="1"/>
    <n v="0"/>
    <n v="0"/>
    <n v="0"/>
  </r>
  <r>
    <d v="2013-05-28T00:00:00"/>
    <n v="975"/>
    <n v="1956"/>
    <x v="3"/>
    <s v="Graduation"/>
    <s v="Single"/>
    <n v="54252"/>
    <n v="2"/>
    <n v="25"/>
    <n v="178"/>
    <n v="4"/>
    <n v="26"/>
    <n v="8"/>
    <n v="4"/>
    <n v="44"/>
    <n v="264"/>
    <n v="5"/>
    <n v="4"/>
    <n v="1"/>
    <n v="5"/>
    <n v="6"/>
    <n v="0"/>
    <n v="0"/>
    <n v="0"/>
    <n v="0"/>
    <n v="0"/>
    <n v="0"/>
    <n v="0"/>
  </r>
  <r>
    <d v="2013-05-16T00:00:00"/>
    <n v="8754"/>
    <n v="1974"/>
    <x v="0"/>
    <s v="PhD"/>
    <s v="Together"/>
    <n v="45068"/>
    <n v="1"/>
    <n v="25"/>
    <n v="14"/>
    <n v="0"/>
    <n v="3"/>
    <n v="0"/>
    <n v="0"/>
    <n v="3"/>
    <n v="20"/>
    <n v="1"/>
    <n v="1"/>
    <n v="0"/>
    <n v="2"/>
    <n v="7"/>
    <n v="0"/>
    <n v="0"/>
    <n v="0"/>
    <n v="0"/>
    <n v="0"/>
    <n v="0"/>
    <n v="0"/>
  </r>
  <r>
    <d v="2013-04-01T00:00:00"/>
    <n v="1456"/>
    <n v="1979"/>
    <x v="5"/>
    <s v="Graduation"/>
    <s v="Single"/>
    <n v="60474"/>
    <n v="1"/>
    <n v="25"/>
    <n v="265"/>
    <n v="199"/>
    <n v="303"/>
    <n v="234"/>
    <n v="9"/>
    <n v="170"/>
    <n v="1180"/>
    <n v="7"/>
    <n v="10"/>
    <n v="2"/>
    <n v="12"/>
    <n v="7"/>
    <n v="0"/>
    <n v="0"/>
    <n v="0"/>
    <n v="0"/>
    <n v="0"/>
    <n v="0"/>
    <n v="0"/>
  </r>
  <r>
    <d v="2013-04-01T00:00:00"/>
    <n v="2849"/>
    <n v="1979"/>
    <x v="1"/>
    <s v="Graduation"/>
    <s v="Single"/>
    <n v="60474"/>
    <n v="1"/>
    <n v="25"/>
    <n v="265"/>
    <n v="199"/>
    <n v="303"/>
    <n v="234"/>
    <n v="9"/>
    <n v="170"/>
    <n v="1180"/>
    <n v="7"/>
    <n v="10"/>
    <n v="2"/>
    <n v="12"/>
    <n v="7"/>
    <n v="0"/>
    <n v="0"/>
    <n v="0"/>
    <n v="0"/>
    <n v="0"/>
    <n v="0"/>
    <n v="0"/>
  </r>
  <r>
    <d v="2013-03-27T00:00:00"/>
    <n v="9984"/>
    <n v="1981"/>
    <x v="0"/>
    <s v="2n Cycle"/>
    <s v="Married"/>
    <n v="56337"/>
    <n v="2"/>
    <n v="25"/>
    <n v="349"/>
    <n v="16"/>
    <n v="144"/>
    <n v="28"/>
    <n v="5"/>
    <n v="182"/>
    <n v="724"/>
    <n v="5"/>
    <n v="8"/>
    <n v="5"/>
    <n v="4"/>
    <n v="8"/>
    <n v="1"/>
    <n v="0"/>
    <n v="0"/>
    <n v="1"/>
    <n v="0"/>
    <n v="1"/>
    <n v="0"/>
  </r>
  <r>
    <d v="2013-02-13T00:00:00"/>
    <n v="5527"/>
    <n v="1987"/>
    <x v="0"/>
    <s v="Graduation"/>
    <s v="Together"/>
    <n v="22434"/>
    <n v="1"/>
    <n v="25"/>
    <n v="4"/>
    <n v="12"/>
    <n v="11"/>
    <n v="3"/>
    <n v="13"/>
    <n v="15"/>
    <n v="58"/>
    <n v="2"/>
    <n v="2"/>
    <n v="0"/>
    <n v="3"/>
    <n v="8"/>
    <n v="0"/>
    <n v="0"/>
    <n v="0"/>
    <n v="0"/>
    <n v="0"/>
    <n v="0"/>
    <n v="0"/>
  </r>
  <r>
    <d v="2013-02-08T00:00:00"/>
    <n v="5628"/>
    <n v="1982"/>
    <x v="2"/>
    <s v="Graduation"/>
    <s v="Together"/>
    <n v="61416"/>
    <n v="0"/>
    <n v="25"/>
    <n v="848"/>
    <n v="154"/>
    <n v="323"/>
    <n v="201"/>
    <n v="61"/>
    <n v="78"/>
    <n v="1665"/>
    <n v="1"/>
    <n v="10"/>
    <n v="3"/>
    <n v="10"/>
    <n v="6"/>
    <n v="1"/>
    <n v="0"/>
    <n v="0"/>
    <n v="0"/>
    <n v="0"/>
    <n v="0"/>
    <n v="0"/>
  </r>
  <r>
    <d v="2012-12-12T00:00:00"/>
    <n v="7627"/>
    <n v="1975"/>
    <x v="0"/>
    <s v="Master"/>
    <s v="Married"/>
    <n v="92163"/>
    <n v="0"/>
    <n v="25"/>
    <n v="817"/>
    <n v="183"/>
    <n v="797"/>
    <n v="106"/>
    <n v="163"/>
    <n v="20"/>
    <n v="2086"/>
    <n v="0"/>
    <n v="5"/>
    <n v="11"/>
    <n v="5"/>
    <n v="2"/>
    <n v="0"/>
    <n v="0"/>
    <n v="1"/>
    <n v="1"/>
    <n v="0"/>
    <n v="1"/>
    <n v="0"/>
  </r>
  <r>
    <d v="2012-09-20T00:00:00"/>
    <n v="1351"/>
    <n v="1956"/>
    <x v="0"/>
    <s v="Master"/>
    <s v="Together"/>
    <n v="58656"/>
    <n v="1"/>
    <n v="25"/>
    <n v="962"/>
    <n v="12"/>
    <n v="194"/>
    <n v="16"/>
    <n v="24"/>
    <n v="12"/>
    <n v="1220"/>
    <n v="4"/>
    <n v="7"/>
    <n v="8"/>
    <n v="13"/>
    <n v="6"/>
    <n v="0"/>
    <n v="0"/>
    <n v="1"/>
    <n v="0"/>
    <n v="0"/>
    <n v="0"/>
    <n v="0"/>
  </r>
  <r>
    <d v="2012-09-14T00:00:00"/>
    <n v="10629"/>
    <n v="1973"/>
    <x v="4"/>
    <s v="2n Cycle"/>
    <s v="Married"/>
    <n v="53790.45"/>
    <n v="1"/>
    <n v="25"/>
    <n v="25"/>
    <n v="3"/>
    <n v="43"/>
    <n v="17"/>
    <n v="4"/>
    <n v="17"/>
    <n v="109"/>
    <n v="3"/>
    <n v="3"/>
    <n v="0"/>
    <n v="3"/>
    <n v="8"/>
    <n v="0"/>
    <n v="0"/>
    <n v="0"/>
    <n v="0"/>
    <n v="0"/>
    <n v="0"/>
    <n v="0"/>
  </r>
  <r>
    <d v="2012-08-22T00:00:00"/>
    <n v="10395"/>
    <n v="1986"/>
    <x v="0"/>
    <s v="Basic"/>
    <s v="Single"/>
    <n v="8940"/>
    <n v="1"/>
    <n v="25"/>
    <n v="1"/>
    <n v="45"/>
    <n v="3"/>
    <n v="4"/>
    <n v="6"/>
    <n v="42"/>
    <n v="101"/>
    <n v="3"/>
    <n v="3"/>
    <n v="1"/>
    <n v="3"/>
    <n v="8"/>
    <n v="0"/>
    <n v="0"/>
    <n v="0"/>
    <n v="0"/>
    <n v="0"/>
    <n v="0"/>
    <n v="0"/>
  </r>
  <r>
    <d v="2014-05-22T00:00:00"/>
    <n v="6961"/>
    <n v="1974"/>
    <x v="0"/>
    <s v="Graduation"/>
    <s v="Married"/>
    <n v="26751"/>
    <n v="2"/>
    <n v="26"/>
    <n v="1"/>
    <n v="1"/>
    <n v="5"/>
    <n v="0"/>
    <n v="3"/>
    <n v="1"/>
    <n v="11"/>
    <n v="1"/>
    <n v="1"/>
    <n v="0"/>
    <n v="2"/>
    <n v="8"/>
    <n v="0"/>
    <n v="0"/>
    <n v="0"/>
    <n v="0"/>
    <n v="0"/>
    <n v="0"/>
    <n v="0"/>
  </r>
  <r>
    <d v="2014-03-12T00:00:00"/>
    <n v="10196"/>
    <n v="1978"/>
    <x v="2"/>
    <s v="Graduation"/>
    <s v="Married"/>
    <n v="71427"/>
    <n v="2"/>
    <n v="26"/>
    <n v="212"/>
    <n v="123"/>
    <n v="177"/>
    <n v="15"/>
    <n v="64"/>
    <n v="23"/>
    <n v="614"/>
    <n v="2"/>
    <n v="8"/>
    <n v="2"/>
    <n v="8"/>
    <n v="4"/>
    <n v="0"/>
    <n v="0"/>
    <n v="0"/>
    <n v="0"/>
    <n v="0"/>
    <n v="0"/>
    <n v="0"/>
  </r>
  <r>
    <d v="2014-02-10T00:00:00"/>
    <n v="6182"/>
    <n v="1984"/>
    <x v="2"/>
    <s v="Graduation"/>
    <s v="Together"/>
    <n v="26646"/>
    <n v="1"/>
    <n v="26"/>
    <n v="11"/>
    <n v="4"/>
    <n v="20"/>
    <n v="10"/>
    <n v="3"/>
    <n v="5"/>
    <n v="53"/>
    <n v="2"/>
    <n v="2"/>
    <n v="0"/>
    <n v="4"/>
    <n v="6"/>
    <n v="0"/>
    <n v="0"/>
    <n v="0"/>
    <n v="0"/>
    <n v="0"/>
    <n v="0"/>
    <n v="0"/>
  </r>
  <r>
    <d v="2014-01-30T00:00:00"/>
    <n v="10432"/>
    <n v="1974"/>
    <x v="1"/>
    <s v="Graduation"/>
    <s v="Divorced"/>
    <n v="19346"/>
    <n v="1"/>
    <n v="26"/>
    <n v="2"/>
    <n v="0"/>
    <n v="9"/>
    <n v="3"/>
    <n v="6"/>
    <n v="2"/>
    <n v="22"/>
    <n v="1"/>
    <n v="1"/>
    <n v="0"/>
    <n v="3"/>
    <n v="8"/>
    <n v="0"/>
    <n v="0"/>
    <n v="0"/>
    <n v="0"/>
    <n v="0"/>
    <n v="0"/>
    <n v="0"/>
  </r>
  <r>
    <d v="2013-12-30T00:00:00"/>
    <n v="1542"/>
    <n v="1975"/>
    <x v="2"/>
    <s v="Graduation"/>
    <s v="Single"/>
    <n v="56243"/>
    <n v="3"/>
    <n v="26"/>
    <n v="347"/>
    <n v="0"/>
    <n v="35"/>
    <n v="4"/>
    <n v="3"/>
    <n v="7"/>
    <n v="396"/>
    <n v="6"/>
    <n v="4"/>
    <n v="2"/>
    <n v="8"/>
    <n v="5"/>
    <n v="0"/>
    <n v="0"/>
    <n v="0"/>
    <n v="0"/>
    <n v="0"/>
    <n v="0"/>
    <n v="0"/>
  </r>
  <r>
    <d v="2013-11-02T00:00:00"/>
    <n v="4220"/>
    <n v="1970"/>
    <x v="1"/>
    <s v="PhD"/>
    <s v="Married"/>
    <n v="59892"/>
    <n v="1"/>
    <n v="26"/>
    <n v="73"/>
    <n v="0"/>
    <n v="13"/>
    <n v="0"/>
    <n v="1"/>
    <n v="0"/>
    <n v="87"/>
    <n v="1"/>
    <n v="2"/>
    <n v="1"/>
    <n v="3"/>
    <n v="3"/>
    <n v="0"/>
    <n v="0"/>
    <n v="0"/>
    <n v="0"/>
    <n v="0"/>
    <n v="0"/>
    <n v="0"/>
  </r>
  <r>
    <d v="2013-08-21T00:00:00"/>
    <n v="4141"/>
    <n v="1965"/>
    <x v="2"/>
    <s v="Graduation"/>
    <s v="Together"/>
    <n v="71613"/>
    <n v="0"/>
    <n v="26"/>
    <n v="426"/>
    <n v="49"/>
    <n v="127"/>
    <n v="111"/>
    <n v="21"/>
    <n v="42"/>
    <n v="776"/>
    <n v="1"/>
    <n v="8"/>
    <n v="2"/>
    <n v="10"/>
    <n v="4"/>
    <n v="0"/>
    <n v="0"/>
    <n v="0"/>
    <n v="0"/>
    <n v="0"/>
    <n v="0"/>
    <n v="0"/>
  </r>
  <r>
    <d v="2013-07-12T00:00:00"/>
    <n v="1940"/>
    <n v="1986"/>
    <x v="3"/>
    <s v="Graduation"/>
    <s v="Married"/>
    <n v="25252"/>
    <n v="1"/>
    <n v="26"/>
    <n v="1"/>
    <n v="3"/>
    <n v="4"/>
    <n v="2"/>
    <n v="2"/>
    <n v="6"/>
    <n v="18"/>
    <n v="1"/>
    <n v="1"/>
    <n v="0"/>
    <n v="2"/>
    <n v="8"/>
    <n v="0"/>
    <n v="0"/>
    <n v="0"/>
    <n v="0"/>
    <n v="0"/>
    <n v="0"/>
    <n v="0"/>
  </r>
  <r>
    <d v="2013-06-28T00:00:00"/>
    <n v="1506"/>
    <n v="1975"/>
    <x v="0"/>
    <s v="Graduation"/>
    <s v="Single"/>
    <n v="42160"/>
    <n v="2"/>
    <n v="26"/>
    <n v="48"/>
    <n v="9"/>
    <n v="45"/>
    <n v="3"/>
    <n v="15"/>
    <n v="20"/>
    <n v="140"/>
    <n v="4"/>
    <n v="2"/>
    <n v="1"/>
    <n v="4"/>
    <n v="6"/>
    <n v="0"/>
    <n v="0"/>
    <n v="0"/>
    <n v="0"/>
    <n v="0"/>
    <n v="1"/>
    <n v="0"/>
  </r>
  <r>
    <d v="2013-06-27T00:00:00"/>
    <n v="6347"/>
    <n v="1979"/>
    <x v="0"/>
    <s v="Basic"/>
    <s v="Single"/>
    <n v="15862"/>
    <n v="1"/>
    <n v="26"/>
    <n v="1"/>
    <n v="1"/>
    <n v="4"/>
    <n v="11"/>
    <n v="9"/>
    <n v="10"/>
    <n v="36"/>
    <n v="1"/>
    <n v="1"/>
    <n v="0"/>
    <n v="3"/>
    <n v="8"/>
    <n v="0"/>
    <n v="0"/>
    <n v="0"/>
    <n v="0"/>
    <n v="0"/>
    <n v="0"/>
    <n v="0"/>
  </r>
  <r>
    <d v="2013-06-04T00:00:00"/>
    <n v="1361"/>
    <n v="1974"/>
    <x v="0"/>
    <s v="Master"/>
    <s v="Married"/>
    <n v="82584"/>
    <n v="0"/>
    <n v="26"/>
    <n v="1076"/>
    <n v="68"/>
    <n v="103"/>
    <n v="29"/>
    <n v="91"/>
    <n v="68"/>
    <n v="1435"/>
    <n v="1"/>
    <n v="3"/>
    <n v="4"/>
    <n v="8"/>
    <n v="1"/>
    <n v="0"/>
    <n v="1"/>
    <n v="1"/>
    <n v="0"/>
    <n v="0"/>
    <n v="1"/>
    <n v="0"/>
  </r>
  <r>
    <d v="2013-05-31T00:00:00"/>
    <n v="9422"/>
    <n v="1989"/>
    <x v="3"/>
    <s v="Graduation"/>
    <s v="Married"/>
    <n v="38360"/>
    <n v="1"/>
    <n v="26"/>
    <n v="36"/>
    <n v="2"/>
    <n v="42"/>
    <n v="20"/>
    <n v="21"/>
    <n v="10"/>
    <n v="131"/>
    <n v="2"/>
    <n v="2"/>
    <n v="1"/>
    <n v="4"/>
    <n v="3"/>
    <n v="0"/>
    <n v="0"/>
    <n v="0"/>
    <n v="0"/>
    <n v="0"/>
    <n v="0"/>
    <n v="0"/>
  </r>
  <r>
    <d v="2013-03-27T00:00:00"/>
    <n v="1081"/>
    <n v="1957"/>
    <x v="6"/>
    <s v="PhD"/>
    <s v="Married"/>
    <n v="75283"/>
    <n v="3"/>
    <n v="26"/>
    <n v="733"/>
    <n v="9"/>
    <n v="180"/>
    <n v="12"/>
    <n v="19"/>
    <n v="66"/>
    <n v="1019"/>
    <n v="11"/>
    <n v="6"/>
    <n v="3"/>
    <n v="5"/>
    <n v="4"/>
    <n v="0"/>
    <n v="0"/>
    <n v="0"/>
    <n v="0"/>
    <n v="0"/>
    <n v="0"/>
    <n v="0"/>
  </r>
  <r>
    <d v="2013-03-06T00:00:00"/>
    <n v="7458"/>
    <n v="1956"/>
    <x v="3"/>
    <s v="Master"/>
    <s v="Together"/>
    <n v="34941"/>
    <n v="2"/>
    <n v="26"/>
    <n v="39"/>
    <n v="2"/>
    <n v="25"/>
    <n v="4"/>
    <n v="3"/>
    <n v="24"/>
    <n v="97"/>
    <n v="2"/>
    <n v="3"/>
    <n v="0"/>
    <n v="3"/>
    <n v="8"/>
    <n v="0"/>
    <n v="0"/>
    <n v="0"/>
    <n v="0"/>
    <n v="0"/>
    <n v="0"/>
    <n v="0"/>
  </r>
  <r>
    <d v="2013-02-18T00:00:00"/>
    <n v="1012"/>
    <n v="1952"/>
    <x v="3"/>
    <s v="Graduation"/>
    <s v="Single"/>
    <n v="61823"/>
    <n v="1"/>
    <n v="26"/>
    <n v="523"/>
    <n v="7"/>
    <n v="134"/>
    <n v="37"/>
    <n v="14"/>
    <n v="169"/>
    <n v="884"/>
    <n v="4"/>
    <n v="8"/>
    <n v="2"/>
    <n v="10"/>
    <n v="7"/>
    <n v="0"/>
    <n v="0"/>
    <n v="0"/>
    <n v="0"/>
    <n v="0"/>
    <n v="0"/>
    <n v="0"/>
  </r>
  <r>
    <d v="2012-09-26T00:00:00"/>
    <n v="5453"/>
    <n v="1956"/>
    <x v="6"/>
    <s v="Master"/>
    <s v="Married"/>
    <n v="90226"/>
    <n v="0"/>
    <n v="26"/>
    <n v="1083"/>
    <n v="108"/>
    <n v="649"/>
    <n v="253"/>
    <n v="151"/>
    <n v="108"/>
    <n v="2352"/>
    <n v="1"/>
    <n v="4"/>
    <n v="7"/>
    <n v="12"/>
    <n v="2"/>
    <n v="0"/>
    <n v="0"/>
    <n v="0"/>
    <n v="1"/>
    <n v="0"/>
    <n v="0"/>
    <n v="0"/>
  </r>
  <r>
    <d v="2012-09-12T00:00:00"/>
    <n v="6818"/>
    <n v="1974"/>
    <x v="0"/>
    <s v="Graduation"/>
    <s v="Married"/>
    <n v="44989"/>
    <n v="1"/>
    <n v="26"/>
    <n v="98"/>
    <n v="0"/>
    <n v="106"/>
    <n v="49"/>
    <n v="10"/>
    <n v="106"/>
    <n v="369"/>
    <n v="5"/>
    <n v="5"/>
    <n v="1"/>
    <n v="5"/>
    <n v="6"/>
    <n v="0"/>
    <n v="0"/>
    <n v="0"/>
    <n v="0"/>
    <n v="0"/>
    <n v="0"/>
    <n v="0"/>
  </r>
  <r>
    <d v="2012-09-12T00:00:00"/>
    <n v="7807"/>
    <n v="1974"/>
    <x v="0"/>
    <s v="Graduation"/>
    <s v="Married"/>
    <n v="44989"/>
    <n v="1"/>
    <n v="26"/>
    <n v="98"/>
    <n v="0"/>
    <n v="106"/>
    <n v="49"/>
    <n v="10"/>
    <n v="106"/>
    <n v="369"/>
    <n v="5"/>
    <n v="5"/>
    <n v="1"/>
    <n v="5"/>
    <n v="6"/>
    <n v="0"/>
    <n v="0"/>
    <n v="0"/>
    <n v="0"/>
    <n v="0"/>
    <n v="0"/>
    <n v="0"/>
  </r>
  <r>
    <d v="2012-08-30T00:00:00"/>
    <n v="7532"/>
    <n v="1980"/>
    <x v="4"/>
    <s v="Graduation"/>
    <s v="Married"/>
    <n v="43586"/>
    <n v="1"/>
    <n v="26"/>
    <n v="99"/>
    <n v="2"/>
    <n v="11"/>
    <n v="4"/>
    <n v="0"/>
    <n v="16"/>
    <n v="132"/>
    <n v="3"/>
    <n v="3"/>
    <n v="0"/>
    <n v="4"/>
    <n v="8"/>
    <n v="0"/>
    <n v="0"/>
    <n v="0"/>
    <n v="0"/>
    <n v="0"/>
    <n v="0"/>
    <n v="0"/>
  </r>
  <r>
    <d v="2012-08-19T00:00:00"/>
    <n v="8346"/>
    <n v="1974"/>
    <x v="0"/>
    <s v="Graduation"/>
    <s v="Single"/>
    <n v="32233"/>
    <n v="1"/>
    <n v="26"/>
    <n v="138"/>
    <n v="15"/>
    <n v="35"/>
    <n v="25"/>
    <n v="11"/>
    <n v="72"/>
    <n v="296"/>
    <n v="2"/>
    <n v="6"/>
    <n v="2"/>
    <n v="2"/>
    <n v="9"/>
    <n v="1"/>
    <n v="0"/>
    <n v="0"/>
    <n v="0"/>
    <n v="0"/>
    <n v="1"/>
    <n v="0"/>
  </r>
  <r>
    <d v="2012-08-09T00:00:00"/>
    <n v="5564"/>
    <n v="1969"/>
    <x v="3"/>
    <s v="Graduation"/>
    <s v="Together"/>
    <n v="62882"/>
    <n v="1"/>
    <n v="26"/>
    <n v="509"/>
    <n v="133"/>
    <n v="497"/>
    <n v="78"/>
    <n v="24"/>
    <n v="97"/>
    <n v="1338"/>
    <n v="2"/>
    <n v="7"/>
    <n v="5"/>
    <n v="6"/>
    <n v="4"/>
    <n v="0"/>
    <n v="0"/>
    <n v="0"/>
    <n v="0"/>
    <n v="0"/>
    <n v="0"/>
    <n v="0"/>
  </r>
  <r>
    <d v="2014-06-25T00:00:00"/>
    <n v="3267"/>
    <n v="1963"/>
    <x v="1"/>
    <s v="Master"/>
    <s v="Together"/>
    <n v="57288"/>
    <n v="1"/>
    <n v="27"/>
    <n v="527"/>
    <n v="0"/>
    <n v="21"/>
    <n v="0"/>
    <n v="0"/>
    <n v="60"/>
    <n v="608"/>
    <n v="3"/>
    <n v="8"/>
    <n v="1"/>
    <n v="8"/>
    <n v="6"/>
    <n v="0"/>
    <n v="1"/>
    <n v="0"/>
    <n v="0"/>
    <n v="0"/>
    <n v="0"/>
    <n v="0"/>
  </r>
  <r>
    <d v="2014-05-02T00:00:00"/>
    <n v="3091"/>
    <n v="1981"/>
    <x v="6"/>
    <s v="2n Cycle"/>
    <s v="Together"/>
    <n v="75774"/>
    <n v="1"/>
    <n v="27"/>
    <n v="340"/>
    <n v="21"/>
    <n v="134"/>
    <n v="258"/>
    <n v="14"/>
    <n v="56"/>
    <n v="823"/>
    <n v="1"/>
    <n v="7"/>
    <n v="5"/>
    <n v="8"/>
    <n v="4"/>
    <n v="0"/>
    <n v="0"/>
    <n v="0"/>
    <n v="0"/>
    <n v="0"/>
    <n v="0"/>
    <n v="0"/>
  </r>
  <r>
    <d v="2014-05-02T00:00:00"/>
    <n v="762"/>
    <n v="1981"/>
    <x v="0"/>
    <s v="2n Cycle"/>
    <s v="Together"/>
    <n v="75774"/>
    <n v="1"/>
    <n v="27"/>
    <n v="340"/>
    <n v="21"/>
    <n v="134"/>
    <n v="258"/>
    <n v="14"/>
    <n v="56"/>
    <n v="823"/>
    <n v="1"/>
    <n v="7"/>
    <n v="5"/>
    <n v="8"/>
    <n v="4"/>
    <n v="0"/>
    <n v="0"/>
    <n v="0"/>
    <n v="0"/>
    <n v="0"/>
    <n v="0"/>
    <n v="0"/>
  </r>
  <r>
    <d v="2014-04-29T00:00:00"/>
    <n v="8029"/>
    <n v="1988"/>
    <x v="2"/>
    <s v="Master"/>
    <s v="Single"/>
    <n v="90247"/>
    <n v="0"/>
    <n v="27"/>
    <n v="1184"/>
    <n v="32"/>
    <n v="352"/>
    <n v="21"/>
    <n v="16"/>
    <n v="16"/>
    <n v="1621"/>
    <n v="1"/>
    <n v="3"/>
    <n v="4"/>
    <n v="7"/>
    <n v="1"/>
    <n v="0"/>
    <n v="1"/>
    <n v="1"/>
    <n v="1"/>
    <n v="0"/>
    <n v="1"/>
    <n v="0"/>
  </r>
  <r>
    <d v="2014-02-15T00:00:00"/>
    <n v="4376"/>
    <n v="1960"/>
    <x v="0"/>
    <s v="2n Cycle"/>
    <s v="Single"/>
    <n v="32218"/>
    <n v="0"/>
    <n v="27"/>
    <n v="10"/>
    <n v="24"/>
    <n v="15"/>
    <n v="13"/>
    <n v="1"/>
    <n v="30"/>
    <n v="93"/>
    <n v="1"/>
    <n v="2"/>
    <n v="1"/>
    <n v="3"/>
    <n v="7"/>
    <n v="1"/>
    <n v="0"/>
    <n v="0"/>
    <n v="0"/>
    <n v="0"/>
    <n v="1"/>
    <n v="0"/>
  </r>
  <r>
    <d v="2014-02-02T00:00:00"/>
    <n v="10981"/>
    <n v="1988"/>
    <x v="6"/>
    <s v="Graduation"/>
    <s v="Married"/>
    <n v="84219"/>
    <n v="0"/>
    <n v="27"/>
    <n v="434"/>
    <n v="137"/>
    <n v="400"/>
    <n v="45"/>
    <n v="137"/>
    <n v="45"/>
    <n v="1198"/>
    <n v="1"/>
    <n v="3"/>
    <n v="4"/>
    <n v="10"/>
    <n v="1"/>
    <n v="0"/>
    <n v="0"/>
    <n v="0"/>
    <n v="0"/>
    <n v="0"/>
    <n v="0"/>
    <n v="0"/>
  </r>
  <r>
    <d v="2014-02-02T00:00:00"/>
    <n v="486"/>
    <n v="1988"/>
    <x v="1"/>
    <s v="Graduation"/>
    <s v="Married"/>
    <n v="84219"/>
    <n v="0"/>
    <n v="27"/>
    <n v="434"/>
    <n v="137"/>
    <n v="400"/>
    <n v="45"/>
    <n v="137"/>
    <n v="45"/>
    <n v="1198"/>
    <n v="1"/>
    <n v="3"/>
    <n v="4"/>
    <n v="10"/>
    <n v="1"/>
    <n v="0"/>
    <n v="0"/>
    <n v="0"/>
    <n v="0"/>
    <n v="0"/>
    <n v="0"/>
    <n v="0"/>
  </r>
  <r>
    <d v="2014-01-05T00:00:00"/>
    <n v="1158"/>
    <n v="1966"/>
    <x v="0"/>
    <s v="Graduation"/>
    <s v="Divorced"/>
    <n v="48877"/>
    <n v="1"/>
    <n v="27"/>
    <n v="102"/>
    <n v="1"/>
    <n v="15"/>
    <n v="2"/>
    <n v="0"/>
    <n v="24"/>
    <n v="144"/>
    <n v="1"/>
    <n v="3"/>
    <n v="0"/>
    <n v="4"/>
    <n v="7"/>
    <n v="0"/>
    <n v="0"/>
    <n v="0"/>
    <n v="0"/>
    <n v="0"/>
    <n v="0"/>
    <n v="0"/>
  </r>
  <r>
    <d v="2013-12-05T00:00:00"/>
    <n v="9119"/>
    <n v="1950"/>
    <x v="2"/>
    <s v="Graduation"/>
    <s v="Together"/>
    <n v="60905"/>
    <n v="1"/>
    <n v="27"/>
    <n v="208"/>
    <n v="17"/>
    <n v="76"/>
    <n v="36"/>
    <n v="17"/>
    <n v="38"/>
    <n v="392"/>
    <n v="2"/>
    <n v="3"/>
    <n v="3"/>
    <n v="7"/>
    <n v="2"/>
    <n v="0"/>
    <n v="0"/>
    <n v="0"/>
    <n v="0"/>
    <n v="0"/>
    <n v="0"/>
    <n v="0"/>
  </r>
  <r>
    <d v="2013-11-25T00:00:00"/>
    <n v="6694"/>
    <n v="1964"/>
    <x v="0"/>
    <s v="Graduation"/>
    <s v="Married"/>
    <n v="75236"/>
    <n v="1"/>
    <n v="27"/>
    <n v="438"/>
    <n v="66"/>
    <n v="400"/>
    <n v="12"/>
    <n v="38"/>
    <n v="114"/>
    <n v="1068"/>
    <n v="1"/>
    <n v="8"/>
    <n v="3"/>
    <n v="13"/>
    <n v="4"/>
    <n v="0"/>
    <n v="0"/>
    <n v="0"/>
    <n v="0"/>
    <n v="0"/>
    <n v="0"/>
    <n v="0"/>
  </r>
  <r>
    <d v="2013-11-18T00:00:00"/>
    <n v="10573"/>
    <n v="1953"/>
    <x v="5"/>
    <s v="Graduation"/>
    <s v="Divorced"/>
    <n v="62551"/>
    <n v="0"/>
    <n v="27"/>
    <n v="125"/>
    <n v="16"/>
    <n v="98"/>
    <n v="134"/>
    <n v="21"/>
    <n v="27"/>
    <n v="421"/>
    <n v="1"/>
    <n v="6"/>
    <n v="7"/>
    <n v="4"/>
    <n v="3"/>
    <n v="1"/>
    <n v="0"/>
    <n v="0"/>
    <n v="0"/>
    <n v="0"/>
    <n v="0"/>
    <n v="0"/>
  </r>
  <r>
    <d v="2013-09-28T00:00:00"/>
    <n v="10140"/>
    <n v="1983"/>
    <x v="5"/>
    <s v="PhD"/>
    <s v="Together"/>
    <n v="70123"/>
    <n v="0"/>
    <n v="27"/>
    <n v="1308"/>
    <n v="0"/>
    <n v="396"/>
    <n v="23"/>
    <n v="0"/>
    <n v="0"/>
    <n v="1727"/>
    <n v="1"/>
    <n v="5"/>
    <n v="7"/>
    <n v="4"/>
    <n v="3"/>
    <n v="0"/>
    <n v="1"/>
    <n v="0"/>
    <n v="0"/>
    <n v="1"/>
    <n v="0"/>
    <n v="0"/>
  </r>
  <r>
    <d v="2013-09-10T00:00:00"/>
    <n v="2286"/>
    <n v="1962"/>
    <x v="1"/>
    <s v="Graduation"/>
    <s v="Single"/>
    <n v="50785"/>
    <n v="2"/>
    <n v="27"/>
    <n v="64"/>
    <n v="1"/>
    <n v="21"/>
    <n v="0"/>
    <n v="1"/>
    <n v="27"/>
    <n v="114"/>
    <n v="2"/>
    <n v="2"/>
    <n v="1"/>
    <n v="3"/>
    <n v="6"/>
    <n v="0"/>
    <n v="0"/>
    <n v="0"/>
    <n v="0"/>
    <n v="0"/>
    <n v="0"/>
    <n v="0"/>
  </r>
  <r>
    <d v="2013-08-03T00:00:00"/>
    <n v="8420"/>
    <n v="1970"/>
    <x v="0"/>
    <s v="2n Cycle"/>
    <s v="Married"/>
    <n v="15315"/>
    <n v="0"/>
    <n v="27"/>
    <n v="7"/>
    <n v="4"/>
    <n v="13"/>
    <n v="15"/>
    <n v="8"/>
    <n v="17"/>
    <n v="64"/>
    <n v="2"/>
    <n v="2"/>
    <n v="0"/>
    <n v="4"/>
    <n v="5"/>
    <n v="0"/>
    <n v="0"/>
    <n v="0"/>
    <n v="0"/>
    <n v="0"/>
    <n v="0"/>
    <n v="0"/>
  </r>
  <r>
    <d v="2013-08-03T00:00:00"/>
    <n v="10065"/>
    <n v="1970"/>
    <x v="0"/>
    <s v="2n Cycle"/>
    <s v="Married"/>
    <n v="15315"/>
    <n v="0"/>
    <n v="27"/>
    <n v="7"/>
    <n v="4"/>
    <n v="13"/>
    <n v="15"/>
    <n v="8"/>
    <n v="17"/>
    <n v="64"/>
    <n v="2"/>
    <n v="2"/>
    <n v="0"/>
    <n v="4"/>
    <n v="5"/>
    <n v="0"/>
    <n v="0"/>
    <n v="0"/>
    <n v="0"/>
    <n v="0"/>
    <n v="0"/>
    <n v="0"/>
  </r>
  <r>
    <d v="2013-08-01T00:00:00"/>
    <n v="1029"/>
    <n v="1970"/>
    <x v="0"/>
    <s v="PhD"/>
    <s v="Together"/>
    <n v="64413"/>
    <n v="1"/>
    <n v="27"/>
    <n v="200"/>
    <n v="5"/>
    <n v="44"/>
    <n v="0"/>
    <n v="10"/>
    <n v="20"/>
    <n v="279"/>
    <n v="1"/>
    <n v="5"/>
    <n v="1"/>
    <n v="5"/>
    <n v="5"/>
    <n v="0"/>
    <n v="0"/>
    <n v="0"/>
    <n v="0"/>
    <n v="0"/>
    <n v="0"/>
    <n v="0"/>
  </r>
  <r>
    <d v="2013-05-01T00:00:00"/>
    <n v="4207"/>
    <n v="1981"/>
    <x v="0"/>
    <s v="PhD"/>
    <s v="Married"/>
    <n v="87171"/>
    <n v="0"/>
    <n v="27"/>
    <n v="1001"/>
    <n v="44"/>
    <n v="107"/>
    <n v="58"/>
    <n v="44"/>
    <n v="44"/>
    <n v="1298"/>
    <n v="1"/>
    <n v="6"/>
    <n v="7"/>
    <n v="11"/>
    <n v="2"/>
    <n v="1"/>
    <n v="0"/>
    <n v="1"/>
    <n v="0"/>
    <n v="0"/>
    <n v="0"/>
    <n v="0"/>
  </r>
  <r>
    <d v="2013-02-21T00:00:00"/>
    <n v="10277"/>
    <n v="1961"/>
    <x v="0"/>
    <s v="Graduation"/>
    <s v="Single"/>
    <n v="30081"/>
    <n v="1"/>
    <n v="27"/>
    <n v="36"/>
    <n v="0"/>
    <n v="2"/>
    <n v="0"/>
    <n v="0"/>
    <n v="4"/>
    <n v="42"/>
    <n v="1"/>
    <n v="1"/>
    <n v="0"/>
    <n v="3"/>
    <n v="7"/>
    <n v="0"/>
    <n v="0"/>
    <n v="0"/>
    <n v="0"/>
    <n v="0"/>
    <n v="0"/>
    <n v="0"/>
  </r>
  <r>
    <d v="2013-02-20T00:00:00"/>
    <n v="4436"/>
    <n v="1976"/>
    <x v="0"/>
    <s v="Graduation"/>
    <s v="Single"/>
    <n v="20180"/>
    <n v="0"/>
    <n v="27"/>
    <n v="18"/>
    <n v="42"/>
    <n v="24"/>
    <n v="15"/>
    <n v="20"/>
    <n v="18"/>
    <n v="137"/>
    <n v="1"/>
    <n v="2"/>
    <n v="1"/>
    <n v="4"/>
    <n v="7"/>
    <n v="0"/>
    <n v="0"/>
    <n v="0"/>
    <n v="0"/>
    <n v="0"/>
    <n v="0"/>
    <n v="0"/>
  </r>
  <r>
    <d v="2013-02-20T00:00:00"/>
    <n v="2929"/>
    <n v="1976"/>
    <x v="0"/>
    <s v="Graduation"/>
    <s v="Single"/>
    <n v="20180"/>
    <n v="0"/>
    <n v="27"/>
    <n v="18"/>
    <n v="42"/>
    <n v="24"/>
    <n v="15"/>
    <n v="20"/>
    <n v="18"/>
    <n v="137"/>
    <n v="1"/>
    <n v="2"/>
    <n v="1"/>
    <n v="4"/>
    <n v="7"/>
    <n v="0"/>
    <n v="0"/>
    <n v="0"/>
    <n v="0"/>
    <n v="0"/>
    <n v="0"/>
    <n v="0"/>
  </r>
  <r>
    <d v="2013-02-14T00:00:00"/>
    <n v="6281"/>
    <n v="1966"/>
    <x v="0"/>
    <s v="Graduation"/>
    <s v="Divorced"/>
    <n v="55686"/>
    <n v="1"/>
    <n v="27"/>
    <n v="673"/>
    <n v="0"/>
    <n v="199"/>
    <n v="37"/>
    <n v="47"/>
    <n v="26"/>
    <n v="982"/>
    <n v="2"/>
    <n v="6"/>
    <n v="3"/>
    <n v="5"/>
    <n v="4"/>
    <n v="1"/>
    <n v="0"/>
    <n v="0"/>
    <n v="0"/>
    <n v="0"/>
    <n v="0"/>
    <n v="0"/>
  </r>
  <r>
    <d v="2013-02-10T00:00:00"/>
    <n v="10390"/>
    <n v="1959"/>
    <x v="0"/>
    <s v="2n Cycle"/>
    <s v="Married"/>
    <n v="26887"/>
    <n v="1"/>
    <n v="27"/>
    <n v="6"/>
    <n v="7"/>
    <n v="4"/>
    <n v="3"/>
    <n v="4"/>
    <n v="6"/>
    <n v="30"/>
    <n v="1"/>
    <n v="1"/>
    <n v="0"/>
    <n v="3"/>
    <n v="6"/>
    <n v="0"/>
    <n v="0"/>
    <n v="0"/>
    <n v="0"/>
    <n v="0"/>
    <n v="0"/>
    <n v="0"/>
  </r>
  <r>
    <d v="2013-01-31T00:00:00"/>
    <n v="2574"/>
    <n v="1977"/>
    <x v="0"/>
    <s v="PhD"/>
    <s v="Married"/>
    <n v="61996"/>
    <n v="1"/>
    <n v="27"/>
    <n v="1050"/>
    <n v="12"/>
    <n v="144"/>
    <n v="0"/>
    <n v="0"/>
    <n v="24"/>
    <n v="1230"/>
    <n v="3"/>
    <n v="6"/>
    <n v="4"/>
    <n v="8"/>
    <n v="5"/>
    <n v="0"/>
    <n v="1"/>
    <n v="0"/>
    <n v="1"/>
    <n v="1"/>
    <n v="1"/>
    <n v="0"/>
  </r>
  <r>
    <d v="2012-12-09T00:00:00"/>
    <n v="709"/>
    <n v="1952"/>
    <x v="6"/>
    <s v="Graduation"/>
    <s v="Divorced"/>
    <n v="51537"/>
    <n v="1"/>
    <n v="27"/>
    <n v="787"/>
    <n v="20"/>
    <n v="204"/>
    <n v="0"/>
    <n v="0"/>
    <n v="92"/>
    <n v="1103"/>
    <n v="3"/>
    <n v="2"/>
    <n v="2"/>
    <n v="11"/>
    <n v="8"/>
    <n v="0"/>
    <n v="0"/>
    <n v="0"/>
    <n v="0"/>
    <n v="0"/>
    <n v="0"/>
    <n v="0"/>
  </r>
  <r>
    <d v="2012-11-17T00:00:00"/>
    <n v="5955"/>
    <n v="1962"/>
    <x v="0"/>
    <s v="Graduation"/>
    <s v="Together"/>
    <n v="72025"/>
    <n v="0"/>
    <n v="27"/>
    <n v="833"/>
    <n v="33"/>
    <n v="549"/>
    <n v="151"/>
    <n v="133"/>
    <n v="233"/>
    <n v="1932"/>
    <n v="1"/>
    <n v="4"/>
    <n v="3"/>
    <n v="8"/>
    <n v="3"/>
    <n v="0"/>
    <n v="0"/>
    <n v="0"/>
    <n v="0"/>
    <n v="0"/>
    <n v="0"/>
    <n v="0"/>
  </r>
  <r>
    <d v="2012-10-01T00:00:00"/>
    <n v="8486"/>
    <n v="1971"/>
    <x v="0"/>
    <s v="Master"/>
    <s v="Together"/>
    <n v="30538"/>
    <n v="1"/>
    <n v="27"/>
    <n v="284"/>
    <n v="0"/>
    <n v="52"/>
    <n v="8"/>
    <n v="3"/>
    <n v="20"/>
    <n v="367"/>
    <n v="4"/>
    <n v="9"/>
    <n v="0"/>
    <n v="4"/>
    <n v="10"/>
    <n v="0"/>
    <n v="0"/>
    <n v="0"/>
    <n v="0"/>
    <n v="0"/>
    <n v="0"/>
    <n v="0"/>
  </r>
  <r>
    <d v="2012-09-29T00:00:00"/>
    <n v="10343"/>
    <n v="1991"/>
    <x v="5"/>
    <s v="2n Cycle"/>
    <s v="Single"/>
    <n v="61618"/>
    <n v="0"/>
    <n v="27"/>
    <n v="605"/>
    <n v="91"/>
    <n v="399"/>
    <n v="0"/>
    <n v="45"/>
    <n v="205"/>
    <n v="1345"/>
    <n v="2"/>
    <n v="3"/>
    <n v="6"/>
    <n v="8"/>
    <n v="3"/>
    <n v="0"/>
    <n v="0"/>
    <n v="0"/>
    <n v="0"/>
    <n v="0"/>
    <n v="0"/>
    <n v="0"/>
  </r>
  <r>
    <d v="2014-06-09T00:00:00"/>
    <n v="6652"/>
    <n v="1965"/>
    <x v="1"/>
    <s v="Graduation"/>
    <s v="Married"/>
    <n v="77343"/>
    <n v="0"/>
    <n v="28"/>
    <n v="227"/>
    <n v="151"/>
    <n v="573"/>
    <n v="98"/>
    <n v="54"/>
    <n v="31"/>
    <n v="1134"/>
    <n v="1"/>
    <n v="3"/>
    <n v="4"/>
    <n v="9"/>
    <n v="1"/>
    <n v="0"/>
    <n v="0"/>
    <n v="0"/>
    <n v="0"/>
    <n v="0"/>
    <n v="0"/>
    <n v="0"/>
  </r>
  <r>
    <d v="2014-04-05T00:00:00"/>
    <n v="8746"/>
    <n v="1989"/>
    <x v="0"/>
    <s v="Graduation"/>
    <s v="Married"/>
    <n v="75433"/>
    <n v="1"/>
    <n v="28"/>
    <n v="800"/>
    <n v="0"/>
    <n v="297"/>
    <n v="0"/>
    <n v="34"/>
    <n v="57"/>
    <n v="1188"/>
    <n v="2"/>
    <n v="2"/>
    <n v="5"/>
    <n v="10"/>
    <n v="6"/>
    <n v="0"/>
    <n v="1"/>
    <n v="0"/>
    <n v="1"/>
    <n v="0"/>
    <n v="0"/>
    <n v="0"/>
  </r>
  <r>
    <d v="2014-04-02T00:00:00"/>
    <n v="4686"/>
    <n v="1962"/>
    <x v="0"/>
    <s v="PhD"/>
    <s v="Widow"/>
    <n v="82571"/>
    <n v="0"/>
    <n v="28"/>
    <n v="861"/>
    <n v="31"/>
    <n v="558"/>
    <n v="62"/>
    <n v="95"/>
    <n v="79"/>
    <n v="1686"/>
    <n v="0"/>
    <n v="6"/>
    <n v="5"/>
    <n v="13"/>
    <n v="2"/>
    <n v="0"/>
    <n v="0"/>
    <n v="1"/>
    <n v="0"/>
    <n v="0"/>
    <n v="0"/>
    <n v="0"/>
  </r>
  <r>
    <d v="2014-03-29T00:00:00"/>
    <n v="3551"/>
    <n v="1954"/>
    <x v="0"/>
    <s v="Master"/>
    <s v="Together"/>
    <n v="60033"/>
    <n v="1"/>
    <n v="28"/>
    <n v="62"/>
    <n v="1"/>
    <n v="57"/>
    <n v="19"/>
    <n v="11"/>
    <n v="48"/>
    <n v="198"/>
    <n v="2"/>
    <n v="2"/>
    <n v="1"/>
    <n v="5"/>
    <n v="2"/>
    <n v="0"/>
    <n v="0"/>
    <n v="0"/>
    <n v="0"/>
    <n v="0"/>
    <n v="0"/>
    <n v="0"/>
  </r>
  <r>
    <d v="2014-03-25T00:00:00"/>
    <n v="4338"/>
    <n v="1983"/>
    <x v="0"/>
    <s v="Graduation"/>
    <s v="Single"/>
    <n v="39062"/>
    <n v="1"/>
    <n v="28"/>
    <n v="23"/>
    <n v="0"/>
    <n v="9"/>
    <n v="0"/>
    <n v="0"/>
    <n v="12"/>
    <n v="44"/>
    <n v="1"/>
    <n v="1"/>
    <n v="0"/>
    <n v="3"/>
    <n v="4"/>
    <n v="1"/>
    <n v="0"/>
    <n v="0"/>
    <n v="0"/>
    <n v="0"/>
    <n v="0"/>
    <n v="0"/>
  </r>
  <r>
    <d v="2014-03-24T00:00:00"/>
    <n v="4444"/>
    <n v="1972"/>
    <x v="0"/>
    <s v="Graduation"/>
    <s v="Married"/>
    <n v="30023"/>
    <n v="1"/>
    <n v="28"/>
    <n v="11"/>
    <n v="0"/>
    <n v="16"/>
    <n v="7"/>
    <n v="6"/>
    <n v="21"/>
    <n v="61"/>
    <n v="1"/>
    <n v="2"/>
    <n v="0"/>
    <n v="3"/>
    <n v="8"/>
    <n v="0"/>
    <n v="0"/>
    <n v="0"/>
    <n v="0"/>
    <n v="0"/>
    <n v="0"/>
    <n v="0"/>
  </r>
  <r>
    <d v="2014-02-02T00:00:00"/>
    <n v="498"/>
    <n v="1970"/>
    <x v="0"/>
    <s v="Graduation"/>
    <s v="Single"/>
    <n v="30015"/>
    <n v="1"/>
    <n v="28"/>
    <n v="25"/>
    <n v="0"/>
    <n v="22"/>
    <n v="2"/>
    <n v="3"/>
    <n v="5"/>
    <n v="57"/>
    <n v="2"/>
    <n v="1"/>
    <n v="0"/>
    <n v="4"/>
    <n v="5"/>
    <n v="0"/>
    <n v="0"/>
    <n v="0"/>
    <n v="0"/>
    <n v="0"/>
    <n v="0"/>
    <n v="0"/>
  </r>
  <r>
    <d v="2014-01-23T00:00:00"/>
    <n v="8230"/>
    <n v="1980"/>
    <x v="0"/>
    <s v="Graduation"/>
    <s v="Married"/>
    <n v="33228"/>
    <n v="1"/>
    <n v="28"/>
    <n v="22"/>
    <n v="2"/>
    <n v="31"/>
    <n v="7"/>
    <n v="4"/>
    <n v="5"/>
    <n v="71"/>
    <n v="1"/>
    <n v="2"/>
    <n v="0"/>
    <n v="3"/>
    <n v="7"/>
    <n v="0"/>
    <n v="0"/>
    <n v="0"/>
    <n v="0"/>
    <n v="0"/>
    <n v="0"/>
    <n v="0"/>
  </r>
  <r>
    <d v="2013-10-28T00:00:00"/>
    <n v="2826"/>
    <n v="1967"/>
    <x v="0"/>
    <s v="Graduation"/>
    <s v="Married"/>
    <n v="22574"/>
    <n v="3"/>
    <n v="28"/>
    <n v="25"/>
    <n v="0"/>
    <n v="8"/>
    <n v="2"/>
    <n v="0"/>
    <n v="2"/>
    <n v="37"/>
    <n v="2"/>
    <n v="2"/>
    <n v="0"/>
    <n v="3"/>
    <n v="7"/>
    <n v="0"/>
    <n v="0"/>
    <n v="0"/>
    <n v="0"/>
    <n v="0"/>
    <n v="0"/>
    <n v="0"/>
  </r>
  <r>
    <d v="2013-10-28T00:00:00"/>
    <n v="6222"/>
    <n v="1967"/>
    <x v="0"/>
    <s v="Graduation"/>
    <s v="Married"/>
    <n v="22574"/>
    <n v="3"/>
    <n v="28"/>
    <n v="25"/>
    <n v="0"/>
    <n v="8"/>
    <n v="2"/>
    <n v="0"/>
    <n v="2"/>
    <n v="37"/>
    <n v="2"/>
    <n v="2"/>
    <n v="0"/>
    <n v="3"/>
    <n v="7"/>
    <n v="0"/>
    <n v="0"/>
    <n v="0"/>
    <n v="0"/>
    <n v="0"/>
    <n v="0"/>
    <n v="0"/>
  </r>
  <r>
    <d v="2013-10-21T00:00:00"/>
    <n v="7352"/>
    <n v="1957"/>
    <x v="1"/>
    <s v="Graduation"/>
    <s v="Married"/>
    <n v="55267"/>
    <n v="1"/>
    <n v="28"/>
    <n v="161"/>
    <n v="28"/>
    <n v="136"/>
    <n v="32"/>
    <n v="3"/>
    <n v="45"/>
    <n v="405"/>
    <n v="4"/>
    <n v="3"/>
    <n v="4"/>
    <n v="6"/>
    <n v="3"/>
    <n v="0"/>
    <n v="0"/>
    <n v="0"/>
    <n v="0"/>
    <n v="0"/>
    <n v="0"/>
    <n v="0"/>
  </r>
  <r>
    <d v="2013-09-16T00:00:00"/>
    <n v="10928"/>
    <n v="1958"/>
    <x v="0"/>
    <s v="Graduation"/>
    <s v="Together"/>
    <n v="66886"/>
    <n v="1"/>
    <n v="28"/>
    <n v="315"/>
    <n v="4"/>
    <n v="62"/>
    <n v="41"/>
    <n v="31"/>
    <n v="146"/>
    <n v="599"/>
    <n v="2"/>
    <n v="7"/>
    <n v="1"/>
    <n v="7"/>
    <n v="5"/>
    <n v="0"/>
    <n v="0"/>
    <n v="0"/>
    <n v="0"/>
    <n v="0"/>
    <n v="0"/>
    <n v="0"/>
  </r>
  <r>
    <d v="2013-09-12T00:00:00"/>
    <n v="10736"/>
    <n v="1971"/>
    <x v="1"/>
    <s v="Graduation"/>
    <s v="Single"/>
    <n v="72258"/>
    <n v="1"/>
    <n v="28"/>
    <n v="522"/>
    <n v="0"/>
    <n v="522"/>
    <n v="227"/>
    <n v="120"/>
    <n v="134"/>
    <n v="1525"/>
    <n v="2"/>
    <n v="6"/>
    <n v="9"/>
    <n v="5"/>
    <n v="2"/>
    <n v="0"/>
    <n v="0"/>
    <n v="0"/>
    <n v="0"/>
    <n v="0"/>
    <n v="0"/>
    <n v="0"/>
  </r>
  <r>
    <d v="2013-09-10T00:00:00"/>
    <n v="10163"/>
    <n v="1984"/>
    <x v="0"/>
    <s v="PhD"/>
    <s v="Single"/>
    <n v="82733"/>
    <n v="0"/>
    <n v="28"/>
    <n v="712"/>
    <n v="50"/>
    <n v="420"/>
    <n v="65"/>
    <n v="38"/>
    <n v="38"/>
    <n v="1323"/>
    <n v="1"/>
    <n v="8"/>
    <n v="4"/>
    <n v="7"/>
    <n v="4"/>
    <n v="0"/>
    <n v="0"/>
    <n v="0"/>
    <n v="0"/>
    <n v="0"/>
    <n v="1"/>
    <n v="0"/>
  </r>
  <r>
    <d v="2013-07-15T00:00:00"/>
    <n v="6168"/>
    <n v="1963"/>
    <x v="5"/>
    <s v="Graduation"/>
    <s v="Divorced"/>
    <n v="45146"/>
    <n v="2"/>
    <n v="28"/>
    <n v="33"/>
    <n v="0"/>
    <n v="5"/>
    <n v="0"/>
    <n v="0"/>
    <n v="15"/>
    <n v="53"/>
    <n v="2"/>
    <n v="1"/>
    <n v="1"/>
    <n v="2"/>
    <n v="4"/>
    <n v="0"/>
    <n v="0"/>
    <n v="0"/>
    <n v="0"/>
    <n v="0"/>
    <n v="0"/>
    <n v="0"/>
  </r>
  <r>
    <d v="2013-03-30T00:00:00"/>
    <n v="4656"/>
    <n v="1990"/>
    <x v="6"/>
    <s v="2n Cycle"/>
    <s v="Single"/>
    <n v="51250"/>
    <n v="1"/>
    <n v="28"/>
    <n v="342"/>
    <n v="32"/>
    <n v="230"/>
    <n v="34"/>
    <n v="32"/>
    <n v="40"/>
    <n v="710"/>
    <n v="5"/>
    <n v="10"/>
    <n v="5"/>
    <n v="4"/>
    <n v="9"/>
    <n v="1"/>
    <n v="0"/>
    <n v="0"/>
    <n v="0"/>
    <n v="0"/>
    <n v="0"/>
    <n v="0"/>
  </r>
  <r>
    <d v="2013-03-09T00:00:00"/>
    <n v="626"/>
    <n v="1951"/>
    <x v="2"/>
    <s v="Graduation"/>
    <s v="Married"/>
    <n v="32871"/>
    <n v="2"/>
    <n v="28"/>
    <n v="22"/>
    <n v="2"/>
    <n v="12"/>
    <n v="0"/>
    <n v="2"/>
    <n v="5"/>
    <n v="43"/>
    <n v="1"/>
    <n v="1"/>
    <n v="0"/>
    <n v="3"/>
    <n v="4"/>
    <n v="0"/>
    <n v="0"/>
    <n v="0"/>
    <n v="0"/>
    <n v="0"/>
    <n v="0"/>
    <n v="0"/>
  </r>
  <r>
    <d v="2013-02-09T00:00:00"/>
    <n v="3870"/>
    <n v="1978"/>
    <x v="4"/>
    <s v="2n Cycle"/>
    <s v="Together"/>
    <n v="63855"/>
    <n v="0"/>
    <n v="28"/>
    <n v="359"/>
    <n v="35"/>
    <n v="314"/>
    <n v="93"/>
    <n v="116"/>
    <n v="89"/>
    <n v="1006"/>
    <n v="1"/>
    <n v="7"/>
    <n v="3"/>
    <n v="13"/>
    <n v="4"/>
    <n v="0"/>
    <n v="0"/>
    <n v="0"/>
    <n v="0"/>
    <n v="0"/>
    <n v="0"/>
    <n v="0"/>
  </r>
  <r>
    <d v="2013-01-02T00:00:00"/>
    <n v="6299"/>
    <n v="1968"/>
    <x v="1"/>
    <s v="PhD"/>
    <s v="Divorced"/>
    <n v="42564"/>
    <n v="1"/>
    <n v="28"/>
    <n v="324"/>
    <n v="48"/>
    <n v="186"/>
    <n v="39"/>
    <n v="18"/>
    <n v="198"/>
    <n v="813"/>
    <n v="6"/>
    <n v="6"/>
    <n v="8"/>
    <n v="4"/>
    <n v="7"/>
    <n v="1"/>
    <n v="0"/>
    <n v="0"/>
    <n v="0"/>
    <n v="0"/>
    <n v="1"/>
    <n v="0"/>
  </r>
  <r>
    <d v="2012-12-14T00:00:00"/>
    <n v="7798"/>
    <n v="1972"/>
    <x v="1"/>
    <s v="2n Cycle"/>
    <s v="Together"/>
    <n v="46344"/>
    <n v="1"/>
    <n v="28"/>
    <n v="233"/>
    <n v="20"/>
    <n v="57"/>
    <n v="8"/>
    <n v="20"/>
    <n v="91"/>
    <n v="429"/>
    <n v="4"/>
    <n v="7"/>
    <n v="1"/>
    <n v="5"/>
    <n v="7"/>
    <n v="0"/>
    <n v="0"/>
    <n v="0"/>
    <n v="0"/>
    <n v="0"/>
    <n v="0"/>
    <n v="0"/>
  </r>
  <r>
    <d v="2012-10-17T00:00:00"/>
    <n v="9973"/>
    <n v="1963"/>
    <x v="0"/>
    <s v="Graduation"/>
    <s v="Married"/>
    <n v="50437"/>
    <n v="2"/>
    <n v="28"/>
    <n v="370"/>
    <n v="9"/>
    <n v="92"/>
    <n v="6"/>
    <n v="9"/>
    <n v="4"/>
    <n v="490"/>
    <n v="3"/>
    <n v="7"/>
    <n v="1"/>
    <n v="8"/>
    <n v="7"/>
    <n v="0"/>
    <n v="0"/>
    <n v="0"/>
    <n v="0"/>
    <n v="0"/>
    <n v="0"/>
    <n v="0"/>
  </r>
  <r>
    <d v="2012-09-21T00:00:00"/>
    <n v="4299"/>
    <n v="1960"/>
    <x v="0"/>
    <s v="Graduation"/>
    <s v="Together"/>
    <n v="70971"/>
    <n v="1"/>
    <n v="28"/>
    <n v="1001"/>
    <n v="17"/>
    <n v="572"/>
    <n v="93"/>
    <n v="125"/>
    <n v="17"/>
    <n v="1825"/>
    <n v="7"/>
    <n v="11"/>
    <n v="11"/>
    <n v="5"/>
    <n v="7"/>
    <n v="0"/>
    <n v="0"/>
    <n v="0"/>
    <n v="0"/>
    <n v="0"/>
    <n v="1"/>
    <n v="0"/>
  </r>
  <r>
    <d v="2012-09-03T00:00:00"/>
    <n v="10971"/>
    <n v="1977"/>
    <x v="0"/>
    <s v="Graduation"/>
    <s v="Single"/>
    <n v="37774"/>
    <n v="2"/>
    <n v="28"/>
    <n v="173"/>
    <n v="8"/>
    <n v="107"/>
    <n v="7"/>
    <n v="2"/>
    <n v="176"/>
    <n v="473"/>
    <n v="4"/>
    <n v="7"/>
    <n v="2"/>
    <n v="3"/>
    <n v="9"/>
    <n v="1"/>
    <n v="0"/>
    <n v="0"/>
    <n v="0"/>
    <n v="0"/>
    <n v="1"/>
    <n v="1"/>
  </r>
  <r>
    <d v="2014-06-23T00:00:00"/>
    <n v="9931"/>
    <n v="1963"/>
    <x v="0"/>
    <s v="PhD"/>
    <s v="Married"/>
    <n v="4023"/>
    <n v="2"/>
    <n v="29"/>
    <n v="5"/>
    <n v="0"/>
    <n v="1"/>
    <n v="1"/>
    <n v="1"/>
    <n v="1"/>
    <n v="9"/>
    <n v="15"/>
    <n v="0"/>
    <n v="0"/>
    <n v="0"/>
    <n v="19"/>
    <n v="0"/>
    <n v="0"/>
    <n v="0"/>
    <n v="0"/>
    <n v="0"/>
    <n v="0"/>
    <n v="0"/>
  </r>
  <r>
    <d v="2014-06-12T00:00:00"/>
    <n v="6679"/>
    <n v="1966"/>
    <x v="0"/>
    <s v="Graduation"/>
    <s v="Single"/>
    <n v="33279"/>
    <n v="0"/>
    <n v="29"/>
    <n v="10"/>
    <n v="3"/>
    <n v="3"/>
    <n v="0"/>
    <n v="0"/>
    <n v="0"/>
    <n v="16"/>
    <n v="1"/>
    <n v="0"/>
    <n v="0"/>
    <n v="3"/>
    <n v="3"/>
    <n v="0"/>
    <n v="0"/>
    <n v="0"/>
    <n v="0"/>
    <n v="0"/>
    <n v="0"/>
    <n v="0"/>
  </r>
  <r>
    <d v="2014-06-07T00:00:00"/>
    <n v="5961"/>
    <n v="1978"/>
    <x v="0"/>
    <s v="Graduation"/>
    <s v="Married"/>
    <n v="42693"/>
    <n v="1"/>
    <n v="29"/>
    <n v="8"/>
    <n v="4"/>
    <n v="20"/>
    <n v="6"/>
    <n v="3"/>
    <n v="16"/>
    <n v="57"/>
    <n v="1"/>
    <n v="1"/>
    <n v="0"/>
    <n v="3"/>
    <n v="5"/>
    <n v="0"/>
    <n v="0"/>
    <n v="0"/>
    <n v="0"/>
    <n v="0"/>
    <n v="0"/>
    <n v="0"/>
  </r>
  <r>
    <d v="2014-06-03T00:00:00"/>
    <n v="6255"/>
    <n v="1952"/>
    <x v="3"/>
    <s v="Master"/>
    <s v="Together"/>
    <n v="70545"/>
    <n v="1"/>
    <n v="29"/>
    <n v="138"/>
    <n v="39"/>
    <n v="63"/>
    <n v="55"/>
    <n v="18"/>
    <n v="21"/>
    <n v="334"/>
    <n v="1"/>
    <n v="4"/>
    <n v="1"/>
    <n v="7"/>
    <n v="2"/>
    <n v="0"/>
    <n v="0"/>
    <n v="0"/>
    <n v="0"/>
    <n v="0"/>
    <n v="0"/>
    <n v="0"/>
  </r>
  <r>
    <d v="2014-05-12T00:00:00"/>
    <n v="8614"/>
    <n v="1957"/>
    <x v="3"/>
    <s v="Graduation"/>
    <s v="Widow"/>
    <n v="65486"/>
    <n v="1"/>
    <n v="29"/>
    <n v="245"/>
    <n v="19"/>
    <n v="125"/>
    <n v="37"/>
    <n v="67"/>
    <n v="14"/>
    <n v="507"/>
    <n v="1"/>
    <n v="4"/>
    <n v="2"/>
    <n v="10"/>
    <n v="2"/>
    <n v="0"/>
    <n v="0"/>
    <n v="0"/>
    <n v="0"/>
    <n v="0"/>
    <n v="0"/>
    <n v="0"/>
  </r>
  <r>
    <d v="2014-04-30T00:00:00"/>
    <n v="7828"/>
    <n v="1981"/>
    <x v="6"/>
    <s v="Master"/>
    <s v="Together"/>
    <n v="77882"/>
    <n v="0"/>
    <n v="29"/>
    <n v="68"/>
    <n v="129"/>
    <n v="396"/>
    <n v="188"/>
    <n v="22"/>
    <n v="15"/>
    <n v="818"/>
    <n v="1"/>
    <n v="3"/>
    <n v="3"/>
    <n v="5"/>
    <n v="1"/>
    <n v="0"/>
    <n v="0"/>
    <n v="0"/>
    <n v="0"/>
    <n v="0"/>
    <n v="0"/>
    <n v="0"/>
  </r>
  <r>
    <d v="2014-04-09T00:00:00"/>
    <n v="1277"/>
    <n v="1960"/>
    <x v="2"/>
    <s v="Graduation"/>
    <s v="Together"/>
    <n v="78468"/>
    <n v="0"/>
    <n v="29"/>
    <n v="434"/>
    <n v="22"/>
    <n v="388"/>
    <n v="104"/>
    <n v="22"/>
    <n v="34"/>
    <n v="1004"/>
    <n v="1"/>
    <n v="10"/>
    <n v="7"/>
    <n v="10"/>
    <n v="4"/>
    <n v="0"/>
    <n v="0"/>
    <n v="0"/>
    <n v="1"/>
    <n v="0"/>
    <n v="0"/>
    <n v="0"/>
  </r>
  <r>
    <d v="2014-02-28T00:00:00"/>
    <n v="3595"/>
    <n v="1963"/>
    <x v="0"/>
    <s v="Graduation"/>
    <s v="Together"/>
    <n v="77226"/>
    <n v="1"/>
    <n v="29"/>
    <n v="631"/>
    <n v="43"/>
    <n v="239"/>
    <n v="128"/>
    <n v="76"/>
    <n v="21"/>
    <n v="1138"/>
    <n v="2"/>
    <n v="6"/>
    <n v="8"/>
    <n v="12"/>
    <n v="3"/>
    <n v="0"/>
    <n v="0"/>
    <n v="0"/>
    <n v="0"/>
    <n v="0"/>
    <n v="0"/>
    <n v="0"/>
  </r>
  <r>
    <d v="2014-02-13T00:00:00"/>
    <n v="5735"/>
    <n v="1991"/>
    <x v="0"/>
    <s v="Master"/>
    <s v="Single"/>
    <n v="90638"/>
    <n v="0"/>
    <n v="29"/>
    <n v="1156"/>
    <n v="120"/>
    <n v="915"/>
    <n v="94"/>
    <n v="144"/>
    <n v="96"/>
    <n v="2525"/>
    <n v="1"/>
    <n v="3"/>
    <n v="4"/>
    <n v="10"/>
    <n v="1"/>
    <n v="0"/>
    <n v="0"/>
    <n v="1"/>
    <n v="0"/>
    <n v="0"/>
    <n v="0"/>
    <n v="0"/>
  </r>
  <r>
    <d v="2014-02-13T00:00:00"/>
    <n v="5350"/>
    <n v="1991"/>
    <x v="6"/>
    <s v="Master"/>
    <s v="Single"/>
    <n v="90638"/>
    <n v="0"/>
    <n v="29"/>
    <n v="1156"/>
    <n v="120"/>
    <n v="915"/>
    <n v="94"/>
    <n v="144"/>
    <n v="96"/>
    <n v="2525"/>
    <n v="1"/>
    <n v="3"/>
    <n v="4"/>
    <n v="10"/>
    <n v="1"/>
    <n v="0"/>
    <n v="0"/>
    <n v="1"/>
    <n v="0"/>
    <n v="0"/>
    <n v="1"/>
    <n v="0"/>
  </r>
  <r>
    <d v="2013-12-06T00:00:00"/>
    <n v="4137"/>
    <n v="1948"/>
    <x v="3"/>
    <s v="Graduation"/>
    <s v="Together"/>
    <n v="70666"/>
    <n v="0"/>
    <n v="29"/>
    <n v="398"/>
    <n v="40"/>
    <n v="367"/>
    <n v="119"/>
    <n v="122"/>
    <n v="30"/>
    <n v="1076"/>
    <n v="1"/>
    <n v="7"/>
    <n v="4"/>
    <n v="4"/>
    <n v="4"/>
    <n v="0"/>
    <n v="0"/>
    <n v="0"/>
    <n v="0"/>
    <n v="0"/>
    <n v="0"/>
    <n v="0"/>
  </r>
  <r>
    <d v="2013-11-17T00:00:00"/>
    <n v="6357"/>
    <n v="1959"/>
    <x v="6"/>
    <s v="2n Cycle"/>
    <s v="Divorced"/>
    <n v="59052"/>
    <n v="1"/>
    <n v="29"/>
    <n v="230"/>
    <n v="35"/>
    <n v="75"/>
    <n v="63"/>
    <n v="57"/>
    <n v="31"/>
    <n v="491"/>
    <n v="3"/>
    <n v="7"/>
    <n v="1"/>
    <n v="7"/>
    <n v="5"/>
    <n v="0"/>
    <n v="0"/>
    <n v="0"/>
    <n v="0"/>
    <n v="0"/>
    <n v="0"/>
    <n v="0"/>
  </r>
  <r>
    <d v="2013-11-02T00:00:00"/>
    <n v="9316"/>
    <n v="1952"/>
    <x v="2"/>
    <s v="Basic"/>
    <s v="Together"/>
    <n v="13084"/>
    <n v="0"/>
    <n v="29"/>
    <n v="2"/>
    <n v="0"/>
    <n v="7"/>
    <n v="3"/>
    <n v="7"/>
    <n v="10"/>
    <n v="29"/>
    <n v="1"/>
    <n v="1"/>
    <n v="0"/>
    <n v="3"/>
    <n v="6"/>
    <n v="0"/>
    <n v="0"/>
    <n v="0"/>
    <n v="0"/>
    <n v="0"/>
    <n v="0"/>
    <n v="0"/>
  </r>
  <r>
    <d v="2013-10-20T00:00:00"/>
    <n v="3578"/>
    <n v="1949"/>
    <x v="0"/>
    <s v="Graduation"/>
    <s v="Divorced"/>
    <n v="49160"/>
    <n v="1"/>
    <n v="29"/>
    <n v="122"/>
    <n v="21"/>
    <n v="43"/>
    <n v="25"/>
    <n v="10"/>
    <n v="15"/>
    <n v="236"/>
    <n v="2"/>
    <n v="3"/>
    <n v="1"/>
    <n v="6"/>
    <n v="6"/>
    <n v="0"/>
    <n v="0"/>
    <n v="0"/>
    <n v="0"/>
    <n v="0"/>
    <n v="0"/>
    <n v="0"/>
  </r>
  <r>
    <d v="2013-10-17T00:00:00"/>
    <n v="153"/>
    <n v="1953"/>
    <x v="0"/>
    <s v="Graduation"/>
    <s v="Divorced"/>
    <n v="23272"/>
    <n v="0"/>
    <n v="29"/>
    <n v="19"/>
    <n v="3"/>
    <n v="6"/>
    <n v="4"/>
    <n v="2"/>
    <n v="12"/>
    <n v="46"/>
    <n v="1"/>
    <n v="1"/>
    <n v="0"/>
    <n v="3"/>
    <n v="4"/>
    <n v="0"/>
    <n v="0"/>
    <n v="0"/>
    <n v="0"/>
    <n v="0"/>
    <n v="0"/>
    <n v="0"/>
  </r>
  <r>
    <d v="2013-06-20T00:00:00"/>
    <n v="10524"/>
    <n v="1963"/>
    <x v="1"/>
    <s v="Master"/>
    <s v="Divorced"/>
    <n v="49476"/>
    <n v="1"/>
    <n v="29"/>
    <n v="386"/>
    <n v="23"/>
    <n v="95"/>
    <n v="54"/>
    <n v="41"/>
    <n v="196"/>
    <n v="795"/>
    <n v="4"/>
    <n v="2"/>
    <n v="11"/>
    <n v="5"/>
    <n v="2"/>
    <n v="0"/>
    <n v="0"/>
    <n v="0"/>
    <n v="0"/>
    <n v="0"/>
    <n v="0"/>
    <n v="0"/>
  </r>
  <r>
    <d v="2013-06-17T00:00:00"/>
    <n v="1518"/>
    <n v="1965"/>
    <x v="0"/>
    <s v="Master"/>
    <s v="Married"/>
    <n v="62694"/>
    <n v="2"/>
    <n v="29"/>
    <n v="379"/>
    <n v="6"/>
    <n v="157"/>
    <n v="25"/>
    <n v="91"/>
    <n v="91"/>
    <n v="749"/>
    <n v="5"/>
    <n v="9"/>
    <n v="3"/>
    <n v="7"/>
    <n v="7"/>
    <n v="0"/>
    <n v="0"/>
    <n v="0"/>
    <n v="0"/>
    <n v="0"/>
    <n v="0"/>
    <n v="0"/>
  </r>
  <r>
    <d v="2013-06-11T00:00:00"/>
    <n v="2036"/>
    <n v="1973"/>
    <x v="5"/>
    <s v="PhD"/>
    <s v="Together"/>
    <n v="57906"/>
    <n v="1"/>
    <n v="29"/>
    <n v="243"/>
    <n v="11"/>
    <n v="119"/>
    <n v="10"/>
    <n v="3"/>
    <n v="15"/>
    <n v="401"/>
    <n v="3"/>
    <n v="4"/>
    <n v="2"/>
    <n v="8"/>
    <n v="4"/>
    <n v="0"/>
    <n v="0"/>
    <n v="0"/>
    <n v="0"/>
    <n v="0"/>
    <n v="0"/>
    <n v="0"/>
  </r>
  <r>
    <d v="2013-05-08T00:00:00"/>
    <n v="9495"/>
    <n v="1982"/>
    <x v="0"/>
    <s v="Graduation"/>
    <s v="Together"/>
    <n v="71853"/>
    <n v="0"/>
    <n v="29"/>
    <n v="358"/>
    <n v="108"/>
    <n v="413"/>
    <n v="141"/>
    <n v="97"/>
    <n v="32"/>
    <n v="1149"/>
    <n v="1"/>
    <n v="2"/>
    <n v="8"/>
    <n v="6"/>
    <n v="1"/>
    <n v="0"/>
    <n v="0"/>
    <n v="0"/>
    <n v="0"/>
    <n v="0"/>
    <n v="0"/>
    <n v="0"/>
  </r>
  <r>
    <d v="2013-05-08T00:00:00"/>
    <n v="2631"/>
    <n v="1982"/>
    <x v="0"/>
    <s v="Graduation"/>
    <s v="Together"/>
    <n v="71853"/>
    <n v="0"/>
    <n v="29"/>
    <n v="358"/>
    <n v="108"/>
    <n v="413"/>
    <n v="141"/>
    <n v="97"/>
    <n v="32"/>
    <n v="1149"/>
    <n v="1"/>
    <n v="2"/>
    <n v="8"/>
    <n v="6"/>
    <n v="1"/>
    <n v="0"/>
    <n v="0"/>
    <n v="0"/>
    <n v="0"/>
    <n v="0"/>
    <n v="0"/>
    <n v="0"/>
  </r>
  <r>
    <d v="2013-03-17T00:00:00"/>
    <n v="6312"/>
    <n v="1959"/>
    <x v="4"/>
    <s v="Graduation"/>
    <s v="Married"/>
    <n v="65031"/>
    <n v="1"/>
    <n v="29"/>
    <n v="258"/>
    <n v="107"/>
    <n v="291"/>
    <n v="84"/>
    <n v="37"/>
    <n v="86"/>
    <n v="863"/>
    <n v="4"/>
    <n v="10"/>
    <n v="3"/>
    <n v="13"/>
    <n v="7"/>
    <n v="0"/>
    <n v="0"/>
    <n v="0"/>
    <n v="0"/>
    <n v="0"/>
    <n v="0"/>
    <n v="0"/>
  </r>
  <r>
    <d v="2013-03-11T00:00:00"/>
    <n v="615"/>
    <n v="1960"/>
    <x v="0"/>
    <s v="Graduation"/>
    <s v="Together"/>
    <n v="30507"/>
    <n v="0"/>
    <n v="29"/>
    <n v="65"/>
    <n v="36"/>
    <n v="74"/>
    <n v="38"/>
    <n v="20"/>
    <n v="110"/>
    <n v="343"/>
    <n v="1"/>
    <n v="5"/>
    <n v="1"/>
    <n v="4"/>
    <n v="7"/>
    <n v="0"/>
    <n v="0"/>
    <n v="0"/>
    <n v="0"/>
    <n v="0"/>
    <n v="0"/>
    <n v="0"/>
  </r>
  <r>
    <d v="2013-01-16T00:00:00"/>
    <n v="4406"/>
    <n v="1970"/>
    <x v="1"/>
    <s v="Graduation"/>
    <s v="Together"/>
    <n v="67419"/>
    <n v="1"/>
    <n v="29"/>
    <n v="846"/>
    <n v="84"/>
    <n v="352"/>
    <n v="91"/>
    <n v="56"/>
    <n v="42"/>
    <n v="1471"/>
    <n v="4"/>
    <n v="9"/>
    <n v="4"/>
    <n v="8"/>
    <n v="5"/>
    <n v="0"/>
    <n v="0"/>
    <n v="0"/>
    <n v="0"/>
    <n v="0"/>
    <n v="0"/>
    <n v="0"/>
  </r>
  <r>
    <d v="2013-01-05T00:00:00"/>
    <n v="10061"/>
    <n v="1950"/>
    <x v="2"/>
    <s v="Graduation"/>
    <s v="Married"/>
    <n v="59462"/>
    <n v="1"/>
    <n v="29"/>
    <n v="724"/>
    <n v="17"/>
    <n v="143"/>
    <n v="0"/>
    <n v="8"/>
    <n v="196"/>
    <n v="1088"/>
    <n v="2"/>
    <n v="9"/>
    <n v="2"/>
    <n v="12"/>
    <n v="7"/>
    <n v="0"/>
    <n v="0"/>
    <n v="0"/>
    <n v="0"/>
    <n v="0"/>
    <n v="0"/>
    <n v="0"/>
  </r>
  <r>
    <d v="2012-12-03T00:00:00"/>
    <n v="10619"/>
    <n v="1994"/>
    <x v="6"/>
    <s v="Graduation"/>
    <s v="Single"/>
    <n v="95529"/>
    <n v="0"/>
    <n v="29"/>
    <n v="770"/>
    <n v="29"/>
    <n v="890"/>
    <n v="250"/>
    <n v="27"/>
    <n v="24"/>
    <n v="1990"/>
    <n v="1"/>
    <n v="7"/>
    <n v="3"/>
    <n v="7"/>
    <n v="3"/>
    <n v="0"/>
    <n v="0"/>
    <n v="1"/>
    <n v="0"/>
    <n v="0"/>
    <n v="1"/>
    <n v="0"/>
  </r>
  <r>
    <d v="2012-11-07T00:00:00"/>
    <n v="4945"/>
    <n v="1953"/>
    <x v="0"/>
    <s v="Graduation"/>
    <s v="Widow"/>
    <n v="53653"/>
    <n v="0"/>
    <n v="29"/>
    <n v="815"/>
    <n v="10"/>
    <n v="239"/>
    <n v="28"/>
    <n v="10"/>
    <n v="108"/>
    <n v="1210"/>
    <n v="2"/>
    <n v="10"/>
    <n v="4"/>
    <n v="12"/>
    <n v="6"/>
    <n v="0"/>
    <n v="0"/>
    <n v="0"/>
    <n v="0"/>
    <n v="0"/>
    <n v="0"/>
    <n v="0"/>
  </r>
  <r>
    <d v="2012-09-07T00:00:00"/>
    <n v="1777"/>
    <n v="1980"/>
    <x v="0"/>
    <s v="Basic"/>
    <s v="Married"/>
    <n v="25965"/>
    <n v="0"/>
    <n v="29"/>
    <n v="2"/>
    <n v="2"/>
    <n v="11"/>
    <n v="41"/>
    <n v="7"/>
    <n v="11"/>
    <n v="74"/>
    <n v="1"/>
    <n v="2"/>
    <n v="0"/>
    <n v="3"/>
    <n v="8"/>
    <n v="0"/>
    <n v="0"/>
    <n v="0"/>
    <n v="0"/>
    <n v="0"/>
    <n v="0"/>
    <n v="0"/>
  </r>
  <r>
    <d v="2012-09-06T00:00:00"/>
    <n v="4023"/>
    <n v="1970"/>
    <x v="0"/>
    <s v="Graduation"/>
    <s v="Married"/>
    <n v="22979"/>
    <n v="1"/>
    <n v="29"/>
    <n v="16"/>
    <n v="17"/>
    <n v="19"/>
    <n v="20"/>
    <n v="21"/>
    <n v="22"/>
    <n v="115"/>
    <n v="3"/>
    <n v="3"/>
    <n v="2"/>
    <n v="2"/>
    <n v="8"/>
    <n v="0"/>
    <n v="0"/>
    <n v="0"/>
    <n v="0"/>
    <n v="0"/>
    <n v="1"/>
    <n v="0"/>
  </r>
  <r>
    <d v="2012-08-12T00:00:00"/>
    <n v="7922"/>
    <n v="1951"/>
    <x v="6"/>
    <s v="PhD"/>
    <s v="Single"/>
    <n v="64950"/>
    <n v="1"/>
    <n v="29"/>
    <n v="819"/>
    <n v="0"/>
    <n v="72"/>
    <n v="12"/>
    <n v="0"/>
    <n v="63"/>
    <n v="966"/>
    <n v="2"/>
    <n v="11"/>
    <n v="2"/>
    <n v="10"/>
    <n v="7"/>
    <n v="0"/>
    <n v="1"/>
    <n v="0"/>
    <n v="0"/>
    <n v="0"/>
    <n v="0"/>
    <n v="0"/>
  </r>
  <r>
    <d v="2014-06-16T00:00:00"/>
    <n v="10699"/>
    <n v="1985"/>
    <x v="6"/>
    <s v="Graduation"/>
    <s v="Married"/>
    <n v="44322"/>
    <n v="1"/>
    <n v="30"/>
    <n v="46"/>
    <n v="0"/>
    <n v="40"/>
    <n v="3"/>
    <n v="0"/>
    <n v="3"/>
    <n v="92"/>
    <n v="2"/>
    <n v="3"/>
    <n v="0"/>
    <n v="3"/>
    <n v="8"/>
    <n v="0"/>
    <n v="0"/>
    <n v="0"/>
    <n v="0"/>
    <n v="0"/>
    <n v="0"/>
    <n v="0"/>
  </r>
  <r>
    <d v="2014-05-22T00:00:00"/>
    <n v="7516"/>
    <n v="1983"/>
    <x v="4"/>
    <s v="Graduation"/>
    <s v="Married"/>
    <n v="30096"/>
    <n v="1"/>
    <n v="30"/>
    <n v="5"/>
    <n v="3"/>
    <n v="11"/>
    <n v="12"/>
    <n v="5"/>
    <n v="9"/>
    <n v="45"/>
    <n v="1"/>
    <n v="2"/>
    <n v="0"/>
    <n v="3"/>
    <n v="6"/>
    <n v="0"/>
    <n v="0"/>
    <n v="0"/>
    <n v="0"/>
    <n v="0"/>
    <n v="0"/>
    <n v="0"/>
  </r>
  <r>
    <d v="2014-05-22T00:00:00"/>
    <n v="3129"/>
    <n v="1983"/>
    <x v="0"/>
    <s v="Graduation"/>
    <s v="Married"/>
    <n v="30096"/>
    <n v="1"/>
    <n v="30"/>
    <n v="5"/>
    <n v="3"/>
    <n v="11"/>
    <n v="12"/>
    <n v="5"/>
    <n v="9"/>
    <n v="45"/>
    <n v="1"/>
    <n v="2"/>
    <n v="0"/>
    <n v="3"/>
    <n v="6"/>
    <n v="0"/>
    <n v="0"/>
    <n v="0"/>
    <n v="0"/>
    <n v="0"/>
    <n v="0"/>
    <n v="0"/>
  </r>
  <r>
    <d v="2014-03-21T00:00:00"/>
    <n v="5121"/>
    <n v="1977"/>
    <x v="1"/>
    <s v="Graduation"/>
    <s v="Single"/>
    <n v="56628"/>
    <n v="1"/>
    <n v="30"/>
    <n v="479"/>
    <n v="5"/>
    <n v="82"/>
    <n v="7"/>
    <n v="17"/>
    <n v="171"/>
    <n v="761"/>
    <n v="2"/>
    <n v="7"/>
    <n v="6"/>
    <n v="5"/>
    <n v="5"/>
    <n v="1"/>
    <n v="0"/>
    <n v="0"/>
    <n v="0"/>
    <n v="0"/>
    <n v="0"/>
    <n v="0"/>
  </r>
  <r>
    <d v="2014-03-10T00:00:00"/>
    <n v="2186"/>
    <n v="1977"/>
    <x v="0"/>
    <s v="2n Cycle"/>
    <s v="Together"/>
    <n v="82326"/>
    <n v="0"/>
    <n v="30"/>
    <n v="938"/>
    <n v="142"/>
    <n v="754"/>
    <n v="159"/>
    <n v="81"/>
    <n v="183"/>
    <n v="2257"/>
    <n v="1"/>
    <n v="5"/>
    <n v="10"/>
    <n v="6"/>
    <n v="2"/>
    <n v="0"/>
    <n v="1"/>
    <n v="1"/>
    <n v="1"/>
    <n v="0"/>
    <n v="1"/>
    <n v="0"/>
  </r>
  <r>
    <d v="2014-03-09T00:00:00"/>
    <n v="10548"/>
    <n v="1995"/>
    <x v="4"/>
    <s v="Graduation"/>
    <s v="Single"/>
    <n v="71163"/>
    <n v="0"/>
    <n v="30"/>
    <n v="283"/>
    <n v="17"/>
    <n v="372"/>
    <n v="138"/>
    <n v="106"/>
    <n v="44"/>
    <n v="960"/>
    <n v="1"/>
    <n v="3"/>
    <n v="8"/>
    <n v="12"/>
    <n v="1"/>
    <n v="0"/>
    <n v="0"/>
    <n v="0"/>
    <n v="0"/>
    <n v="0"/>
    <n v="0"/>
    <n v="0"/>
  </r>
  <r>
    <d v="2014-02-11T00:00:00"/>
    <n v="6384"/>
    <n v="1978"/>
    <x v="2"/>
    <s v="Graduation"/>
    <s v="Divorced"/>
    <n v="71022"/>
    <n v="1"/>
    <n v="30"/>
    <n v="909"/>
    <n v="12"/>
    <n v="278"/>
    <n v="0"/>
    <n v="12"/>
    <n v="242"/>
    <n v="1453"/>
    <n v="3"/>
    <n v="5"/>
    <n v="2"/>
    <n v="11"/>
    <n v="8"/>
    <n v="1"/>
    <n v="0"/>
    <n v="0"/>
    <n v="0"/>
    <n v="0"/>
    <n v="0"/>
    <n v="0"/>
  </r>
  <r>
    <d v="2013-11-17T00:00:00"/>
    <n v="2625"/>
    <n v="1954"/>
    <x v="6"/>
    <s v="2n Cycle"/>
    <s v="Single"/>
    <n v="42607"/>
    <n v="1"/>
    <n v="30"/>
    <n v="156"/>
    <n v="29"/>
    <n v="56"/>
    <n v="30"/>
    <n v="32"/>
    <n v="47"/>
    <n v="350"/>
    <n v="2"/>
    <n v="3"/>
    <n v="2"/>
    <n v="7"/>
    <n v="3"/>
    <n v="0"/>
    <n v="0"/>
    <n v="0"/>
    <n v="0"/>
    <n v="0"/>
    <n v="0"/>
    <n v="0"/>
  </r>
  <r>
    <d v="2013-10-30T00:00:00"/>
    <n v="1676"/>
    <n v="1975"/>
    <x v="0"/>
    <s v="Graduation"/>
    <s v="Married"/>
    <n v="43057"/>
    <n v="1"/>
    <n v="30"/>
    <n v="213"/>
    <n v="2"/>
    <n v="44"/>
    <n v="0"/>
    <n v="2"/>
    <n v="5"/>
    <n v="266"/>
    <n v="4"/>
    <n v="4"/>
    <n v="2"/>
    <n v="5"/>
    <n v="5"/>
    <n v="0"/>
    <n v="0"/>
    <n v="0"/>
    <n v="0"/>
    <n v="0"/>
    <n v="0"/>
    <n v="0"/>
  </r>
  <r>
    <d v="2013-10-20T00:00:00"/>
    <n v="5534"/>
    <n v="1975"/>
    <x v="0"/>
    <s v="Master"/>
    <s v="Married"/>
    <n v="47808"/>
    <n v="1"/>
    <n v="30"/>
    <n v="123"/>
    <n v="1"/>
    <n v="26"/>
    <n v="2"/>
    <n v="0"/>
    <n v="72"/>
    <n v="224"/>
    <n v="2"/>
    <n v="3"/>
    <n v="2"/>
    <n v="3"/>
    <n v="7"/>
    <n v="1"/>
    <n v="0"/>
    <n v="0"/>
    <n v="0"/>
    <n v="0"/>
    <n v="0"/>
    <n v="0"/>
  </r>
  <r>
    <d v="2013-10-08T00:00:00"/>
    <n v="6859"/>
    <n v="1987"/>
    <x v="0"/>
    <s v="Graduation"/>
    <s v="Single"/>
    <n v="29236"/>
    <n v="1"/>
    <n v="30"/>
    <n v="37"/>
    <n v="4"/>
    <n v="24"/>
    <n v="16"/>
    <n v="9"/>
    <n v="9"/>
    <n v="99"/>
    <n v="2"/>
    <n v="4"/>
    <n v="0"/>
    <n v="3"/>
    <n v="9"/>
    <n v="0"/>
    <n v="0"/>
    <n v="0"/>
    <n v="0"/>
    <n v="0"/>
    <n v="0"/>
    <n v="0"/>
  </r>
  <r>
    <d v="2013-10-02T00:00:00"/>
    <n v="271"/>
    <n v="1969"/>
    <x v="1"/>
    <s v="Graduation"/>
    <s v="Widow"/>
    <n v="40590"/>
    <n v="2"/>
    <n v="30"/>
    <n v="154"/>
    <n v="0"/>
    <n v="50"/>
    <n v="6"/>
    <n v="11"/>
    <n v="37"/>
    <n v="258"/>
    <n v="5"/>
    <n v="3"/>
    <n v="4"/>
    <n v="3"/>
    <n v="6"/>
    <n v="1"/>
    <n v="0"/>
    <n v="0"/>
    <n v="0"/>
    <n v="0"/>
    <n v="0"/>
    <n v="0"/>
  </r>
  <r>
    <d v="2013-10-02T00:00:00"/>
    <n v="7699"/>
    <n v="1969"/>
    <x v="1"/>
    <s v="Graduation"/>
    <s v="Widow"/>
    <n v="40590"/>
    <n v="2"/>
    <n v="30"/>
    <n v="154"/>
    <n v="0"/>
    <n v="50"/>
    <n v="6"/>
    <n v="11"/>
    <n v="37"/>
    <n v="258"/>
    <n v="5"/>
    <n v="3"/>
    <n v="4"/>
    <n v="3"/>
    <n v="6"/>
    <n v="1"/>
    <n v="0"/>
    <n v="0"/>
    <n v="0"/>
    <n v="0"/>
    <n v="0"/>
    <n v="0"/>
  </r>
  <r>
    <d v="2013-08-28T00:00:00"/>
    <n v="7832"/>
    <n v="1959"/>
    <x v="0"/>
    <s v="Master"/>
    <s v="Married"/>
    <n v="77520"/>
    <n v="1"/>
    <n v="30"/>
    <n v="940"/>
    <n v="44"/>
    <n v="396"/>
    <n v="0"/>
    <n v="88"/>
    <n v="58"/>
    <n v="1526"/>
    <n v="1"/>
    <n v="8"/>
    <n v="7"/>
    <n v="7"/>
    <n v="4"/>
    <n v="1"/>
    <n v="0"/>
    <n v="1"/>
    <n v="1"/>
    <n v="0"/>
    <n v="1"/>
    <n v="0"/>
  </r>
  <r>
    <d v="2013-07-30T00:00:00"/>
    <n v="938"/>
    <n v="1981"/>
    <x v="0"/>
    <s v="Graduation"/>
    <s v="Married"/>
    <n v="40211"/>
    <n v="2"/>
    <n v="30"/>
    <n v="51"/>
    <n v="1"/>
    <n v="7"/>
    <n v="2"/>
    <n v="1"/>
    <n v="25"/>
    <n v="87"/>
    <n v="2"/>
    <n v="2"/>
    <n v="1"/>
    <n v="2"/>
    <n v="8"/>
    <n v="1"/>
    <n v="0"/>
    <n v="0"/>
    <n v="0"/>
    <n v="0"/>
    <n v="0"/>
    <n v="0"/>
  </r>
  <r>
    <d v="2013-07-06T00:00:00"/>
    <n v="7873"/>
    <n v="1973"/>
    <x v="1"/>
    <s v="PhD"/>
    <s v="Together"/>
    <n v="63516"/>
    <n v="2"/>
    <n v="30"/>
    <n v="141"/>
    <n v="11"/>
    <n v="114"/>
    <n v="15"/>
    <n v="14"/>
    <n v="5"/>
    <n v="300"/>
    <n v="4"/>
    <n v="4"/>
    <n v="1"/>
    <n v="7"/>
    <n v="5"/>
    <n v="0"/>
    <n v="0"/>
    <n v="0"/>
    <n v="0"/>
    <n v="0"/>
    <n v="0"/>
    <n v="0"/>
  </r>
  <r>
    <d v="2013-05-30T00:00:00"/>
    <n v="9967"/>
    <n v="1974"/>
    <x v="2"/>
    <s v="Graduation"/>
    <s v="Divorced"/>
    <n v="53034"/>
    <n v="2"/>
    <n v="30"/>
    <n v="160"/>
    <n v="15"/>
    <n v="196"/>
    <n v="15"/>
    <n v="11"/>
    <n v="50"/>
    <n v="447"/>
    <n v="8"/>
    <n v="6"/>
    <n v="1"/>
    <n v="7"/>
    <n v="8"/>
    <n v="0"/>
    <n v="0"/>
    <n v="0"/>
    <n v="0"/>
    <n v="0"/>
    <n v="0"/>
    <n v="0"/>
  </r>
  <r>
    <d v="2013-05-22T00:00:00"/>
    <n v="1087"/>
    <n v="1975"/>
    <x v="0"/>
    <s v="Master"/>
    <s v="Together"/>
    <n v="22669"/>
    <n v="1"/>
    <n v="30"/>
    <n v="16"/>
    <n v="14"/>
    <n v="36"/>
    <n v="37"/>
    <n v="22"/>
    <n v="48"/>
    <n v="173"/>
    <n v="3"/>
    <n v="4"/>
    <n v="1"/>
    <n v="2"/>
    <n v="9"/>
    <n v="0"/>
    <n v="0"/>
    <n v="0"/>
    <n v="0"/>
    <n v="0"/>
    <n v="1"/>
    <n v="0"/>
  </r>
  <r>
    <d v="2013-04-05T00:00:00"/>
    <n v="8314"/>
    <n v="1982"/>
    <x v="0"/>
    <s v="Graduation"/>
    <s v="Married"/>
    <n v="79908"/>
    <n v="0"/>
    <n v="30"/>
    <n v="557"/>
    <n v="129"/>
    <n v="761"/>
    <n v="29"/>
    <n v="185"/>
    <n v="111"/>
    <n v="1772"/>
    <n v="1"/>
    <n v="5"/>
    <n v="6"/>
    <n v="7"/>
    <n v="2"/>
    <n v="0"/>
    <n v="0"/>
    <n v="1"/>
    <n v="0"/>
    <n v="0"/>
    <n v="0"/>
    <n v="0"/>
  </r>
  <r>
    <d v="2013-04-02T00:00:00"/>
    <n v="3762"/>
    <n v="1986"/>
    <x v="6"/>
    <s v="PhD"/>
    <s v="Single"/>
    <n v="69867"/>
    <n v="0"/>
    <n v="30"/>
    <n v="196"/>
    <n v="0"/>
    <n v="512"/>
    <n v="33"/>
    <n v="130"/>
    <n v="54"/>
    <n v="925"/>
    <n v="1"/>
    <n v="3"/>
    <n v="5"/>
    <n v="8"/>
    <n v="1"/>
    <n v="0"/>
    <n v="0"/>
    <n v="0"/>
    <n v="1"/>
    <n v="0"/>
    <n v="1"/>
    <n v="0"/>
  </r>
  <r>
    <d v="2013-04-02T00:00:00"/>
    <n v="10383"/>
    <n v="1966"/>
    <x v="3"/>
    <s v="Graduation"/>
    <s v="Divorced"/>
    <n v="70287"/>
    <n v="0"/>
    <n v="30"/>
    <n v="295"/>
    <n v="35"/>
    <n v="482"/>
    <n v="121"/>
    <n v="120"/>
    <n v="40"/>
    <n v="1093"/>
    <n v="1"/>
    <n v="5"/>
    <n v="5"/>
    <n v="10"/>
    <n v="3"/>
    <n v="0"/>
    <n v="0"/>
    <n v="0"/>
    <n v="0"/>
    <n v="0"/>
    <n v="1"/>
    <n v="0"/>
  </r>
  <r>
    <d v="2013-03-20T00:00:00"/>
    <n v="6798"/>
    <n v="1966"/>
    <x v="6"/>
    <s v="Graduation"/>
    <s v="Single"/>
    <n v="37070"/>
    <n v="2"/>
    <n v="30"/>
    <n v="231"/>
    <n v="7"/>
    <n v="137"/>
    <n v="4"/>
    <n v="15"/>
    <n v="39"/>
    <n v="433"/>
    <n v="9"/>
    <n v="5"/>
    <n v="1"/>
    <n v="8"/>
    <n v="7"/>
    <n v="0"/>
    <n v="0"/>
    <n v="0"/>
    <n v="0"/>
    <n v="0"/>
    <n v="1"/>
    <n v="0"/>
  </r>
  <r>
    <d v="2013-03-20T00:00:00"/>
    <n v="4168"/>
    <n v="1966"/>
    <x v="0"/>
    <s v="Graduation"/>
    <s v="Single"/>
    <n v="37070"/>
    <n v="2"/>
    <n v="30"/>
    <n v="231"/>
    <n v="7"/>
    <n v="137"/>
    <n v="4"/>
    <n v="15"/>
    <n v="39"/>
    <n v="433"/>
    <n v="9"/>
    <n v="5"/>
    <n v="1"/>
    <n v="8"/>
    <n v="7"/>
    <n v="0"/>
    <n v="0"/>
    <n v="0"/>
    <n v="0"/>
    <n v="0"/>
    <n v="1"/>
    <n v="0"/>
  </r>
  <r>
    <d v="2013-03-14T00:00:00"/>
    <n v="6690"/>
    <n v="1966"/>
    <x v="6"/>
    <s v="Master"/>
    <s v="Married"/>
    <n v="38179"/>
    <n v="2"/>
    <n v="30"/>
    <n v="38"/>
    <n v="4"/>
    <n v="22"/>
    <n v="4"/>
    <n v="2"/>
    <n v="20"/>
    <n v="90"/>
    <n v="4"/>
    <n v="3"/>
    <n v="1"/>
    <n v="3"/>
    <n v="7"/>
    <n v="0"/>
    <n v="0"/>
    <n v="0"/>
    <n v="0"/>
    <n v="0"/>
    <n v="0"/>
    <n v="0"/>
  </r>
  <r>
    <d v="2013-02-14T00:00:00"/>
    <n v="10602"/>
    <n v="1983"/>
    <x v="5"/>
    <s v="Graduation"/>
    <s v="Married"/>
    <n v="39922"/>
    <n v="1"/>
    <n v="30"/>
    <n v="29"/>
    <n v="12"/>
    <n v="59"/>
    <n v="19"/>
    <n v="1"/>
    <n v="36"/>
    <n v="156"/>
    <n v="2"/>
    <n v="3"/>
    <n v="0"/>
    <n v="4"/>
    <n v="8"/>
    <n v="0"/>
    <n v="0"/>
    <n v="0"/>
    <n v="0"/>
    <n v="0"/>
    <n v="0"/>
    <n v="0"/>
  </r>
  <r>
    <d v="2013-02-14T00:00:00"/>
    <n v="3220"/>
    <n v="1983"/>
    <x v="4"/>
    <s v="Graduation"/>
    <s v="Married"/>
    <n v="39922"/>
    <n v="1"/>
    <n v="30"/>
    <n v="29"/>
    <n v="12"/>
    <n v="59"/>
    <n v="19"/>
    <n v="1"/>
    <n v="36"/>
    <n v="156"/>
    <n v="2"/>
    <n v="3"/>
    <n v="0"/>
    <n v="4"/>
    <n v="8"/>
    <n v="0"/>
    <n v="0"/>
    <n v="0"/>
    <n v="0"/>
    <n v="0"/>
    <n v="0"/>
    <n v="0"/>
  </r>
  <r>
    <d v="2013-02-14T00:00:00"/>
    <n v="5424"/>
    <n v="1983"/>
    <x v="6"/>
    <s v="Graduation"/>
    <s v="Married"/>
    <n v="39922"/>
    <n v="1"/>
    <n v="30"/>
    <n v="29"/>
    <n v="12"/>
    <n v="59"/>
    <n v="19"/>
    <n v="1"/>
    <n v="36"/>
    <n v="156"/>
    <n v="2"/>
    <n v="3"/>
    <n v="0"/>
    <n v="4"/>
    <n v="8"/>
    <n v="0"/>
    <n v="0"/>
    <n v="0"/>
    <n v="0"/>
    <n v="0"/>
    <n v="0"/>
    <n v="0"/>
  </r>
  <r>
    <d v="2013-01-22T00:00:00"/>
    <n v="7488"/>
    <n v="1963"/>
    <x v="0"/>
    <s v="Master"/>
    <s v="Single"/>
    <n v="64191"/>
    <n v="1"/>
    <n v="30"/>
    <n v="420"/>
    <n v="15"/>
    <n v="186"/>
    <n v="151"/>
    <n v="38"/>
    <n v="15"/>
    <n v="825"/>
    <n v="3"/>
    <n v="5"/>
    <n v="3"/>
    <n v="13"/>
    <n v="3"/>
    <n v="0"/>
    <n v="0"/>
    <n v="0"/>
    <n v="0"/>
    <n v="0"/>
    <n v="0"/>
    <n v="0"/>
  </r>
  <r>
    <d v="2012-11-09T00:00:00"/>
    <n v="5289"/>
    <n v="1975"/>
    <x v="3"/>
    <s v="2n Cycle"/>
    <s v="Single"/>
    <n v="41658"/>
    <n v="2"/>
    <n v="30"/>
    <n v="8"/>
    <n v="4"/>
    <n v="12"/>
    <n v="15"/>
    <n v="4"/>
    <n v="29"/>
    <n v="72"/>
    <n v="2"/>
    <n v="1"/>
    <n v="1"/>
    <n v="2"/>
    <n v="4"/>
    <n v="0"/>
    <n v="0"/>
    <n v="0"/>
    <n v="0"/>
    <n v="0"/>
    <n v="0"/>
    <n v="0"/>
  </r>
  <r>
    <d v="2012-09-08T00:00:00"/>
    <n v="347"/>
    <n v="1976"/>
    <x v="1"/>
    <s v="Graduation"/>
    <s v="Divorced"/>
    <n v="40780"/>
    <n v="1"/>
    <n v="30"/>
    <n v="229"/>
    <n v="27"/>
    <n v="71"/>
    <n v="13"/>
    <n v="3"/>
    <n v="34"/>
    <n v="377"/>
    <n v="4"/>
    <n v="7"/>
    <n v="1"/>
    <n v="5"/>
    <n v="9"/>
    <n v="0"/>
    <n v="0"/>
    <n v="0"/>
    <n v="0"/>
    <n v="0"/>
    <n v="0"/>
    <n v="0"/>
  </r>
  <r>
    <d v="2012-08-25T00:00:00"/>
    <n v="5236"/>
    <n v="1979"/>
    <x v="0"/>
    <s v="Graduation"/>
    <s v="Together"/>
    <n v="77568"/>
    <n v="1"/>
    <n v="30"/>
    <n v="1230"/>
    <n v="0"/>
    <n v="396"/>
    <n v="232"/>
    <n v="178"/>
    <n v="158"/>
    <n v="2194"/>
    <n v="1"/>
    <n v="10"/>
    <n v="2"/>
    <n v="8"/>
    <n v="5"/>
    <n v="0"/>
    <n v="1"/>
    <n v="1"/>
    <n v="1"/>
    <n v="0"/>
    <n v="0"/>
    <n v="0"/>
  </r>
  <r>
    <d v="2012-08-14T00:00:00"/>
    <n v="9478"/>
    <n v="1985"/>
    <x v="0"/>
    <s v="Graduation"/>
    <s v="Single"/>
    <n v="66503"/>
    <n v="1"/>
    <n v="30"/>
    <n v="91"/>
    <n v="64"/>
    <n v="128"/>
    <n v="65"/>
    <n v="3"/>
    <n v="50"/>
    <n v="401"/>
    <n v="2"/>
    <n v="4"/>
    <n v="3"/>
    <n v="6"/>
    <n v="3"/>
    <n v="0"/>
    <n v="0"/>
    <n v="0"/>
    <n v="0"/>
    <n v="0"/>
    <n v="0"/>
    <n v="0"/>
  </r>
  <r>
    <d v="2014-06-17T00:00:00"/>
    <n v="477"/>
    <n v="1986"/>
    <x v="0"/>
    <s v="Graduation"/>
    <s v="Married"/>
    <n v="83512"/>
    <n v="0"/>
    <n v="31"/>
    <n v="1060"/>
    <n v="61"/>
    <n v="835"/>
    <n v="80"/>
    <n v="20"/>
    <n v="101"/>
    <n v="2157"/>
    <n v="1"/>
    <n v="4"/>
    <n v="7"/>
    <n v="10"/>
    <n v="1"/>
    <n v="1"/>
    <n v="0"/>
    <n v="1"/>
    <n v="1"/>
    <n v="1"/>
    <n v="1"/>
    <n v="0"/>
  </r>
  <r>
    <d v="2014-06-05T00:00:00"/>
    <n v="7411"/>
    <n v="1964"/>
    <x v="6"/>
    <s v="PhD"/>
    <s v="Married"/>
    <n v="31686"/>
    <n v="2"/>
    <n v="31"/>
    <n v="11"/>
    <n v="0"/>
    <n v="5"/>
    <n v="0"/>
    <n v="0"/>
    <n v="1"/>
    <n v="17"/>
    <n v="2"/>
    <n v="1"/>
    <n v="0"/>
    <n v="3"/>
    <n v="6"/>
    <n v="0"/>
    <n v="0"/>
    <n v="0"/>
    <n v="0"/>
    <n v="0"/>
    <n v="0"/>
    <n v="0"/>
  </r>
  <r>
    <d v="2014-05-02T00:00:00"/>
    <n v="3107"/>
    <n v="1976"/>
    <x v="3"/>
    <s v="Graduation"/>
    <s v="Together"/>
    <n v="71322"/>
    <n v="1"/>
    <n v="31"/>
    <n v="121"/>
    <n v="24"/>
    <n v="124"/>
    <n v="24"/>
    <n v="15"/>
    <n v="42"/>
    <n v="350"/>
    <n v="1"/>
    <n v="4"/>
    <n v="1"/>
    <n v="7"/>
    <n v="2"/>
    <n v="0"/>
    <n v="0"/>
    <n v="0"/>
    <n v="0"/>
    <n v="0"/>
    <n v="0"/>
    <n v="0"/>
  </r>
  <r>
    <d v="2014-04-28T00:00:00"/>
    <n v="7437"/>
    <n v="1988"/>
    <x v="3"/>
    <s v="Graduation"/>
    <s v="Single"/>
    <n v="27938"/>
    <n v="1"/>
    <n v="31"/>
    <n v="13"/>
    <n v="0"/>
    <n v="8"/>
    <n v="2"/>
    <n v="1"/>
    <n v="5"/>
    <n v="29"/>
    <n v="1"/>
    <n v="1"/>
    <n v="0"/>
    <n v="4"/>
    <n v="3"/>
    <n v="0"/>
    <n v="0"/>
    <n v="0"/>
    <n v="0"/>
    <n v="0"/>
    <n v="0"/>
    <n v="0"/>
  </r>
  <r>
    <d v="2014-03-30T00:00:00"/>
    <n v="255"/>
    <n v="1951"/>
    <x v="0"/>
    <s v="Graduation"/>
    <s v="Divorced"/>
    <n v="22263"/>
    <n v="2"/>
    <n v="31"/>
    <n v="17"/>
    <n v="0"/>
    <n v="2"/>
    <n v="0"/>
    <n v="0"/>
    <n v="2"/>
    <n v="21"/>
    <n v="2"/>
    <n v="1"/>
    <n v="0"/>
    <n v="3"/>
    <n v="6"/>
    <n v="0"/>
    <n v="0"/>
    <n v="0"/>
    <n v="0"/>
    <n v="0"/>
    <n v="0"/>
    <n v="1"/>
  </r>
  <r>
    <d v="2014-01-23T00:00:00"/>
    <n v="3790"/>
    <n v="1956"/>
    <x v="6"/>
    <s v="Graduation"/>
    <s v="Together"/>
    <n v="34633"/>
    <n v="3"/>
    <n v="31"/>
    <n v="8"/>
    <n v="1"/>
    <n v="5"/>
    <n v="0"/>
    <n v="0"/>
    <n v="1"/>
    <n v="15"/>
    <n v="1"/>
    <n v="1"/>
    <n v="0"/>
    <n v="2"/>
    <n v="6"/>
    <n v="0"/>
    <n v="0"/>
    <n v="0"/>
    <n v="0"/>
    <n v="0"/>
    <n v="0"/>
    <n v="0"/>
  </r>
  <r>
    <d v="2013-11-19T00:00:00"/>
    <n v="749"/>
    <n v="1981"/>
    <x v="0"/>
    <s v="Graduation"/>
    <s v="Together"/>
    <n v="42162"/>
    <n v="1"/>
    <n v="31"/>
    <n v="46"/>
    <n v="7"/>
    <n v="59"/>
    <n v="2"/>
    <n v="4"/>
    <n v="27"/>
    <n v="145"/>
    <n v="2"/>
    <n v="3"/>
    <n v="1"/>
    <n v="3"/>
    <n v="6"/>
    <n v="1"/>
    <n v="0"/>
    <n v="0"/>
    <n v="0"/>
    <n v="0"/>
    <n v="1"/>
    <n v="0"/>
  </r>
  <r>
    <d v="2013-06-03T00:00:00"/>
    <n v="1503"/>
    <n v="1976"/>
    <x v="0"/>
    <s v="PhD"/>
    <s v="Together"/>
    <n v="162397"/>
    <n v="2"/>
    <n v="31"/>
    <n v="85"/>
    <n v="1"/>
    <n v="16"/>
    <n v="2"/>
    <n v="1"/>
    <n v="2"/>
    <n v="107"/>
    <n v="0"/>
    <n v="0"/>
    <n v="0"/>
    <n v="1"/>
    <n v="1"/>
    <n v="0"/>
    <n v="0"/>
    <n v="0"/>
    <n v="0"/>
    <n v="0"/>
    <n v="0"/>
    <n v="0"/>
  </r>
  <r>
    <d v="2013-03-18T00:00:00"/>
    <n v="8650"/>
    <n v="1978"/>
    <x v="0"/>
    <s v="Graduation"/>
    <s v="Widow"/>
    <n v="54162"/>
    <n v="2"/>
    <n v="31"/>
    <n v="5"/>
    <n v="6"/>
    <n v="10"/>
    <n v="6"/>
    <n v="5"/>
    <n v="10"/>
    <n v="42"/>
    <n v="1"/>
    <n v="1"/>
    <n v="0"/>
    <n v="3"/>
    <n v="4"/>
    <n v="0"/>
    <n v="0"/>
    <n v="0"/>
    <n v="0"/>
    <n v="0"/>
    <n v="0"/>
    <n v="0"/>
  </r>
  <r>
    <d v="2013-02-13T00:00:00"/>
    <n v="607"/>
    <n v="1955"/>
    <x v="5"/>
    <s v="2n Cycle"/>
    <s v="Divorced"/>
    <n v="41769"/>
    <n v="1"/>
    <n v="31"/>
    <n v="302"/>
    <n v="29"/>
    <n v="131"/>
    <n v="32"/>
    <n v="0"/>
    <n v="27"/>
    <n v="521"/>
    <n v="6"/>
    <n v="8"/>
    <n v="1"/>
    <n v="7"/>
    <n v="8"/>
    <n v="0"/>
    <n v="0"/>
    <n v="0"/>
    <n v="0"/>
    <n v="0"/>
    <n v="0"/>
    <n v="0"/>
  </r>
  <r>
    <d v="2012-12-21T00:00:00"/>
    <n v="1008"/>
    <n v="1981"/>
    <x v="4"/>
    <s v="PhD"/>
    <s v="Together"/>
    <n v="44953"/>
    <n v="0"/>
    <n v="31"/>
    <n v="728"/>
    <n v="17"/>
    <n v="133"/>
    <n v="11"/>
    <n v="8"/>
    <n v="124"/>
    <n v="1021"/>
    <n v="1"/>
    <n v="7"/>
    <n v="3"/>
    <n v="13"/>
    <n v="6"/>
    <n v="1"/>
    <n v="0"/>
    <n v="0"/>
    <n v="0"/>
    <n v="0"/>
    <n v="0"/>
    <n v="0"/>
  </r>
  <r>
    <d v="2012-11-23T00:00:00"/>
    <n v="9396"/>
    <n v="1978"/>
    <x v="6"/>
    <s v="PhD"/>
    <s v="Married"/>
    <n v="37717"/>
    <n v="1"/>
    <n v="31"/>
    <n v="9"/>
    <n v="0"/>
    <n v="6"/>
    <n v="4"/>
    <n v="1"/>
    <n v="5"/>
    <n v="25"/>
    <n v="1"/>
    <n v="1"/>
    <n v="0"/>
    <n v="2"/>
    <n v="9"/>
    <n v="0"/>
    <n v="0"/>
    <n v="0"/>
    <n v="0"/>
    <n v="0"/>
    <n v="0"/>
    <n v="0"/>
  </r>
  <r>
    <d v="2012-11-23T00:00:00"/>
    <n v="933"/>
    <n v="1978"/>
    <x v="0"/>
    <s v="PhD"/>
    <s v="Married"/>
    <n v="37717"/>
    <n v="1"/>
    <n v="31"/>
    <n v="9"/>
    <n v="0"/>
    <n v="6"/>
    <n v="4"/>
    <n v="1"/>
    <n v="5"/>
    <n v="25"/>
    <n v="1"/>
    <n v="1"/>
    <n v="0"/>
    <n v="2"/>
    <n v="9"/>
    <n v="0"/>
    <n v="0"/>
    <n v="0"/>
    <n v="0"/>
    <n v="0"/>
    <n v="0"/>
    <n v="0"/>
  </r>
  <r>
    <d v="2012-10-10T00:00:00"/>
    <n v="5710"/>
    <n v="1970"/>
    <x v="3"/>
    <s v="Graduation"/>
    <s v="Together"/>
    <n v="40548"/>
    <n v="1"/>
    <n v="31"/>
    <n v="110"/>
    <n v="0"/>
    <n v="5"/>
    <n v="2"/>
    <n v="0"/>
    <n v="3"/>
    <n v="120"/>
    <n v="2"/>
    <n v="2"/>
    <n v="1"/>
    <n v="4"/>
    <n v="5"/>
    <n v="0"/>
    <n v="1"/>
    <n v="0"/>
    <n v="0"/>
    <n v="0"/>
    <n v="0"/>
    <n v="0"/>
  </r>
  <r>
    <d v="2012-10-01T00:00:00"/>
    <n v="2882"/>
    <n v="1975"/>
    <x v="6"/>
    <s v="2n Cycle"/>
    <s v="Divorced"/>
    <n v="67893"/>
    <n v="1"/>
    <n v="31"/>
    <n v="711"/>
    <n v="28"/>
    <n v="142"/>
    <n v="49"/>
    <n v="18"/>
    <n v="47"/>
    <n v="995"/>
    <n v="2"/>
    <n v="3"/>
    <n v="2"/>
    <n v="9"/>
    <n v="8"/>
    <n v="0"/>
    <n v="0"/>
    <n v="0"/>
    <n v="0"/>
    <n v="0"/>
    <n v="0"/>
    <n v="0"/>
  </r>
  <r>
    <d v="2012-09-22T00:00:00"/>
    <n v="2379"/>
    <n v="1953"/>
    <x v="6"/>
    <s v="Graduation"/>
    <s v="Single"/>
    <n v="69267"/>
    <n v="0"/>
    <n v="31"/>
    <n v="778"/>
    <n v="44"/>
    <n v="499"/>
    <n v="95"/>
    <n v="73"/>
    <n v="146"/>
    <n v="1635"/>
    <n v="2"/>
    <n v="3"/>
    <n v="4"/>
    <n v="5"/>
    <n v="7"/>
    <n v="0"/>
    <n v="0"/>
    <n v="0"/>
    <n v="0"/>
    <n v="0"/>
    <n v="1"/>
    <n v="0"/>
  </r>
  <r>
    <d v="2012-08-08T00:00:00"/>
    <n v="5342"/>
    <n v="1976"/>
    <x v="1"/>
    <s v="Basic"/>
    <s v="Divorced"/>
    <n v="9548"/>
    <n v="1"/>
    <n v="31"/>
    <n v="0"/>
    <n v="1"/>
    <n v="3"/>
    <n v="10"/>
    <n v="6"/>
    <n v="9"/>
    <n v="29"/>
    <n v="2"/>
    <n v="1"/>
    <n v="0"/>
    <n v="3"/>
    <n v="8"/>
    <n v="0"/>
    <n v="0"/>
    <n v="0"/>
    <n v="0"/>
    <n v="0"/>
    <n v="0"/>
    <n v="0"/>
  </r>
  <r>
    <d v="2012-08-07T00:00:00"/>
    <n v="3262"/>
    <n v="1958"/>
    <x v="0"/>
    <s v="Graduation"/>
    <s v="Single"/>
    <n v="68281"/>
    <n v="0"/>
    <n v="31"/>
    <n v="995"/>
    <n v="112"/>
    <n v="417"/>
    <n v="42"/>
    <n v="48"/>
    <n v="41"/>
    <n v="1655"/>
    <n v="1"/>
    <n v="2"/>
    <n v="9"/>
    <n v="13"/>
    <n v="5"/>
    <n v="0"/>
    <n v="0"/>
    <n v="0"/>
    <n v="0"/>
    <n v="0"/>
    <n v="1"/>
    <n v="0"/>
  </r>
  <r>
    <d v="2014-04-20T00:00:00"/>
    <n v="5832"/>
    <n v="1960"/>
    <x v="0"/>
    <s v="2n Cycle"/>
    <s v="Together"/>
    <n v="92556"/>
    <n v="0"/>
    <n v="32"/>
    <n v="493"/>
    <n v="183"/>
    <n v="352"/>
    <n v="184"/>
    <n v="23"/>
    <n v="28"/>
    <n v="1263"/>
    <n v="0"/>
    <n v="3"/>
    <n v="5"/>
    <n v="13"/>
    <n v="0"/>
    <n v="0"/>
    <n v="0"/>
    <n v="0"/>
    <n v="0"/>
    <n v="0"/>
    <n v="0"/>
    <n v="0"/>
  </r>
  <r>
    <d v="2013-12-24T00:00:00"/>
    <n v="5025"/>
    <n v="1979"/>
    <x v="0"/>
    <s v="Graduation"/>
    <s v="Single"/>
    <n v="48526"/>
    <n v="1"/>
    <n v="32"/>
    <n v="23"/>
    <n v="17"/>
    <n v="23"/>
    <n v="43"/>
    <n v="20"/>
    <n v="9"/>
    <n v="135"/>
    <n v="1"/>
    <n v="2"/>
    <n v="1"/>
    <n v="4"/>
    <n v="3"/>
    <n v="0"/>
    <n v="0"/>
    <n v="0"/>
    <n v="0"/>
    <n v="0"/>
    <n v="0"/>
    <n v="0"/>
  </r>
  <r>
    <d v="2013-12-14T00:00:00"/>
    <n v="569"/>
    <n v="1991"/>
    <x v="0"/>
    <s v="Graduation"/>
    <s v="Single"/>
    <n v="90273"/>
    <n v="0"/>
    <n v="32"/>
    <n v="704"/>
    <n v="129"/>
    <n v="853"/>
    <n v="120"/>
    <n v="74"/>
    <n v="111"/>
    <n v="1991"/>
    <n v="1"/>
    <n v="5"/>
    <n v="6"/>
    <n v="7"/>
    <n v="2"/>
    <n v="0"/>
    <n v="1"/>
    <n v="1"/>
    <n v="1"/>
    <n v="0"/>
    <n v="1"/>
    <n v="0"/>
  </r>
  <r>
    <d v="2013-10-16T00:00:00"/>
    <n v="3102"/>
    <n v="1981"/>
    <x v="1"/>
    <s v="2n Cycle"/>
    <s v="Together"/>
    <n v="19414"/>
    <n v="1"/>
    <n v="32"/>
    <n v="2"/>
    <n v="3"/>
    <n v="12"/>
    <n v="3"/>
    <n v="5"/>
    <n v="7"/>
    <n v="32"/>
    <n v="1"/>
    <n v="1"/>
    <n v="0"/>
    <n v="3"/>
    <n v="8"/>
    <n v="0"/>
    <n v="0"/>
    <n v="0"/>
    <n v="0"/>
    <n v="0"/>
    <n v="0"/>
    <n v="0"/>
  </r>
  <r>
    <d v="2013-10-04T00:00:00"/>
    <n v="9449"/>
    <n v="1958"/>
    <x v="6"/>
    <s v="PhD"/>
    <s v="Single"/>
    <n v="79761"/>
    <n v="1"/>
    <n v="32"/>
    <n v="415"/>
    <n v="5"/>
    <n v="124"/>
    <n v="15"/>
    <n v="35"/>
    <n v="11"/>
    <n v="605"/>
    <n v="1"/>
    <n v="5"/>
    <n v="2"/>
    <n v="11"/>
    <n v="3"/>
    <n v="0"/>
    <n v="0"/>
    <n v="0"/>
    <n v="0"/>
    <n v="0"/>
    <n v="0"/>
    <n v="0"/>
  </r>
  <r>
    <d v="2013-08-09T00:00:00"/>
    <n v="8104"/>
    <n v="1951"/>
    <x v="0"/>
    <s v="PhD"/>
    <s v="Married"/>
    <n v="53312"/>
    <n v="0"/>
    <n v="32"/>
    <n v="241"/>
    <n v="0"/>
    <n v="12"/>
    <n v="0"/>
    <n v="0"/>
    <n v="25"/>
    <n v="278"/>
    <n v="1"/>
    <n v="5"/>
    <n v="1"/>
    <n v="5"/>
    <n v="7"/>
    <n v="0"/>
    <n v="0"/>
    <n v="0"/>
    <n v="0"/>
    <n v="0"/>
    <n v="0"/>
    <n v="0"/>
  </r>
  <r>
    <d v="2013-07-25T00:00:00"/>
    <n v="75"/>
    <n v="1982"/>
    <x v="2"/>
    <s v="2n Cycle"/>
    <s v="Together"/>
    <n v="41039"/>
    <n v="0"/>
    <n v="32"/>
    <n v="34"/>
    <n v="11"/>
    <n v="137"/>
    <n v="179"/>
    <n v="61"/>
    <n v="45"/>
    <n v="467"/>
    <n v="1"/>
    <n v="8"/>
    <n v="1"/>
    <n v="5"/>
    <n v="8"/>
    <n v="0"/>
    <n v="0"/>
    <n v="0"/>
    <n v="0"/>
    <n v="0"/>
    <n v="0"/>
    <n v="0"/>
  </r>
  <r>
    <d v="2013-07-03T00:00:00"/>
    <n v="6421"/>
    <n v="1961"/>
    <x v="0"/>
    <s v="Graduation"/>
    <s v="Together"/>
    <n v="88347"/>
    <n v="0"/>
    <n v="32"/>
    <n v="1050"/>
    <n v="178"/>
    <n v="555"/>
    <n v="77"/>
    <n v="138"/>
    <n v="118"/>
    <n v="2116"/>
    <n v="1"/>
    <n v="4"/>
    <n v="7"/>
    <n v="9"/>
    <n v="1"/>
    <n v="0"/>
    <n v="0"/>
    <n v="0"/>
    <n v="1"/>
    <n v="0"/>
    <n v="0"/>
    <n v="0"/>
  </r>
  <r>
    <d v="2013-06-20T00:00:00"/>
    <n v="3037"/>
    <n v="1983"/>
    <x v="1"/>
    <s v="PhD"/>
    <s v="Married"/>
    <n v="50150"/>
    <n v="0"/>
    <n v="32"/>
    <n v="135"/>
    <n v="46"/>
    <n v="92"/>
    <n v="65"/>
    <n v="61"/>
    <n v="11"/>
    <n v="410"/>
    <n v="2"/>
    <n v="5"/>
    <n v="2"/>
    <n v="7"/>
    <n v="5"/>
    <n v="0"/>
    <n v="0"/>
    <n v="0"/>
    <n v="0"/>
    <n v="0"/>
    <n v="0"/>
    <n v="0"/>
  </r>
  <r>
    <d v="2013-06-20T00:00:00"/>
    <n v="4698"/>
    <n v="1983"/>
    <x v="0"/>
    <s v="PhD"/>
    <s v="Married"/>
    <n v="50150"/>
    <n v="0"/>
    <n v="32"/>
    <n v="135"/>
    <n v="46"/>
    <n v="92"/>
    <n v="65"/>
    <n v="61"/>
    <n v="11"/>
    <n v="410"/>
    <n v="2"/>
    <n v="5"/>
    <n v="2"/>
    <n v="7"/>
    <n v="5"/>
    <n v="0"/>
    <n v="0"/>
    <n v="0"/>
    <n v="0"/>
    <n v="0"/>
    <n v="0"/>
    <n v="0"/>
  </r>
  <r>
    <d v="2013-05-15T00:00:00"/>
    <n v="948"/>
    <n v="1971"/>
    <x v="0"/>
    <s v="Graduation"/>
    <s v="Single"/>
    <n v="10245"/>
    <n v="1"/>
    <n v="32"/>
    <n v="4"/>
    <n v="7"/>
    <n v="7"/>
    <n v="6"/>
    <n v="4"/>
    <n v="13"/>
    <n v="41"/>
    <n v="3"/>
    <n v="1"/>
    <n v="2"/>
    <n v="2"/>
    <n v="5"/>
    <n v="0"/>
    <n v="0"/>
    <n v="0"/>
    <n v="0"/>
    <n v="0"/>
    <n v="0"/>
    <n v="0"/>
  </r>
  <r>
    <d v="2013-05-08T00:00:00"/>
    <n v="6177"/>
    <n v="1985"/>
    <x v="2"/>
    <s v="PhD"/>
    <s v="Married"/>
    <n v="33454"/>
    <n v="1"/>
    <n v="32"/>
    <n v="76"/>
    <n v="10"/>
    <n v="56"/>
    <n v="3"/>
    <n v="1"/>
    <n v="23"/>
    <n v="169"/>
    <n v="2"/>
    <n v="4"/>
    <n v="0"/>
    <n v="4"/>
    <n v="8"/>
    <n v="0"/>
    <n v="0"/>
    <n v="0"/>
    <n v="0"/>
    <n v="0"/>
    <n v="0"/>
    <n v="0"/>
  </r>
  <r>
    <d v="2013-05-06T00:00:00"/>
    <n v="3517"/>
    <n v="1952"/>
    <x v="0"/>
    <s v="Graduation"/>
    <s v="Single"/>
    <n v="40887"/>
    <n v="2"/>
    <n v="32"/>
    <n v="50"/>
    <n v="4"/>
    <n v="44"/>
    <n v="10"/>
    <n v="10"/>
    <n v="43"/>
    <n v="161"/>
    <n v="3"/>
    <n v="3"/>
    <n v="1"/>
    <n v="3"/>
    <n v="9"/>
    <n v="0"/>
    <n v="0"/>
    <n v="0"/>
    <n v="0"/>
    <n v="0"/>
    <n v="1"/>
    <n v="0"/>
  </r>
  <r>
    <d v="2013-04-29T00:00:00"/>
    <n v="3491"/>
    <n v="1975"/>
    <x v="2"/>
    <s v="Graduation"/>
    <s v="Together"/>
    <n v="55914"/>
    <n v="1"/>
    <n v="32"/>
    <n v="384"/>
    <n v="60"/>
    <n v="364"/>
    <n v="119"/>
    <n v="101"/>
    <n v="232"/>
    <n v="1260"/>
    <n v="4"/>
    <n v="11"/>
    <n v="6"/>
    <n v="8"/>
    <n v="7"/>
    <n v="0"/>
    <n v="0"/>
    <n v="0"/>
    <n v="0"/>
    <n v="0"/>
    <n v="0"/>
    <n v="0"/>
  </r>
  <r>
    <d v="2013-04-18T00:00:00"/>
    <n v="7610"/>
    <n v="1983"/>
    <x v="0"/>
    <s v="Graduation"/>
    <s v="Together"/>
    <n v="37292"/>
    <n v="1"/>
    <n v="32"/>
    <n v="275"/>
    <n v="0"/>
    <n v="86"/>
    <n v="10"/>
    <n v="23"/>
    <n v="66"/>
    <n v="460"/>
    <n v="5"/>
    <n v="6"/>
    <n v="3"/>
    <n v="5"/>
    <n v="8"/>
    <n v="0"/>
    <n v="0"/>
    <n v="0"/>
    <n v="0"/>
    <n v="0"/>
    <n v="0"/>
    <n v="0"/>
  </r>
  <r>
    <d v="2013-01-07T00:00:00"/>
    <n v="4377"/>
    <n v="1971"/>
    <x v="1"/>
    <s v="Graduation"/>
    <s v="Married"/>
    <n v="52914"/>
    <n v="1"/>
    <n v="32"/>
    <n v="254"/>
    <n v="10"/>
    <n v="44"/>
    <n v="30"/>
    <n v="10"/>
    <n v="227"/>
    <n v="575"/>
    <n v="2"/>
    <n v="7"/>
    <n v="3"/>
    <n v="3"/>
    <n v="7"/>
    <n v="1"/>
    <n v="0"/>
    <n v="0"/>
    <n v="0"/>
    <n v="0"/>
    <n v="0"/>
    <n v="0"/>
  </r>
  <r>
    <d v="2012-11-29T00:00:00"/>
    <n v="9850"/>
    <n v="1972"/>
    <x v="0"/>
    <s v="2n Cycle"/>
    <s v="Married"/>
    <n v="24884"/>
    <n v="1"/>
    <n v="32"/>
    <n v="3"/>
    <n v="6"/>
    <n v="7"/>
    <n v="0"/>
    <n v="0"/>
    <n v="3"/>
    <n v="19"/>
    <n v="1"/>
    <n v="0"/>
    <n v="0"/>
    <n v="3"/>
    <n v="7"/>
    <n v="0"/>
    <n v="0"/>
    <n v="0"/>
    <n v="0"/>
    <n v="0"/>
    <n v="0"/>
    <n v="0"/>
  </r>
  <r>
    <d v="2012-11-10T00:00:00"/>
    <n v="5544"/>
    <n v="1970"/>
    <x v="0"/>
    <s v="Graduation"/>
    <s v="Single"/>
    <n v="67384"/>
    <n v="1"/>
    <n v="32"/>
    <n v="957"/>
    <n v="40"/>
    <n v="175"/>
    <n v="158"/>
    <n v="53"/>
    <n v="107"/>
    <n v="1490"/>
    <n v="2"/>
    <n v="7"/>
    <n v="8"/>
    <n v="5"/>
    <n v="5"/>
    <n v="0"/>
    <n v="1"/>
    <n v="0"/>
    <n v="0"/>
    <n v="0"/>
    <n v="0"/>
    <n v="0"/>
  </r>
  <r>
    <d v="2012-11-07T00:00:00"/>
    <n v="6497"/>
    <n v="1960"/>
    <x v="3"/>
    <s v="Graduation"/>
    <s v="Married"/>
    <n v="51651"/>
    <n v="1"/>
    <n v="32"/>
    <n v="293"/>
    <n v="6"/>
    <n v="23"/>
    <n v="13"/>
    <n v="6"/>
    <n v="92"/>
    <n v="433"/>
    <n v="4"/>
    <n v="6"/>
    <n v="2"/>
    <n v="5"/>
    <n v="8"/>
    <n v="0"/>
    <n v="0"/>
    <n v="0"/>
    <n v="0"/>
    <n v="0"/>
    <n v="0"/>
    <n v="0"/>
  </r>
  <r>
    <d v="2012-10-31T00:00:00"/>
    <n v="4543"/>
    <n v="1980"/>
    <x v="6"/>
    <s v="Graduation"/>
    <s v="Married"/>
    <n v="82497"/>
    <n v="0"/>
    <n v="32"/>
    <n v="777"/>
    <n v="129"/>
    <n v="573"/>
    <n v="216"/>
    <n v="21"/>
    <n v="203"/>
    <n v="1919"/>
    <n v="1"/>
    <n v="2"/>
    <n v="7"/>
    <n v="9"/>
    <n v="4"/>
    <n v="0"/>
    <n v="0"/>
    <n v="1"/>
    <n v="0"/>
    <n v="0"/>
    <n v="0"/>
    <n v="0"/>
  </r>
  <r>
    <d v="2012-08-02T00:00:00"/>
    <n v="5117"/>
    <n v="1963"/>
    <x v="0"/>
    <s v="2n Cycle"/>
    <s v="Married"/>
    <n v="32632"/>
    <n v="0"/>
    <n v="32"/>
    <n v="63"/>
    <n v="151"/>
    <n v="137"/>
    <n v="153"/>
    <n v="19"/>
    <n v="53"/>
    <n v="576"/>
    <n v="2"/>
    <n v="4"/>
    <n v="4"/>
    <n v="8"/>
    <n v="5"/>
    <n v="0"/>
    <n v="0"/>
    <n v="0"/>
    <n v="0"/>
    <n v="0"/>
    <n v="0"/>
    <n v="0"/>
  </r>
  <r>
    <d v="2014-06-25T00:00:00"/>
    <n v="1448"/>
    <n v="1963"/>
    <x v="5"/>
    <s v="Master"/>
    <s v="Married"/>
    <n v="33562"/>
    <n v="3"/>
    <n v="33"/>
    <n v="21"/>
    <n v="12"/>
    <n v="12"/>
    <n v="0"/>
    <n v="3"/>
    <n v="3"/>
    <n v="51"/>
    <n v="3"/>
    <n v="2"/>
    <n v="0"/>
    <n v="4"/>
    <n v="4"/>
    <n v="0"/>
    <n v="0"/>
    <n v="0"/>
    <n v="0"/>
    <n v="0"/>
    <n v="0"/>
    <n v="0"/>
  </r>
  <r>
    <d v="2014-04-24T00:00:00"/>
    <n v="6887"/>
    <n v="1967"/>
    <x v="4"/>
    <s v="Graduation"/>
    <s v="Single"/>
    <n v="79146"/>
    <n v="2"/>
    <n v="33"/>
    <n v="245"/>
    <n v="16"/>
    <n v="223"/>
    <n v="21"/>
    <n v="43"/>
    <n v="16"/>
    <n v="564"/>
    <n v="2"/>
    <n v="8"/>
    <n v="1"/>
    <n v="8"/>
    <n v="6"/>
    <n v="0"/>
    <n v="0"/>
    <n v="0"/>
    <n v="0"/>
    <n v="0"/>
    <n v="0"/>
    <n v="0"/>
  </r>
  <r>
    <d v="2014-04-24T00:00:00"/>
    <n v="7500"/>
    <n v="1967"/>
    <x v="0"/>
    <s v="Graduation"/>
    <s v="Single"/>
    <n v="79146"/>
    <n v="2"/>
    <n v="33"/>
    <n v="245"/>
    <n v="16"/>
    <n v="223"/>
    <n v="21"/>
    <n v="43"/>
    <n v="16"/>
    <n v="564"/>
    <n v="2"/>
    <n v="8"/>
    <n v="1"/>
    <n v="8"/>
    <n v="6"/>
    <n v="0"/>
    <n v="0"/>
    <n v="0"/>
    <n v="0"/>
    <n v="0"/>
    <n v="0"/>
    <n v="0"/>
  </r>
  <r>
    <d v="2014-03-30T00:00:00"/>
    <n v="2724"/>
    <n v="1981"/>
    <x v="0"/>
    <s v="Master"/>
    <s v="Single"/>
    <n v="36143"/>
    <n v="1"/>
    <n v="33"/>
    <n v="12"/>
    <n v="0"/>
    <n v="1"/>
    <n v="0"/>
    <n v="0"/>
    <n v="6"/>
    <n v="19"/>
    <n v="1"/>
    <n v="0"/>
    <n v="1"/>
    <n v="2"/>
    <n v="3"/>
    <n v="0"/>
    <n v="0"/>
    <n v="0"/>
    <n v="0"/>
    <n v="0"/>
    <n v="0"/>
    <n v="0"/>
  </r>
  <r>
    <d v="2014-03-29T00:00:00"/>
    <n v="2256"/>
    <n v="1973"/>
    <x v="0"/>
    <s v="Master"/>
    <s v="Married"/>
    <n v="27159"/>
    <n v="2"/>
    <n v="33"/>
    <n v="17"/>
    <n v="0"/>
    <n v="3"/>
    <n v="0"/>
    <n v="0"/>
    <n v="1"/>
    <n v="21"/>
    <n v="2"/>
    <n v="1"/>
    <n v="0"/>
    <n v="3"/>
    <n v="6"/>
    <n v="0"/>
    <n v="0"/>
    <n v="0"/>
    <n v="0"/>
    <n v="0"/>
    <n v="0"/>
    <n v="0"/>
  </r>
  <r>
    <d v="2014-03-24T00:00:00"/>
    <n v="1100"/>
    <n v="1960"/>
    <x v="1"/>
    <s v="Master"/>
    <s v="Together"/>
    <n v="41275"/>
    <n v="3"/>
    <n v="33"/>
    <n v="24"/>
    <n v="4"/>
    <n v="22"/>
    <n v="0"/>
    <n v="2"/>
    <n v="9"/>
    <n v="61"/>
    <n v="4"/>
    <n v="3"/>
    <n v="1"/>
    <n v="3"/>
    <n v="5"/>
    <n v="0"/>
    <n v="0"/>
    <n v="0"/>
    <n v="0"/>
    <n v="0"/>
    <n v="0"/>
    <n v="0"/>
  </r>
  <r>
    <d v="2014-03-08T00:00:00"/>
    <n v="7725"/>
    <n v="1965"/>
    <x v="5"/>
    <s v="2n Cycle"/>
    <s v="Married"/>
    <n v="76800"/>
    <n v="0"/>
    <n v="33"/>
    <n v="173"/>
    <n v="26"/>
    <n v="255"/>
    <n v="35"/>
    <n v="71"/>
    <n v="81"/>
    <n v="641"/>
    <n v="1"/>
    <n v="4"/>
    <n v="4"/>
    <n v="7"/>
    <n v="1"/>
    <n v="0"/>
    <n v="0"/>
    <n v="0"/>
    <n v="0"/>
    <n v="0"/>
    <n v="0"/>
    <n v="0"/>
  </r>
  <r>
    <d v="2013-12-24T00:00:00"/>
    <n v="2612"/>
    <n v="1987"/>
    <x v="6"/>
    <s v="Graduation"/>
    <s v="Married"/>
    <n v="75794"/>
    <n v="0"/>
    <n v="33"/>
    <n v="754"/>
    <n v="160"/>
    <n v="625"/>
    <n v="63"/>
    <n v="32"/>
    <n v="48"/>
    <n v="1682"/>
    <n v="1"/>
    <n v="7"/>
    <n v="5"/>
    <n v="12"/>
    <n v="3"/>
    <n v="0"/>
    <n v="0"/>
    <n v="0"/>
    <n v="1"/>
    <n v="0"/>
    <n v="0"/>
    <n v="0"/>
  </r>
  <r>
    <d v="2013-07-16T00:00:00"/>
    <n v="113"/>
    <n v="1951"/>
    <x v="0"/>
    <s v="Graduation"/>
    <s v="Married"/>
    <n v="30833"/>
    <n v="2"/>
    <n v="33"/>
    <n v="11"/>
    <n v="0"/>
    <n v="7"/>
    <n v="3"/>
    <n v="1"/>
    <n v="6"/>
    <n v="28"/>
    <n v="2"/>
    <n v="1"/>
    <n v="0"/>
    <n v="3"/>
    <n v="5"/>
    <n v="0"/>
    <n v="0"/>
    <n v="0"/>
    <n v="0"/>
    <n v="0"/>
    <n v="0"/>
    <n v="0"/>
  </r>
  <r>
    <d v="2013-04-08T00:00:00"/>
    <n v="2868"/>
    <n v="1949"/>
    <x v="2"/>
    <s v="PhD"/>
    <s v="Single"/>
    <n v="26518"/>
    <n v="2"/>
    <n v="33"/>
    <n v="20"/>
    <n v="1"/>
    <n v="28"/>
    <n v="3"/>
    <n v="3"/>
    <n v="2"/>
    <n v="57"/>
    <n v="3"/>
    <n v="2"/>
    <n v="0"/>
    <n v="3"/>
    <n v="8"/>
    <n v="0"/>
    <n v="0"/>
    <n v="0"/>
    <n v="0"/>
    <n v="0"/>
    <n v="1"/>
    <n v="0"/>
  </r>
  <r>
    <d v="2013-02-22T00:00:00"/>
    <n v="4216"/>
    <n v="1981"/>
    <x v="0"/>
    <s v="Graduation"/>
    <s v="Single"/>
    <n v="91065"/>
    <n v="0"/>
    <n v="33"/>
    <n v="822"/>
    <n v="114"/>
    <n v="108"/>
    <n v="179"/>
    <n v="137"/>
    <n v="114"/>
    <n v="1474"/>
    <n v="1"/>
    <n v="7"/>
    <n v="9"/>
    <n v="9"/>
    <n v="3"/>
    <n v="0"/>
    <n v="0"/>
    <n v="1"/>
    <n v="1"/>
    <n v="0"/>
    <n v="1"/>
    <n v="0"/>
  </r>
  <r>
    <d v="2013-01-20T00:00:00"/>
    <n v="199"/>
    <n v="1962"/>
    <x v="1"/>
    <s v="Master"/>
    <s v="Single"/>
    <n v="45183"/>
    <n v="0"/>
    <n v="33"/>
    <n v="219"/>
    <n v="3"/>
    <n v="60"/>
    <n v="12"/>
    <n v="9"/>
    <n v="12"/>
    <n v="315"/>
    <n v="1"/>
    <n v="4"/>
    <n v="1"/>
    <n v="7"/>
    <n v="7"/>
    <n v="0"/>
    <n v="1"/>
    <n v="0"/>
    <n v="0"/>
    <n v="0"/>
    <n v="0"/>
    <n v="0"/>
  </r>
  <r>
    <d v="2013-01-13T00:00:00"/>
    <n v="359"/>
    <n v="1950"/>
    <x v="0"/>
    <s v="Graduation"/>
    <s v="Together"/>
    <n v="48070"/>
    <n v="1"/>
    <n v="33"/>
    <n v="373"/>
    <n v="14"/>
    <n v="83"/>
    <n v="6"/>
    <n v="9"/>
    <n v="19"/>
    <n v="504"/>
    <n v="3"/>
    <n v="8"/>
    <n v="2"/>
    <n v="6"/>
    <n v="7"/>
    <n v="0"/>
    <n v="0"/>
    <n v="0"/>
    <n v="0"/>
    <n v="0"/>
    <n v="0"/>
    <n v="1"/>
  </r>
  <r>
    <d v="2012-12-25T00:00:00"/>
    <n v="8842"/>
    <n v="1971"/>
    <x v="0"/>
    <s v="Graduation"/>
    <s v="Widow"/>
    <n v="30372"/>
    <n v="2"/>
    <n v="33"/>
    <n v="15"/>
    <n v="0"/>
    <n v="12"/>
    <n v="7"/>
    <n v="3"/>
    <n v="7"/>
    <n v="44"/>
    <n v="3"/>
    <n v="2"/>
    <n v="0"/>
    <n v="3"/>
    <n v="7"/>
    <n v="0"/>
    <n v="0"/>
    <n v="0"/>
    <n v="0"/>
    <n v="0"/>
    <n v="0"/>
    <n v="0"/>
  </r>
  <r>
    <d v="2012-12-25T00:00:00"/>
    <n v="2154"/>
    <n v="1971"/>
    <x v="0"/>
    <s v="Graduation"/>
    <s v="Widow"/>
    <n v="30372"/>
    <n v="2"/>
    <n v="33"/>
    <n v="15"/>
    <n v="0"/>
    <n v="12"/>
    <n v="7"/>
    <n v="3"/>
    <n v="7"/>
    <n v="44"/>
    <n v="3"/>
    <n v="2"/>
    <n v="0"/>
    <n v="3"/>
    <n v="7"/>
    <n v="0"/>
    <n v="0"/>
    <n v="0"/>
    <n v="0"/>
    <n v="0"/>
    <n v="0"/>
    <n v="0"/>
  </r>
  <r>
    <d v="2012-12-11T00:00:00"/>
    <n v="6050"/>
    <n v="1975"/>
    <x v="5"/>
    <s v="2n Cycle"/>
    <s v="Married"/>
    <n v="57036"/>
    <n v="1"/>
    <n v="33"/>
    <n v="1171"/>
    <n v="43"/>
    <n v="219"/>
    <n v="19"/>
    <n v="14"/>
    <n v="47"/>
    <n v="1513"/>
    <n v="4"/>
    <n v="6"/>
    <n v="3"/>
    <n v="13"/>
    <n v="9"/>
    <n v="1"/>
    <n v="0"/>
    <n v="0"/>
    <n v="0"/>
    <n v="0"/>
    <n v="0"/>
    <n v="0"/>
  </r>
  <r>
    <d v="2012-09-12T00:00:00"/>
    <n v="9204"/>
    <n v="1970"/>
    <x v="0"/>
    <s v="Graduation"/>
    <s v="Widow"/>
    <n v="66731"/>
    <n v="1"/>
    <n v="33"/>
    <n v="371"/>
    <n v="159"/>
    <n v="194"/>
    <n v="58"/>
    <n v="106"/>
    <n v="141"/>
    <n v="1029"/>
    <n v="4"/>
    <n v="4"/>
    <n v="3"/>
    <n v="6"/>
    <n v="3"/>
    <n v="0"/>
    <n v="0"/>
    <n v="0"/>
    <n v="0"/>
    <n v="0"/>
    <n v="0"/>
    <n v="0"/>
  </r>
  <r>
    <d v="2014-06-27T00:00:00"/>
    <n v="4472"/>
    <n v="1970"/>
    <x v="3"/>
    <s v="PhD"/>
    <s v="Divorced"/>
    <n v="35682"/>
    <n v="1"/>
    <n v="34"/>
    <n v="23"/>
    <n v="0"/>
    <n v="8"/>
    <n v="6"/>
    <n v="2"/>
    <n v="18"/>
    <n v="57"/>
    <n v="1"/>
    <n v="1"/>
    <n v="1"/>
    <n v="3"/>
    <n v="2"/>
    <n v="0"/>
    <n v="0"/>
    <n v="0"/>
    <n v="0"/>
    <n v="0"/>
    <n v="0"/>
    <n v="0"/>
  </r>
  <r>
    <d v="2014-05-22T00:00:00"/>
    <n v="6864"/>
    <n v="1989"/>
    <x v="3"/>
    <s v="Master"/>
    <s v="Divorced"/>
    <n v="10979"/>
    <n v="0"/>
    <n v="34"/>
    <n v="8"/>
    <n v="4"/>
    <n v="10"/>
    <n v="2"/>
    <n v="2"/>
    <n v="4"/>
    <n v="30"/>
    <n v="2"/>
    <n v="3"/>
    <n v="0"/>
    <n v="3"/>
    <n v="5"/>
    <n v="0"/>
    <n v="0"/>
    <n v="0"/>
    <n v="0"/>
    <n v="0"/>
    <n v="0"/>
    <n v="0"/>
  </r>
  <r>
    <d v="2014-05-22T00:00:00"/>
    <n v="10617"/>
    <n v="1989"/>
    <x v="0"/>
    <s v="Master"/>
    <s v="Divorced"/>
    <n v="10979"/>
    <n v="0"/>
    <n v="34"/>
    <n v="8"/>
    <n v="4"/>
    <n v="10"/>
    <n v="2"/>
    <n v="2"/>
    <n v="4"/>
    <n v="30"/>
    <n v="2"/>
    <n v="3"/>
    <n v="0"/>
    <n v="3"/>
    <n v="5"/>
    <n v="0"/>
    <n v="0"/>
    <n v="0"/>
    <n v="0"/>
    <n v="0"/>
    <n v="0"/>
    <n v="0"/>
  </r>
  <r>
    <d v="2014-03-17T00:00:00"/>
    <n v="3924"/>
    <n v="1965"/>
    <x v="6"/>
    <s v="PhD"/>
    <s v="Divorced"/>
    <n v="57912"/>
    <n v="1"/>
    <n v="34"/>
    <n v="801"/>
    <n v="0"/>
    <n v="80"/>
    <n v="0"/>
    <n v="0"/>
    <n v="35"/>
    <n v="916"/>
    <n v="5"/>
    <n v="8"/>
    <n v="3"/>
    <n v="12"/>
    <n v="5"/>
    <n v="0"/>
    <n v="1"/>
    <n v="0"/>
    <n v="0"/>
    <n v="0"/>
    <n v="0"/>
    <n v="0"/>
  </r>
  <r>
    <d v="2014-03-16T00:00:00"/>
    <n v="5654"/>
    <n v="1972"/>
    <x v="3"/>
    <s v="Graduation"/>
    <s v="Married"/>
    <n v="36026"/>
    <n v="3"/>
    <n v="34"/>
    <n v="20"/>
    <n v="4"/>
    <n v="10"/>
    <n v="6"/>
    <n v="4"/>
    <n v="17"/>
    <n v="61"/>
    <n v="2"/>
    <n v="2"/>
    <n v="0"/>
    <n v="3"/>
    <n v="6"/>
    <n v="0"/>
    <n v="0"/>
    <n v="0"/>
    <n v="0"/>
    <n v="0"/>
    <n v="0"/>
    <n v="0"/>
  </r>
  <r>
    <d v="2014-01-23T00:00:00"/>
    <n v="9216"/>
    <n v="1971"/>
    <x v="1"/>
    <s v="Graduation"/>
    <s v="Married"/>
    <n v="35788"/>
    <n v="2"/>
    <n v="34"/>
    <n v="23"/>
    <n v="2"/>
    <n v="11"/>
    <n v="3"/>
    <n v="1"/>
    <n v="4"/>
    <n v="44"/>
    <n v="2"/>
    <n v="2"/>
    <n v="0"/>
    <n v="3"/>
    <n v="6"/>
    <n v="0"/>
    <n v="0"/>
    <n v="0"/>
    <n v="0"/>
    <n v="0"/>
    <n v="0"/>
    <n v="0"/>
  </r>
  <r>
    <d v="2013-12-11T00:00:00"/>
    <n v="8086"/>
    <n v="1959"/>
    <x v="6"/>
    <s v="Graduation"/>
    <s v="Married"/>
    <n v="42243"/>
    <n v="2"/>
    <n v="34"/>
    <n v="48"/>
    <n v="0"/>
    <n v="2"/>
    <n v="0"/>
    <n v="0"/>
    <n v="5"/>
    <n v="55"/>
    <n v="2"/>
    <n v="2"/>
    <n v="0"/>
    <n v="3"/>
    <n v="7"/>
    <n v="0"/>
    <n v="0"/>
    <n v="0"/>
    <n v="0"/>
    <n v="0"/>
    <n v="0"/>
    <n v="0"/>
  </r>
  <r>
    <d v="2013-11-03T00:00:00"/>
    <n v="9097"/>
    <n v="1956"/>
    <x v="0"/>
    <s v="Graduation"/>
    <s v="Divorced"/>
    <n v="46086"/>
    <n v="1"/>
    <n v="34"/>
    <n v="244"/>
    <n v="8"/>
    <n v="32"/>
    <n v="7"/>
    <n v="2"/>
    <n v="50"/>
    <n v="343"/>
    <n v="4"/>
    <n v="3"/>
    <n v="1"/>
    <n v="8"/>
    <n v="4"/>
    <n v="0"/>
    <n v="0"/>
    <n v="0"/>
    <n v="0"/>
    <n v="0"/>
    <n v="0"/>
    <n v="0"/>
  </r>
  <r>
    <d v="2013-10-06T00:00:00"/>
    <n v="7631"/>
    <n v="1978"/>
    <x v="5"/>
    <s v="Master"/>
    <s v="Together"/>
    <n v="61346"/>
    <n v="1"/>
    <n v="34"/>
    <n v="562"/>
    <n v="58"/>
    <n v="168"/>
    <n v="43"/>
    <n v="16"/>
    <n v="142"/>
    <n v="989"/>
    <n v="1"/>
    <n v="5"/>
    <n v="7"/>
    <n v="10"/>
    <n v="3"/>
    <n v="0"/>
    <n v="0"/>
    <n v="0"/>
    <n v="0"/>
    <n v="0"/>
    <n v="0"/>
    <n v="0"/>
  </r>
  <r>
    <d v="2013-10-04T00:00:00"/>
    <n v="7275"/>
    <n v="1971"/>
    <x v="2"/>
    <s v="Master"/>
    <s v="Single"/>
    <n v="33316"/>
    <n v="2"/>
    <n v="34"/>
    <n v="79"/>
    <n v="1"/>
    <n v="31"/>
    <n v="4"/>
    <n v="4"/>
    <n v="12"/>
    <n v="131"/>
    <n v="3"/>
    <n v="2"/>
    <n v="1"/>
    <n v="4"/>
    <n v="6"/>
    <n v="0"/>
    <n v="0"/>
    <n v="0"/>
    <n v="0"/>
    <n v="0"/>
    <n v="0"/>
    <n v="0"/>
  </r>
  <r>
    <d v="2013-10-04T00:00:00"/>
    <n v="8334"/>
    <n v="1971"/>
    <x v="0"/>
    <s v="Master"/>
    <s v="Single"/>
    <n v="33316"/>
    <n v="2"/>
    <n v="34"/>
    <n v="79"/>
    <n v="1"/>
    <n v="31"/>
    <n v="4"/>
    <n v="4"/>
    <n v="12"/>
    <n v="131"/>
    <n v="3"/>
    <n v="2"/>
    <n v="1"/>
    <n v="4"/>
    <n v="6"/>
    <n v="0"/>
    <n v="0"/>
    <n v="0"/>
    <n v="0"/>
    <n v="0"/>
    <n v="0"/>
    <n v="0"/>
  </r>
  <r>
    <d v="2013-09-25T00:00:00"/>
    <n v="1987"/>
    <n v="1987"/>
    <x v="0"/>
    <s v="Basic"/>
    <s v="Single"/>
    <n v="21063"/>
    <n v="1"/>
    <n v="34"/>
    <n v="1"/>
    <n v="10"/>
    <n v="11"/>
    <n v="19"/>
    <n v="3"/>
    <n v="15"/>
    <n v="59"/>
    <n v="2"/>
    <n v="2"/>
    <n v="0"/>
    <n v="3"/>
    <n v="6"/>
    <n v="0"/>
    <n v="0"/>
    <n v="0"/>
    <n v="0"/>
    <n v="0"/>
    <n v="0"/>
    <n v="0"/>
  </r>
  <r>
    <d v="2013-09-15T00:00:00"/>
    <n v="2281"/>
    <n v="1970"/>
    <x v="4"/>
    <s v="Graduation"/>
    <s v="Single"/>
    <n v="33697"/>
    <n v="1"/>
    <n v="34"/>
    <n v="4"/>
    <n v="3"/>
    <n v="7"/>
    <n v="0"/>
    <n v="3"/>
    <n v="11"/>
    <n v="28"/>
    <n v="1"/>
    <n v="1"/>
    <n v="0"/>
    <n v="2"/>
    <n v="7"/>
    <n v="1"/>
    <n v="0"/>
    <n v="0"/>
    <n v="0"/>
    <n v="0"/>
    <n v="0"/>
    <n v="0"/>
  </r>
  <r>
    <d v="2013-09-01T00:00:00"/>
    <n v="7034"/>
    <n v="1978"/>
    <x v="1"/>
    <s v="2n Cycle"/>
    <s v="Married"/>
    <n v="25804"/>
    <n v="1"/>
    <n v="34"/>
    <n v="8"/>
    <n v="7"/>
    <n v="9"/>
    <n v="13"/>
    <n v="6"/>
    <n v="12"/>
    <n v="55"/>
    <n v="2"/>
    <n v="2"/>
    <n v="0"/>
    <n v="3"/>
    <n v="8"/>
    <n v="0"/>
    <n v="0"/>
    <n v="0"/>
    <n v="0"/>
    <n v="0"/>
    <n v="0"/>
    <n v="0"/>
  </r>
  <r>
    <d v="2013-08-20T00:00:00"/>
    <n v="2797"/>
    <n v="1977"/>
    <x v="0"/>
    <s v="Graduation"/>
    <s v="Married"/>
    <n v="72117"/>
    <n v="1"/>
    <n v="34"/>
    <n v="707"/>
    <n v="20"/>
    <n v="171"/>
    <n v="65"/>
    <n v="60"/>
    <n v="50"/>
    <n v="1073"/>
    <n v="1"/>
    <n v="9"/>
    <n v="7"/>
    <n v="9"/>
    <n v="5"/>
    <n v="0"/>
    <n v="0"/>
    <n v="0"/>
    <n v="0"/>
    <n v="0"/>
    <n v="0"/>
    <n v="0"/>
  </r>
  <r>
    <d v="2013-08-02T00:00:00"/>
    <n v="3934"/>
    <n v="1966"/>
    <x v="5"/>
    <s v="Graduation"/>
    <s v="Married"/>
    <n v="61286"/>
    <n v="1"/>
    <n v="34"/>
    <n v="356"/>
    <n v="0"/>
    <n v="107"/>
    <n v="19"/>
    <n v="9"/>
    <n v="117"/>
    <n v="608"/>
    <n v="2"/>
    <n v="7"/>
    <n v="1"/>
    <n v="8"/>
    <n v="5"/>
    <n v="0"/>
    <n v="0"/>
    <n v="0"/>
    <n v="0"/>
    <n v="0"/>
    <n v="0"/>
    <n v="0"/>
  </r>
  <r>
    <d v="2013-08-02T00:00:00"/>
    <n v="2493"/>
    <n v="1966"/>
    <x v="4"/>
    <s v="Graduation"/>
    <s v="Married"/>
    <n v="61286"/>
    <n v="1"/>
    <n v="34"/>
    <n v="356"/>
    <n v="0"/>
    <n v="107"/>
    <n v="19"/>
    <n v="9"/>
    <n v="117"/>
    <n v="608"/>
    <n v="2"/>
    <n v="7"/>
    <n v="1"/>
    <n v="8"/>
    <n v="5"/>
    <n v="0"/>
    <n v="0"/>
    <n v="0"/>
    <n v="0"/>
    <n v="0"/>
    <n v="0"/>
    <n v="0"/>
  </r>
  <r>
    <d v="2013-07-25T00:00:00"/>
    <n v="3759"/>
    <n v="1958"/>
    <x v="0"/>
    <s v="Graduation"/>
    <s v="Together"/>
    <n v="65196"/>
    <n v="2"/>
    <n v="34"/>
    <n v="743"/>
    <n v="19"/>
    <n v="181"/>
    <n v="12"/>
    <n v="0"/>
    <n v="200"/>
    <n v="1155"/>
    <n v="2"/>
    <n v="7"/>
    <n v="6"/>
    <n v="11"/>
    <n v="5"/>
    <n v="1"/>
    <n v="0"/>
    <n v="0"/>
    <n v="0"/>
    <n v="0"/>
    <n v="0"/>
    <n v="0"/>
  </r>
  <r>
    <d v="2012-11-13T00:00:00"/>
    <n v="965"/>
    <n v="1971"/>
    <x v="2"/>
    <s v="Graduation"/>
    <s v="Divorced"/>
    <n v="55635"/>
    <n v="1"/>
    <n v="34"/>
    <n v="235"/>
    <n v="65"/>
    <n v="164"/>
    <n v="50"/>
    <n v="49"/>
    <n v="27"/>
    <n v="590"/>
    <n v="4"/>
    <n v="7"/>
    <n v="3"/>
    <n v="7"/>
    <n v="6"/>
    <n v="0"/>
    <n v="0"/>
    <n v="0"/>
    <n v="0"/>
    <n v="0"/>
    <n v="0"/>
    <n v="0"/>
  </r>
  <r>
    <d v="2012-08-31T00:00:00"/>
    <n v="7378"/>
    <n v="1981"/>
    <x v="0"/>
    <s v="Master"/>
    <s v="Together"/>
    <n v="42021"/>
    <n v="1"/>
    <n v="34"/>
    <n v="393"/>
    <n v="5"/>
    <n v="136"/>
    <n v="7"/>
    <n v="5"/>
    <n v="27"/>
    <n v="573"/>
    <n v="5"/>
    <n v="10"/>
    <n v="1"/>
    <n v="6"/>
    <n v="9"/>
    <n v="1"/>
    <n v="0"/>
    <n v="0"/>
    <n v="0"/>
    <n v="0"/>
    <n v="0"/>
    <n v="0"/>
  </r>
  <r>
    <d v="2012-08-27T00:00:00"/>
    <n v="1859"/>
    <n v="1972"/>
    <x v="4"/>
    <s v="Master"/>
    <s v="Married"/>
    <n v="75251"/>
    <n v="0"/>
    <n v="34"/>
    <n v="721"/>
    <n v="111"/>
    <n v="925"/>
    <n v="97"/>
    <n v="18"/>
    <n v="18"/>
    <n v="1890"/>
    <n v="1"/>
    <n v="7"/>
    <n v="6"/>
    <n v="5"/>
    <n v="5"/>
    <n v="0"/>
    <n v="0"/>
    <n v="0"/>
    <n v="0"/>
    <n v="0"/>
    <n v="1"/>
    <n v="0"/>
  </r>
  <r>
    <d v="2012-08-22T00:00:00"/>
    <n v="6263"/>
    <n v="1968"/>
    <x v="0"/>
    <s v="Graduation"/>
    <s v="Together"/>
    <n v="35322"/>
    <n v="3"/>
    <n v="34"/>
    <n v="28"/>
    <n v="9"/>
    <n v="37"/>
    <n v="12"/>
    <n v="7"/>
    <n v="13"/>
    <n v="106"/>
    <n v="3"/>
    <n v="2"/>
    <n v="0"/>
    <n v="4"/>
    <n v="8"/>
    <n v="0"/>
    <n v="0"/>
    <n v="0"/>
    <n v="0"/>
    <n v="0"/>
    <n v="0"/>
    <n v="0"/>
  </r>
  <r>
    <d v="2012-08-16T00:00:00"/>
    <n v="2072"/>
    <n v="1969"/>
    <x v="1"/>
    <s v="PhD"/>
    <s v="Together"/>
    <n v="53374"/>
    <n v="1"/>
    <n v="34"/>
    <n v="896"/>
    <n v="10"/>
    <n v="101"/>
    <n v="13"/>
    <n v="10"/>
    <n v="34"/>
    <n v="1064"/>
    <n v="6"/>
    <n v="4"/>
    <n v="2"/>
    <n v="9"/>
    <n v="9"/>
    <n v="1"/>
    <n v="0"/>
    <n v="0"/>
    <n v="0"/>
    <n v="0"/>
    <n v="1"/>
    <n v="0"/>
  </r>
  <r>
    <d v="2014-05-08T00:00:00"/>
    <n v="8908"/>
    <n v="1959"/>
    <x v="1"/>
    <s v="Graduation"/>
    <s v="Married"/>
    <n v="87195"/>
    <n v="0"/>
    <n v="35"/>
    <n v="217"/>
    <n v="76"/>
    <n v="690"/>
    <n v="50"/>
    <n v="26"/>
    <n v="38"/>
    <n v="1097"/>
    <n v="1"/>
    <n v="3"/>
    <n v="11"/>
    <n v="5"/>
    <n v="1"/>
    <n v="0"/>
    <n v="0"/>
    <n v="0"/>
    <n v="0"/>
    <n v="0"/>
    <n v="1"/>
    <n v="0"/>
  </r>
  <r>
    <d v="2014-04-04T00:00:00"/>
    <n v="738"/>
    <n v="1981"/>
    <x v="5"/>
    <s v="2n Cycle"/>
    <s v="Single"/>
    <n v="42395"/>
    <n v="2"/>
    <n v="35"/>
    <n v="48"/>
    <n v="13"/>
    <n v="57"/>
    <n v="24"/>
    <n v="15"/>
    <n v="25"/>
    <n v="182"/>
    <n v="4"/>
    <n v="3"/>
    <n v="1"/>
    <n v="4"/>
    <n v="7"/>
    <n v="0"/>
    <n v="0"/>
    <n v="0"/>
    <n v="0"/>
    <n v="0"/>
    <n v="0"/>
    <n v="0"/>
  </r>
  <r>
    <d v="2014-03-12T00:00:00"/>
    <n v="10129"/>
    <n v="1966"/>
    <x v="0"/>
    <s v="Graduation"/>
    <s v="Together"/>
    <n v="82427"/>
    <n v="0"/>
    <n v="35"/>
    <n v="482"/>
    <n v="147"/>
    <n v="509"/>
    <n v="104"/>
    <n v="107"/>
    <n v="107"/>
    <n v="1456"/>
    <n v="1"/>
    <n v="3"/>
    <n v="5"/>
    <n v="12"/>
    <n v="1"/>
    <n v="0"/>
    <n v="0"/>
    <n v="1"/>
    <n v="0"/>
    <n v="0"/>
    <n v="0"/>
    <n v="0"/>
  </r>
  <r>
    <d v="2014-02-15T00:00:00"/>
    <n v="807"/>
    <n v="1969"/>
    <x v="5"/>
    <s v="Master"/>
    <s v="Together"/>
    <n v="44602"/>
    <n v="2"/>
    <n v="35"/>
    <n v="167"/>
    <n v="2"/>
    <n v="89"/>
    <n v="0"/>
    <n v="0"/>
    <n v="34"/>
    <n v="292"/>
    <n v="6"/>
    <n v="6"/>
    <n v="1"/>
    <n v="4"/>
    <n v="8"/>
    <n v="0"/>
    <n v="0"/>
    <n v="0"/>
    <n v="0"/>
    <n v="0"/>
    <n v="0"/>
    <n v="0"/>
  </r>
  <r>
    <d v="2014-02-12T00:00:00"/>
    <n v="3334"/>
    <n v="1951"/>
    <x v="0"/>
    <s v="Graduation"/>
    <s v="Married"/>
    <n v="94642"/>
    <n v="0"/>
    <n v="35"/>
    <n v="879"/>
    <n v="143"/>
    <n v="797"/>
    <n v="106"/>
    <n v="143"/>
    <n v="143"/>
    <n v="2211"/>
    <n v="0"/>
    <n v="5"/>
    <n v="7"/>
    <n v="9"/>
    <n v="1"/>
    <n v="0"/>
    <n v="0"/>
    <n v="1"/>
    <n v="1"/>
    <n v="0"/>
    <n v="0"/>
    <n v="0"/>
  </r>
  <r>
    <d v="2013-10-27T00:00:00"/>
    <n v="5423"/>
    <n v="1983"/>
    <x v="6"/>
    <s v="Graduation"/>
    <s v="Together"/>
    <n v="28359"/>
    <n v="1"/>
    <n v="35"/>
    <n v="6"/>
    <n v="0"/>
    <n v="5"/>
    <n v="2"/>
    <n v="1"/>
    <n v="2"/>
    <n v="16"/>
    <n v="1"/>
    <n v="1"/>
    <n v="0"/>
    <n v="2"/>
    <n v="7"/>
    <n v="0"/>
    <n v="0"/>
    <n v="0"/>
    <n v="0"/>
    <n v="0"/>
    <n v="0"/>
    <n v="0"/>
  </r>
  <r>
    <d v="2013-09-22T00:00:00"/>
    <n v="4426"/>
    <n v="1975"/>
    <x v="2"/>
    <s v="Graduation"/>
    <s v="Single"/>
    <n v="55801"/>
    <n v="2"/>
    <n v="35"/>
    <n v="367"/>
    <n v="4"/>
    <n v="51"/>
    <n v="6"/>
    <n v="4"/>
    <n v="95"/>
    <n v="527"/>
    <n v="6"/>
    <n v="7"/>
    <n v="2"/>
    <n v="6"/>
    <n v="7"/>
    <n v="0"/>
    <n v="0"/>
    <n v="0"/>
    <n v="1"/>
    <n v="0"/>
    <n v="0"/>
    <n v="0"/>
  </r>
  <r>
    <d v="2013-08-19T00:00:00"/>
    <n v="10489"/>
    <n v="1973"/>
    <x v="6"/>
    <s v="Graduation"/>
    <s v="Married"/>
    <n v="92955"/>
    <n v="0"/>
    <n v="35"/>
    <n v="693"/>
    <n v="21"/>
    <n v="925"/>
    <n v="31"/>
    <n v="24"/>
    <n v="84"/>
    <n v="1778"/>
    <n v="1"/>
    <n v="6"/>
    <n v="7"/>
    <n v="9"/>
    <n v="2"/>
    <n v="0"/>
    <n v="0"/>
    <n v="1"/>
    <n v="1"/>
    <n v="0"/>
    <n v="1"/>
    <n v="0"/>
  </r>
  <r>
    <d v="2013-07-23T00:00:00"/>
    <n v="2570"/>
    <n v="1968"/>
    <x v="0"/>
    <s v="Graduation"/>
    <s v="Together"/>
    <n v="56534"/>
    <n v="1"/>
    <n v="35"/>
    <n v="691"/>
    <n v="7"/>
    <n v="61"/>
    <n v="10"/>
    <n v="0"/>
    <n v="46"/>
    <n v="815"/>
    <n v="4"/>
    <n v="10"/>
    <n v="4"/>
    <n v="7"/>
    <n v="8"/>
    <n v="0"/>
    <n v="1"/>
    <n v="0"/>
    <n v="0"/>
    <n v="1"/>
    <n v="1"/>
    <n v="0"/>
  </r>
  <r>
    <d v="2013-03-17T00:00:00"/>
    <n v="3834"/>
    <n v="1962"/>
    <x v="2"/>
    <s v="Graduation"/>
    <s v="Single"/>
    <n v="69627"/>
    <n v="1"/>
    <n v="35"/>
    <n v="231"/>
    <n v="161"/>
    <n v="215"/>
    <n v="171"/>
    <n v="30"/>
    <n v="53"/>
    <n v="861"/>
    <n v="2"/>
    <n v="8"/>
    <n v="2"/>
    <n v="11"/>
    <n v="5"/>
    <n v="0"/>
    <n v="0"/>
    <n v="0"/>
    <n v="0"/>
    <n v="0"/>
    <n v="0"/>
    <n v="0"/>
  </r>
  <r>
    <d v="2012-12-22T00:00:00"/>
    <n v="590"/>
    <n v="1970"/>
    <x v="0"/>
    <s v="Master"/>
    <s v="Divorced"/>
    <n v="78579"/>
    <n v="0"/>
    <n v="35"/>
    <n v="816"/>
    <n v="66"/>
    <n v="549"/>
    <n v="216"/>
    <n v="66"/>
    <n v="99"/>
    <n v="1812"/>
    <n v="1"/>
    <n v="5"/>
    <n v="6"/>
    <n v="4"/>
    <n v="3"/>
    <n v="0"/>
    <n v="0"/>
    <n v="0"/>
    <n v="0"/>
    <n v="0"/>
    <n v="1"/>
    <n v="0"/>
  </r>
  <r>
    <d v="2012-12-16T00:00:00"/>
    <n v="4791"/>
    <n v="1980"/>
    <x v="3"/>
    <s v="Graduation"/>
    <s v="Together"/>
    <n v="44964"/>
    <n v="2"/>
    <n v="35"/>
    <n v="19"/>
    <n v="1"/>
    <n v="17"/>
    <n v="2"/>
    <n v="0"/>
    <n v="2"/>
    <n v="41"/>
    <n v="1"/>
    <n v="1"/>
    <n v="0"/>
    <n v="3"/>
    <n v="8"/>
    <n v="0"/>
    <n v="0"/>
    <n v="0"/>
    <n v="0"/>
    <n v="0"/>
    <n v="0"/>
    <n v="0"/>
  </r>
  <r>
    <d v="2012-10-13T00:00:00"/>
    <n v="5304"/>
    <n v="1974"/>
    <x v="6"/>
    <s v="PhD"/>
    <s v="Single"/>
    <n v="30899"/>
    <n v="1"/>
    <n v="35"/>
    <n v="24"/>
    <n v="0"/>
    <n v="8"/>
    <n v="0"/>
    <n v="0"/>
    <n v="1"/>
    <n v="33"/>
    <n v="2"/>
    <n v="1"/>
    <n v="0"/>
    <n v="3"/>
    <n v="6"/>
    <n v="0"/>
    <n v="0"/>
    <n v="0"/>
    <n v="0"/>
    <n v="0"/>
    <n v="0"/>
    <n v="0"/>
  </r>
  <r>
    <d v="2012-09-14T00:00:00"/>
    <n v="2426"/>
    <n v="1964"/>
    <x v="0"/>
    <s v="PhD"/>
    <s v="Divorced"/>
    <n v="78825"/>
    <n v="0"/>
    <n v="35"/>
    <n v="483"/>
    <n v="74"/>
    <n v="114"/>
    <n v="169"/>
    <n v="37"/>
    <n v="18"/>
    <n v="895"/>
    <n v="1"/>
    <n v="5"/>
    <n v="10"/>
    <n v="13"/>
    <n v="3"/>
    <n v="0"/>
    <n v="0"/>
    <n v="0"/>
    <n v="0"/>
    <n v="0"/>
    <n v="1"/>
    <n v="0"/>
  </r>
  <r>
    <d v="2012-09-08T00:00:00"/>
    <n v="35"/>
    <n v="1987"/>
    <x v="0"/>
    <s v="Graduation"/>
    <s v="Married"/>
    <n v="25545"/>
    <n v="1"/>
    <n v="35"/>
    <n v="32"/>
    <n v="1"/>
    <n v="64"/>
    <n v="16"/>
    <n v="12"/>
    <n v="85"/>
    <n v="210"/>
    <n v="3"/>
    <n v="2"/>
    <n v="2"/>
    <n v="3"/>
    <n v="6"/>
    <n v="0"/>
    <n v="0"/>
    <n v="0"/>
    <n v="0"/>
    <n v="0"/>
    <n v="1"/>
    <n v="0"/>
  </r>
  <r>
    <d v="2012-09-08T00:00:00"/>
    <n v="8041"/>
    <n v="1971"/>
    <x v="6"/>
    <s v="PhD"/>
    <s v="Widow"/>
    <n v="47111"/>
    <n v="1"/>
    <n v="35"/>
    <n v="595"/>
    <n v="71"/>
    <n v="153"/>
    <n v="120"/>
    <n v="112"/>
    <n v="41"/>
    <n v="1092"/>
    <n v="6"/>
    <n v="3"/>
    <n v="2"/>
    <n v="10"/>
    <n v="9"/>
    <n v="0"/>
    <n v="0"/>
    <n v="0"/>
    <n v="0"/>
    <n v="0"/>
    <n v="0"/>
    <n v="0"/>
  </r>
  <r>
    <d v="2012-08-20T00:00:00"/>
    <n v="3584"/>
    <n v="1955"/>
    <x v="1"/>
    <s v="PhD"/>
    <s v="Single"/>
    <n v="49667"/>
    <n v="0"/>
    <n v="35"/>
    <n v="1181"/>
    <n v="26"/>
    <n v="120"/>
    <n v="17"/>
    <n v="13"/>
    <n v="39"/>
    <n v="1396"/>
    <n v="2"/>
    <n v="5"/>
    <n v="10"/>
    <n v="5"/>
    <n v="8"/>
    <n v="1"/>
    <n v="0"/>
    <n v="0"/>
    <n v="0"/>
    <n v="0"/>
    <n v="1"/>
    <n v="0"/>
  </r>
  <r>
    <d v="2014-04-20T00:00:00"/>
    <n v="7718"/>
    <n v="1947"/>
    <x v="0"/>
    <s v="Master"/>
    <s v="Together"/>
    <n v="66000"/>
    <n v="0"/>
    <n v="36"/>
    <n v="244"/>
    <n v="51"/>
    <n v="270"/>
    <n v="101"/>
    <n v="0"/>
    <n v="45"/>
    <n v="711"/>
    <n v="1"/>
    <n v="1"/>
    <n v="3"/>
    <n v="5"/>
    <n v="1"/>
    <n v="0"/>
    <n v="0"/>
    <n v="0"/>
    <n v="0"/>
    <n v="0"/>
    <n v="0"/>
    <n v="0"/>
  </r>
  <r>
    <d v="2014-03-23T00:00:00"/>
    <n v="8605"/>
    <n v="1964"/>
    <x v="0"/>
    <s v="PhD"/>
    <s v="Together"/>
    <n v="46910"/>
    <n v="2"/>
    <n v="36"/>
    <n v="48"/>
    <n v="0"/>
    <n v="14"/>
    <n v="0"/>
    <n v="0"/>
    <n v="6"/>
    <n v="68"/>
    <n v="2"/>
    <n v="2"/>
    <n v="0"/>
    <n v="3"/>
    <n v="6"/>
    <n v="0"/>
    <n v="0"/>
    <n v="0"/>
    <n v="0"/>
    <n v="0"/>
    <n v="0"/>
    <n v="0"/>
  </r>
  <r>
    <d v="2014-03-16T00:00:00"/>
    <n v="1646"/>
    <n v="1972"/>
    <x v="1"/>
    <s v="Basic"/>
    <s v="Married"/>
    <n v="25224"/>
    <n v="1"/>
    <n v="36"/>
    <n v="4"/>
    <n v="9"/>
    <n v="12"/>
    <n v="11"/>
    <n v="2"/>
    <n v="8"/>
    <n v="46"/>
    <n v="2"/>
    <n v="1"/>
    <n v="1"/>
    <n v="3"/>
    <n v="3"/>
    <n v="0"/>
    <n v="0"/>
    <n v="0"/>
    <n v="0"/>
    <n v="0"/>
    <n v="0"/>
    <n v="0"/>
  </r>
  <r>
    <d v="2014-01-07T00:00:00"/>
    <n v="9206"/>
    <n v="1968"/>
    <x v="0"/>
    <s v="Graduation"/>
    <s v="Together"/>
    <n v="77382"/>
    <n v="1"/>
    <n v="36"/>
    <n v="491"/>
    <n v="48"/>
    <n v="231"/>
    <n v="112"/>
    <n v="105"/>
    <n v="134"/>
    <n v="1121"/>
    <n v="2"/>
    <n v="5"/>
    <n v="7"/>
    <n v="12"/>
    <n v="1"/>
    <n v="0"/>
    <n v="0"/>
    <n v="1"/>
    <n v="0"/>
    <n v="0"/>
    <n v="0"/>
    <n v="0"/>
  </r>
  <r>
    <d v="2013-12-24T00:00:00"/>
    <n v="10757"/>
    <n v="1967"/>
    <x v="0"/>
    <s v="PhD"/>
    <s v="Divorced"/>
    <n v="28420"/>
    <n v="1"/>
    <n v="36"/>
    <n v="4"/>
    <n v="2"/>
    <n v="5"/>
    <n v="2"/>
    <n v="0"/>
    <n v="0"/>
    <n v="13"/>
    <n v="1"/>
    <n v="1"/>
    <n v="0"/>
    <n v="2"/>
    <n v="6"/>
    <n v="0"/>
    <n v="0"/>
    <n v="0"/>
    <n v="0"/>
    <n v="0"/>
    <n v="0"/>
    <n v="0"/>
  </r>
  <r>
    <d v="2013-12-01T00:00:00"/>
    <n v="6885"/>
    <n v="1977"/>
    <x v="1"/>
    <s v="Graduation"/>
    <s v="Divorced"/>
    <n v="32952"/>
    <n v="1"/>
    <n v="36"/>
    <n v="38"/>
    <n v="0"/>
    <n v="12"/>
    <n v="3"/>
    <n v="1"/>
    <n v="1"/>
    <n v="55"/>
    <n v="1"/>
    <n v="2"/>
    <n v="0"/>
    <n v="3"/>
    <n v="7"/>
    <n v="0"/>
    <n v="0"/>
    <n v="0"/>
    <n v="0"/>
    <n v="0"/>
    <n v="0"/>
    <n v="0"/>
  </r>
  <r>
    <d v="2013-11-29T00:00:00"/>
    <n v="907"/>
    <n v="1975"/>
    <x v="0"/>
    <s v="Graduation"/>
    <s v="Married"/>
    <n v="46149"/>
    <n v="1"/>
    <n v="36"/>
    <n v="254"/>
    <n v="6"/>
    <n v="71"/>
    <n v="4"/>
    <n v="0"/>
    <n v="27"/>
    <n v="362"/>
    <n v="5"/>
    <n v="5"/>
    <n v="1"/>
    <n v="7"/>
    <n v="5"/>
    <n v="0"/>
    <n v="0"/>
    <n v="0"/>
    <n v="0"/>
    <n v="0"/>
    <n v="0"/>
    <n v="0"/>
  </r>
  <r>
    <d v="2013-09-26T00:00:00"/>
    <n v="1150"/>
    <n v="1899"/>
    <x v="0"/>
    <s v="PhD"/>
    <s v="Together"/>
    <n v="83532"/>
    <n v="0"/>
    <n v="36"/>
    <n v="755"/>
    <n v="144"/>
    <n v="562"/>
    <n v="104"/>
    <n v="64"/>
    <n v="224"/>
    <n v="1853"/>
    <n v="1"/>
    <n v="4"/>
    <n v="6"/>
    <n v="4"/>
    <n v="1"/>
    <n v="0"/>
    <n v="0"/>
    <n v="1"/>
    <n v="0"/>
    <n v="0"/>
    <n v="0"/>
    <n v="0"/>
  </r>
  <r>
    <d v="2013-08-31T00:00:00"/>
    <n v="3867"/>
    <n v="1947"/>
    <x v="0"/>
    <s v="PhD"/>
    <s v="Together"/>
    <n v="73059"/>
    <n v="1"/>
    <n v="36"/>
    <n v="410"/>
    <n v="112"/>
    <n v="420"/>
    <n v="0"/>
    <n v="82"/>
    <n v="71"/>
    <n v="1095"/>
    <n v="1"/>
    <n v="9"/>
    <n v="3"/>
    <n v="13"/>
    <n v="4"/>
    <n v="0"/>
    <n v="0"/>
    <n v="0"/>
    <n v="0"/>
    <n v="0"/>
    <n v="0"/>
    <n v="0"/>
  </r>
  <r>
    <d v="2013-08-31T00:00:00"/>
    <n v="3859"/>
    <n v="1947"/>
    <x v="6"/>
    <s v="PhD"/>
    <s v="Together"/>
    <n v="73059"/>
    <n v="1"/>
    <n v="36"/>
    <n v="410"/>
    <n v="112"/>
    <n v="420"/>
    <n v="0"/>
    <n v="82"/>
    <n v="71"/>
    <n v="1095"/>
    <n v="1"/>
    <n v="9"/>
    <n v="3"/>
    <n v="13"/>
    <n v="4"/>
    <n v="0"/>
    <n v="0"/>
    <n v="0"/>
    <n v="0"/>
    <n v="0"/>
    <n v="0"/>
    <n v="0"/>
  </r>
  <r>
    <d v="2013-03-19T00:00:00"/>
    <n v="3265"/>
    <n v="1959"/>
    <x v="0"/>
    <s v="Graduation"/>
    <s v="Married"/>
    <n v="35701"/>
    <n v="0"/>
    <n v="36"/>
    <n v="21"/>
    <n v="1"/>
    <n v="9"/>
    <n v="7"/>
    <n v="3"/>
    <n v="5"/>
    <n v="46"/>
    <n v="1"/>
    <n v="1"/>
    <n v="0"/>
    <n v="3"/>
    <n v="6"/>
    <n v="0"/>
    <n v="0"/>
    <n v="0"/>
    <n v="0"/>
    <n v="0"/>
    <n v="0"/>
    <n v="0"/>
  </r>
  <r>
    <d v="2013-02-25T00:00:00"/>
    <n v="4418"/>
    <n v="1983"/>
    <x v="1"/>
    <s v="Master"/>
    <s v="Single"/>
    <n v="89616"/>
    <n v="0"/>
    <n v="36"/>
    <n v="671"/>
    <n v="47"/>
    <n v="655"/>
    <n v="145"/>
    <n v="111"/>
    <n v="15"/>
    <n v="1644"/>
    <n v="1"/>
    <n v="7"/>
    <n v="5"/>
    <n v="12"/>
    <n v="2"/>
    <n v="0"/>
    <n v="0"/>
    <n v="0"/>
    <n v="0"/>
    <n v="0"/>
    <n v="1"/>
    <n v="0"/>
  </r>
  <r>
    <d v="2013-01-21T00:00:00"/>
    <n v="4611"/>
    <n v="1970"/>
    <x v="0"/>
    <s v="Graduation"/>
    <s v="Together"/>
    <n v="105471"/>
    <n v="0"/>
    <n v="36"/>
    <n v="1009"/>
    <n v="181"/>
    <n v="104"/>
    <n v="202"/>
    <n v="21"/>
    <n v="207"/>
    <n v="1724"/>
    <n v="0"/>
    <n v="9"/>
    <n v="8"/>
    <n v="13"/>
    <n v="3"/>
    <n v="0"/>
    <n v="0"/>
    <n v="1"/>
    <n v="1"/>
    <n v="0"/>
    <n v="1"/>
    <n v="0"/>
  </r>
  <r>
    <d v="2012-10-24T00:00:00"/>
    <n v="4530"/>
    <n v="1948"/>
    <x v="4"/>
    <s v="Master"/>
    <s v="Widow"/>
    <n v="78427"/>
    <n v="0"/>
    <n v="36"/>
    <n v="972"/>
    <n v="19"/>
    <n v="595"/>
    <n v="180"/>
    <n v="26"/>
    <n v="138"/>
    <n v="1930"/>
    <n v="3"/>
    <n v="3"/>
    <n v="7"/>
    <n v="10"/>
    <n v="3"/>
    <n v="0"/>
    <n v="0"/>
    <n v="0"/>
    <n v="1"/>
    <n v="0"/>
    <n v="1"/>
    <n v="0"/>
  </r>
  <r>
    <d v="2012-10-22T00:00:00"/>
    <n v="7736"/>
    <n v="1986"/>
    <x v="0"/>
    <s v="Graduation"/>
    <s v="Married"/>
    <n v="22518"/>
    <n v="1"/>
    <n v="36"/>
    <n v="11"/>
    <n v="7"/>
    <n v="12"/>
    <n v="2"/>
    <n v="2"/>
    <n v="27"/>
    <n v="61"/>
    <n v="2"/>
    <n v="2"/>
    <n v="1"/>
    <n v="2"/>
    <n v="5"/>
    <n v="1"/>
    <n v="0"/>
    <n v="0"/>
    <n v="0"/>
    <n v="0"/>
    <n v="1"/>
    <n v="0"/>
  </r>
  <r>
    <d v="2012-10-18T00:00:00"/>
    <n v="9949"/>
    <n v="1976"/>
    <x v="1"/>
    <s v="Graduation"/>
    <s v="Married"/>
    <n v="59809"/>
    <n v="2"/>
    <n v="36"/>
    <n v="598"/>
    <n v="16"/>
    <n v="141"/>
    <n v="32"/>
    <n v="41"/>
    <n v="49"/>
    <n v="877"/>
    <n v="3"/>
    <n v="3"/>
    <n v="3"/>
    <n v="6"/>
    <n v="8"/>
    <n v="0"/>
    <n v="0"/>
    <n v="0"/>
    <n v="0"/>
    <n v="0"/>
    <n v="0"/>
    <n v="0"/>
  </r>
  <r>
    <d v="2012-08-08T00:00:00"/>
    <n v="942"/>
    <n v="1982"/>
    <x v="0"/>
    <s v="Graduation"/>
    <s v="Single"/>
    <n v="39660"/>
    <n v="1"/>
    <n v="36"/>
    <n v="139"/>
    <n v="13"/>
    <n v="78"/>
    <n v="20"/>
    <n v="13"/>
    <n v="36"/>
    <n v="299"/>
    <n v="3"/>
    <n v="7"/>
    <n v="1"/>
    <n v="3"/>
    <n v="9"/>
    <n v="0"/>
    <n v="0"/>
    <n v="0"/>
    <n v="0"/>
    <n v="0"/>
    <n v="1"/>
    <n v="0"/>
  </r>
  <r>
    <d v="2012-07-31T00:00:00"/>
    <n v="6181"/>
    <n v="1950"/>
    <x v="2"/>
    <s v="2n Cycle"/>
    <s v="Together"/>
    <n v="52203"/>
    <n v="0"/>
    <n v="36"/>
    <n v="488"/>
    <n v="21"/>
    <n v="238"/>
    <n v="56"/>
    <n v="108"/>
    <n v="28"/>
    <n v="939"/>
    <n v="1"/>
    <n v="8"/>
    <n v="7"/>
    <n v="11"/>
    <n v="6"/>
    <n v="0"/>
    <n v="0"/>
    <n v="0"/>
    <n v="0"/>
    <n v="0"/>
    <n v="0"/>
    <n v="0"/>
  </r>
  <r>
    <d v="2014-05-19T00:00:00"/>
    <n v="7660"/>
    <n v="1973"/>
    <x v="1"/>
    <s v="PhD"/>
    <s v="Single"/>
    <n v="35860"/>
    <n v="2"/>
    <n v="37"/>
    <n v="15"/>
    <n v="0"/>
    <n v="8"/>
    <n v="4"/>
    <n v="2"/>
    <n v="20"/>
    <n v="49"/>
    <n v="2"/>
    <n v="1"/>
    <n v="1"/>
    <n v="2"/>
    <n v="5"/>
    <n v="1"/>
    <n v="0"/>
    <n v="0"/>
    <n v="0"/>
    <n v="0"/>
    <n v="1"/>
    <n v="0"/>
  </r>
  <r>
    <d v="2014-05-19T00:00:00"/>
    <n v="2055"/>
    <n v="1973"/>
    <x v="0"/>
    <s v="PhD"/>
    <s v="Divorced"/>
    <n v="35860"/>
    <n v="2"/>
    <n v="37"/>
    <n v="15"/>
    <n v="0"/>
    <n v="8"/>
    <n v="4"/>
    <n v="2"/>
    <n v="20"/>
    <n v="49"/>
    <n v="2"/>
    <n v="1"/>
    <n v="1"/>
    <n v="2"/>
    <n v="5"/>
    <n v="1"/>
    <n v="0"/>
    <n v="0"/>
    <n v="0"/>
    <n v="0"/>
    <n v="0"/>
    <n v="0"/>
  </r>
  <r>
    <d v="2014-05-19T00:00:00"/>
    <n v="5107"/>
    <n v="1973"/>
    <x v="0"/>
    <s v="PhD"/>
    <s v="Divorced"/>
    <n v="35860"/>
    <n v="2"/>
    <n v="37"/>
    <n v="15"/>
    <n v="0"/>
    <n v="8"/>
    <n v="4"/>
    <n v="2"/>
    <n v="20"/>
    <n v="49"/>
    <n v="2"/>
    <n v="1"/>
    <n v="1"/>
    <n v="2"/>
    <n v="5"/>
    <n v="1"/>
    <n v="0"/>
    <n v="0"/>
    <n v="0"/>
    <n v="0"/>
    <n v="0"/>
    <n v="0"/>
  </r>
  <r>
    <d v="2014-05-19T00:00:00"/>
    <n v="1626"/>
    <n v="1973"/>
    <x v="6"/>
    <s v="PhD"/>
    <s v="Divorced"/>
    <n v="35860"/>
    <n v="2"/>
    <n v="37"/>
    <n v="15"/>
    <n v="0"/>
    <n v="8"/>
    <n v="4"/>
    <n v="2"/>
    <n v="20"/>
    <n v="49"/>
    <n v="2"/>
    <n v="1"/>
    <n v="1"/>
    <n v="2"/>
    <n v="5"/>
    <n v="1"/>
    <n v="0"/>
    <n v="0"/>
    <n v="0"/>
    <n v="0"/>
    <n v="1"/>
    <n v="0"/>
  </r>
  <r>
    <d v="2014-05-03T00:00:00"/>
    <n v="6428"/>
    <n v="1950"/>
    <x v="0"/>
    <s v="PhD"/>
    <s v="Widow"/>
    <n v="76842"/>
    <n v="0"/>
    <n v="37"/>
    <n v="605"/>
    <n v="10"/>
    <n v="345"/>
    <n v="84"/>
    <n v="54"/>
    <n v="32"/>
    <n v="1130"/>
    <n v="1"/>
    <n v="1"/>
    <n v="8"/>
    <n v="7"/>
    <n v="0"/>
    <n v="0"/>
    <n v="0"/>
    <n v="0"/>
    <n v="0"/>
    <n v="0"/>
    <n v="0"/>
    <n v="0"/>
  </r>
  <r>
    <d v="2014-04-16T00:00:00"/>
    <n v="9617"/>
    <n v="1951"/>
    <x v="6"/>
    <s v="Graduation"/>
    <s v="Single"/>
    <n v="15033"/>
    <n v="0"/>
    <n v="37"/>
    <n v="0"/>
    <n v="4"/>
    <n v="5"/>
    <n v="6"/>
    <n v="0"/>
    <n v="4"/>
    <n v="19"/>
    <n v="1"/>
    <n v="1"/>
    <n v="0"/>
    <n v="3"/>
    <n v="3"/>
    <n v="0"/>
    <n v="0"/>
    <n v="0"/>
    <n v="0"/>
    <n v="0"/>
    <n v="0"/>
    <n v="0"/>
  </r>
  <r>
    <d v="2013-12-31T00:00:00"/>
    <n v="4339"/>
    <n v="1970"/>
    <x v="3"/>
    <s v="PhD"/>
    <s v="Married"/>
    <n v="67353"/>
    <n v="1"/>
    <n v="37"/>
    <n v="702"/>
    <n v="17"/>
    <n v="151"/>
    <n v="0"/>
    <n v="8"/>
    <n v="35"/>
    <n v="913"/>
    <n v="5"/>
    <n v="5"/>
    <n v="6"/>
    <n v="12"/>
    <n v="2"/>
    <n v="0"/>
    <n v="0"/>
    <n v="0"/>
    <n v="0"/>
    <n v="0"/>
    <n v="0"/>
    <n v="0"/>
  </r>
  <r>
    <d v="2013-12-09T00:00:00"/>
    <n v="7235"/>
    <n v="1975"/>
    <x v="4"/>
    <s v="2n Cycle"/>
    <s v="Married"/>
    <n v="17003"/>
    <n v="1"/>
    <n v="37"/>
    <n v="2"/>
    <n v="5"/>
    <n v="12"/>
    <n v="4"/>
    <n v="8"/>
    <n v="7"/>
    <n v="38"/>
    <n v="3"/>
    <n v="2"/>
    <n v="0"/>
    <n v="4"/>
    <n v="5"/>
    <n v="0"/>
    <n v="0"/>
    <n v="0"/>
    <n v="0"/>
    <n v="0"/>
    <n v="0"/>
    <n v="0"/>
  </r>
  <r>
    <d v="2013-12-07T00:00:00"/>
    <n v="8527"/>
    <n v="1965"/>
    <x v="0"/>
    <s v="Master"/>
    <s v="Together"/>
    <n v="65735"/>
    <n v="2"/>
    <n v="37"/>
    <n v="239"/>
    <n v="7"/>
    <n v="119"/>
    <n v="4"/>
    <n v="15"/>
    <n v="11"/>
    <n v="395"/>
    <n v="5"/>
    <n v="6"/>
    <n v="2"/>
    <n v="6"/>
    <n v="7"/>
    <n v="0"/>
    <n v="0"/>
    <n v="0"/>
    <n v="0"/>
    <n v="0"/>
    <n v="0"/>
    <n v="0"/>
  </r>
  <r>
    <d v="2013-12-02T00:00:00"/>
    <n v="1968"/>
    <n v="1971"/>
    <x v="6"/>
    <s v="Graduation"/>
    <s v="Widow"/>
    <n v="45684"/>
    <n v="1"/>
    <n v="37"/>
    <n v="5"/>
    <n v="1"/>
    <n v="5"/>
    <n v="10"/>
    <n v="0"/>
    <n v="7"/>
    <n v="28"/>
    <n v="1"/>
    <n v="1"/>
    <n v="0"/>
    <n v="2"/>
    <n v="7"/>
    <n v="0"/>
    <n v="0"/>
    <n v="0"/>
    <n v="0"/>
    <n v="0"/>
    <n v="0"/>
    <n v="0"/>
  </r>
  <r>
    <d v="2013-11-14T00:00:00"/>
    <n v="9862"/>
    <n v="1969"/>
    <x v="1"/>
    <s v="Graduation"/>
    <s v="Together"/>
    <n v="21918"/>
    <n v="1"/>
    <n v="37"/>
    <n v="1"/>
    <n v="6"/>
    <n v="7"/>
    <n v="11"/>
    <n v="5"/>
    <n v="3"/>
    <n v="33"/>
    <n v="2"/>
    <n v="2"/>
    <n v="0"/>
    <n v="3"/>
    <n v="6"/>
    <n v="0"/>
    <n v="0"/>
    <n v="0"/>
    <n v="0"/>
    <n v="0"/>
    <n v="0"/>
    <n v="0"/>
  </r>
  <r>
    <d v="2013-10-29T00:00:00"/>
    <n v="11075"/>
    <n v="1978"/>
    <x v="1"/>
    <s v="Graduation"/>
    <s v="Married"/>
    <n v="51267"/>
    <n v="2"/>
    <n v="37"/>
    <n v="183"/>
    <n v="2"/>
    <n v="64"/>
    <n v="7"/>
    <n v="2"/>
    <n v="12"/>
    <n v="270"/>
    <n v="4"/>
    <n v="3"/>
    <n v="3"/>
    <n v="5"/>
    <n v="4"/>
    <n v="0"/>
    <n v="0"/>
    <n v="0"/>
    <n v="0"/>
    <n v="0"/>
    <n v="0"/>
    <n v="0"/>
  </r>
  <r>
    <d v="2013-07-22T00:00:00"/>
    <n v="6658"/>
    <n v="1972"/>
    <x v="0"/>
    <s v="Graduation"/>
    <s v="Together"/>
    <n v="59868"/>
    <n v="1"/>
    <n v="37"/>
    <n v="771"/>
    <n v="51"/>
    <n v="154"/>
    <n v="54"/>
    <n v="10"/>
    <n v="154"/>
    <n v="1194"/>
    <n v="7"/>
    <n v="11"/>
    <n v="2"/>
    <n v="12"/>
    <n v="6"/>
    <n v="0"/>
    <n v="0"/>
    <n v="0"/>
    <n v="0"/>
    <n v="0"/>
    <n v="0"/>
    <n v="0"/>
  </r>
  <r>
    <d v="2013-06-22T00:00:00"/>
    <n v="4552"/>
    <n v="1991"/>
    <x v="0"/>
    <s v="Graduation"/>
    <s v="Married"/>
    <n v="51373"/>
    <n v="0"/>
    <n v="37"/>
    <n v="83"/>
    <n v="2"/>
    <n v="101"/>
    <n v="64"/>
    <n v="26"/>
    <n v="117"/>
    <n v="393"/>
    <n v="1"/>
    <n v="3"/>
    <n v="5"/>
    <n v="3"/>
    <n v="4"/>
    <n v="0"/>
    <n v="0"/>
    <n v="0"/>
    <n v="0"/>
    <n v="0"/>
    <n v="0"/>
    <n v="0"/>
  </r>
  <r>
    <d v="2013-06-06T00:00:00"/>
    <n v="10377"/>
    <n v="1958"/>
    <x v="0"/>
    <s v="Master"/>
    <s v="Together"/>
    <n v="46692"/>
    <n v="1"/>
    <n v="37"/>
    <n v="170"/>
    <n v="6"/>
    <n v="97"/>
    <n v="24"/>
    <n v="12"/>
    <n v="88"/>
    <n v="397"/>
    <n v="3"/>
    <n v="6"/>
    <n v="1"/>
    <n v="5"/>
    <n v="6"/>
    <n v="0"/>
    <n v="0"/>
    <n v="0"/>
    <n v="0"/>
    <n v="0"/>
    <n v="0"/>
    <n v="0"/>
  </r>
  <r>
    <d v="2013-06-04T00:00:00"/>
    <n v="5336"/>
    <n v="1971"/>
    <x v="0"/>
    <s v="Master"/>
    <s v="Together"/>
    <n v="157733"/>
    <n v="1"/>
    <n v="37"/>
    <n v="39"/>
    <n v="1"/>
    <n v="9"/>
    <n v="2"/>
    <n v="0"/>
    <n v="8"/>
    <n v="59"/>
    <n v="0"/>
    <n v="1"/>
    <n v="0"/>
    <n v="1"/>
    <n v="1"/>
    <n v="0"/>
    <n v="0"/>
    <n v="0"/>
    <n v="0"/>
    <n v="0"/>
    <n v="0"/>
    <n v="0"/>
  </r>
  <r>
    <d v="2013-05-09T00:00:00"/>
    <n v="10350"/>
    <n v="1950"/>
    <x v="0"/>
    <s v="PhD"/>
    <s v="Married"/>
    <n v="54432"/>
    <n v="3"/>
    <n v="37"/>
    <n v="33"/>
    <n v="0"/>
    <n v="5"/>
    <n v="0"/>
    <n v="0"/>
    <n v="0"/>
    <n v="38"/>
    <n v="1"/>
    <n v="1"/>
    <n v="0"/>
    <n v="3"/>
    <n v="4"/>
    <n v="0"/>
    <n v="0"/>
    <n v="0"/>
    <n v="0"/>
    <n v="0"/>
    <n v="0"/>
    <n v="0"/>
  </r>
  <r>
    <d v="2013-04-21T00:00:00"/>
    <n v="11071"/>
    <n v="1984"/>
    <x v="1"/>
    <s v="Graduation"/>
    <s v="Single"/>
    <n v="79607"/>
    <n v="0"/>
    <n v="37"/>
    <n v="450"/>
    <n v="133"/>
    <n v="951"/>
    <n v="173"/>
    <n v="0"/>
    <n v="216"/>
    <n v="1923"/>
    <n v="1"/>
    <n v="3"/>
    <n v="6"/>
    <n v="6"/>
    <n v="1"/>
    <n v="0"/>
    <n v="0"/>
    <n v="0"/>
    <n v="0"/>
    <n v="0"/>
    <n v="1"/>
    <n v="0"/>
  </r>
  <r>
    <d v="2013-04-11T00:00:00"/>
    <n v="11100"/>
    <n v="1972"/>
    <x v="1"/>
    <s v="Graduation"/>
    <s v="Divorced"/>
    <n v="51813"/>
    <n v="2"/>
    <n v="37"/>
    <n v="51"/>
    <n v="2"/>
    <n v="7"/>
    <n v="0"/>
    <n v="1"/>
    <n v="2"/>
    <n v="63"/>
    <n v="2"/>
    <n v="2"/>
    <n v="0"/>
    <n v="3"/>
    <n v="7"/>
    <n v="0"/>
    <n v="0"/>
    <n v="0"/>
    <n v="0"/>
    <n v="0"/>
    <n v="0"/>
    <n v="0"/>
  </r>
  <r>
    <d v="2013-03-18T00:00:00"/>
    <n v="6516"/>
    <n v="1989"/>
    <x v="3"/>
    <s v="Basic"/>
    <s v="Married"/>
    <n v="17487"/>
    <n v="1"/>
    <n v="37"/>
    <n v="0"/>
    <n v="0"/>
    <n v="1"/>
    <n v="7"/>
    <n v="4"/>
    <n v="6"/>
    <n v="18"/>
    <n v="1"/>
    <n v="1"/>
    <n v="0"/>
    <n v="2"/>
    <n v="7"/>
    <n v="0"/>
    <n v="0"/>
    <n v="0"/>
    <n v="0"/>
    <n v="0"/>
    <n v="0"/>
    <n v="0"/>
  </r>
  <r>
    <d v="2013-01-17T00:00:00"/>
    <n v="1734"/>
    <n v="1968"/>
    <x v="6"/>
    <s v="PhD"/>
    <s v="Together"/>
    <n v="40706"/>
    <n v="3"/>
    <n v="37"/>
    <n v="59"/>
    <n v="0"/>
    <n v="11"/>
    <n v="4"/>
    <n v="2"/>
    <n v="5"/>
    <n v="81"/>
    <n v="4"/>
    <n v="3"/>
    <n v="0"/>
    <n v="4"/>
    <n v="7"/>
    <n v="0"/>
    <n v="0"/>
    <n v="0"/>
    <n v="0"/>
    <n v="0"/>
    <n v="0"/>
    <n v="0"/>
  </r>
  <r>
    <d v="2012-12-30T00:00:00"/>
    <n v="2131"/>
    <n v="1959"/>
    <x v="0"/>
    <s v="PhD"/>
    <s v="Divorced"/>
    <n v="62859"/>
    <n v="1"/>
    <n v="37"/>
    <n v="1063"/>
    <n v="89"/>
    <n v="102"/>
    <n v="16"/>
    <n v="12"/>
    <n v="25"/>
    <n v="1307"/>
    <n v="4"/>
    <n v="9"/>
    <n v="4"/>
    <n v="6"/>
    <n v="6"/>
    <n v="0"/>
    <n v="0"/>
    <n v="0"/>
    <n v="0"/>
    <n v="0"/>
    <n v="0"/>
    <n v="0"/>
  </r>
  <r>
    <d v="2012-08-17T00:00:00"/>
    <n v="6439"/>
    <n v="1958"/>
    <x v="6"/>
    <s v="Graduation"/>
    <s v="Married"/>
    <n v="61074"/>
    <n v="1"/>
    <n v="37"/>
    <n v="789"/>
    <n v="0"/>
    <n v="133"/>
    <n v="0"/>
    <n v="28"/>
    <n v="152"/>
    <n v="1102"/>
    <n v="7"/>
    <n v="11"/>
    <n v="5"/>
    <n v="8"/>
    <n v="7"/>
    <n v="0"/>
    <n v="0"/>
    <n v="0"/>
    <n v="0"/>
    <n v="0"/>
    <n v="0"/>
    <n v="0"/>
  </r>
  <r>
    <d v="2012-08-06T00:00:00"/>
    <n v="10591"/>
    <n v="1969"/>
    <x v="0"/>
    <s v="Graduation"/>
    <s v="Widow"/>
    <n v="43638"/>
    <n v="1"/>
    <n v="37"/>
    <n v="63"/>
    <n v="10"/>
    <n v="83"/>
    <n v="7"/>
    <n v="19"/>
    <n v="19"/>
    <n v="201"/>
    <n v="2"/>
    <n v="4"/>
    <n v="1"/>
    <n v="4"/>
    <n v="7"/>
    <n v="0"/>
    <n v="0"/>
    <n v="0"/>
    <n v="0"/>
    <n v="0"/>
    <n v="0"/>
    <n v="0"/>
  </r>
  <r>
    <d v="2014-04-13T00:00:00"/>
    <n v="9797"/>
    <n v="1956"/>
    <x v="0"/>
    <s v="Graduation"/>
    <s v="Married"/>
    <n v="58116"/>
    <n v="1"/>
    <n v="38"/>
    <n v="228"/>
    <n v="19"/>
    <n v="130"/>
    <n v="4"/>
    <n v="11"/>
    <n v="51"/>
    <n v="443"/>
    <n v="2"/>
    <n v="3"/>
    <n v="3"/>
    <n v="8"/>
    <n v="2"/>
    <n v="0"/>
    <n v="0"/>
    <n v="0"/>
    <n v="0"/>
    <n v="0"/>
    <n v="0"/>
    <n v="0"/>
  </r>
  <r>
    <d v="2014-03-22T00:00:00"/>
    <n v="9336"/>
    <n v="1969"/>
    <x v="0"/>
    <s v="PhD"/>
    <s v="Widow"/>
    <n v="62187"/>
    <n v="1"/>
    <n v="38"/>
    <n v="512"/>
    <n v="0"/>
    <n v="83"/>
    <n v="0"/>
    <n v="0"/>
    <n v="41"/>
    <n v="636"/>
    <n v="3"/>
    <n v="6"/>
    <n v="2"/>
    <n v="10"/>
    <n v="4"/>
    <n v="0"/>
    <n v="0"/>
    <n v="0"/>
    <n v="0"/>
    <n v="0"/>
    <n v="0"/>
    <n v="0"/>
  </r>
  <r>
    <d v="2014-03-08T00:00:00"/>
    <n v="2174"/>
    <n v="1954"/>
    <x v="2"/>
    <s v="Graduation"/>
    <s v="Single"/>
    <n v="46344"/>
    <n v="2"/>
    <n v="38"/>
    <n v="11"/>
    <n v="1"/>
    <n v="6"/>
    <n v="2"/>
    <n v="1"/>
    <n v="6"/>
    <n v="27"/>
    <n v="2"/>
    <n v="1"/>
    <n v="1"/>
    <n v="2"/>
    <n v="5"/>
    <n v="0"/>
    <n v="0"/>
    <n v="0"/>
    <n v="0"/>
    <n v="0"/>
    <n v="0"/>
    <n v="0"/>
  </r>
  <r>
    <d v="2013-12-16T00:00:00"/>
    <n v="3197"/>
    <n v="1980"/>
    <x v="0"/>
    <s v="Graduation"/>
    <s v="Married"/>
    <n v="77353"/>
    <n v="1"/>
    <n v="38"/>
    <n v="275"/>
    <n v="59"/>
    <n v="107"/>
    <n v="69"/>
    <n v="101"/>
    <n v="59"/>
    <n v="670"/>
    <n v="2"/>
    <n v="6"/>
    <n v="4"/>
    <n v="8"/>
    <n v="4"/>
    <n v="0"/>
    <n v="0"/>
    <n v="0"/>
    <n v="0"/>
    <n v="0"/>
    <n v="0"/>
    <n v="0"/>
  </r>
  <r>
    <d v="2013-10-28T00:00:00"/>
    <n v="9185"/>
    <n v="1966"/>
    <x v="0"/>
    <s v="PhD"/>
    <s v="Single"/>
    <n v="69759"/>
    <n v="0"/>
    <n v="38"/>
    <n v="452"/>
    <n v="20"/>
    <n v="514"/>
    <n v="13"/>
    <n v="30"/>
    <n v="0"/>
    <n v="1029"/>
    <n v="3"/>
    <n v="4"/>
    <n v="6"/>
    <n v="5"/>
    <n v="3"/>
    <n v="0"/>
    <n v="0"/>
    <n v="0"/>
    <n v="0"/>
    <n v="0"/>
    <n v="1"/>
    <n v="0"/>
  </r>
  <r>
    <d v="2013-10-22T00:00:00"/>
    <n v="905"/>
    <n v="1986"/>
    <x v="6"/>
    <s v="Graduation"/>
    <s v="Divorced"/>
    <n v="21846"/>
    <n v="1"/>
    <n v="38"/>
    <n v="7"/>
    <n v="17"/>
    <n v="18"/>
    <n v="6"/>
    <n v="10"/>
    <n v="26"/>
    <n v="84"/>
    <n v="4"/>
    <n v="4"/>
    <n v="0"/>
    <n v="3"/>
    <n v="8"/>
    <n v="0"/>
    <n v="0"/>
    <n v="0"/>
    <n v="0"/>
    <n v="0"/>
    <n v="0"/>
    <n v="0"/>
  </r>
  <r>
    <d v="2013-09-09T00:00:00"/>
    <n v="10858"/>
    <n v="1975"/>
    <x v="0"/>
    <s v="Graduation"/>
    <s v="Together"/>
    <n v="76532"/>
    <n v="2"/>
    <n v="38"/>
    <n v="355"/>
    <n v="30"/>
    <n v="177"/>
    <n v="90"/>
    <n v="138"/>
    <n v="30"/>
    <n v="820"/>
    <n v="4"/>
    <n v="9"/>
    <n v="5"/>
    <n v="7"/>
    <n v="5"/>
    <n v="0"/>
    <n v="0"/>
    <n v="0"/>
    <n v="0"/>
    <n v="0"/>
    <n v="0"/>
    <n v="0"/>
  </r>
  <r>
    <d v="2013-07-03T00:00:00"/>
    <n v="8925"/>
    <n v="1965"/>
    <x v="0"/>
    <s v="Master"/>
    <s v="Married"/>
    <n v="70053"/>
    <n v="1"/>
    <n v="38"/>
    <n v="512"/>
    <n v="53"/>
    <n v="98"/>
    <n v="81"/>
    <n v="179"/>
    <n v="89"/>
    <n v="1012"/>
    <n v="3"/>
    <n v="8"/>
    <n v="5"/>
    <n v="10"/>
    <n v="5"/>
    <n v="0"/>
    <n v="0"/>
    <n v="0"/>
    <n v="0"/>
    <n v="0"/>
    <n v="0"/>
    <n v="0"/>
  </r>
  <r>
    <d v="2013-05-06T00:00:00"/>
    <n v="2499"/>
    <n v="1958"/>
    <x v="0"/>
    <s v="2n Cycle"/>
    <s v="Single"/>
    <n v="75342"/>
    <n v="1"/>
    <n v="38"/>
    <n v="204"/>
    <n v="97"/>
    <n v="97"/>
    <n v="21"/>
    <n v="118"/>
    <n v="26"/>
    <n v="563"/>
    <n v="1"/>
    <n v="5"/>
    <n v="2"/>
    <n v="10"/>
    <n v="4"/>
    <n v="0"/>
    <n v="0"/>
    <n v="0"/>
    <n v="0"/>
    <n v="0"/>
    <n v="0"/>
    <n v="0"/>
  </r>
  <r>
    <d v="2013-04-23T00:00:00"/>
    <n v="1109"/>
    <n v="1982"/>
    <x v="0"/>
    <s v="Master"/>
    <s v="Together"/>
    <n v="27590"/>
    <n v="1"/>
    <n v="38"/>
    <n v="6"/>
    <n v="0"/>
    <n v="5"/>
    <n v="0"/>
    <n v="0"/>
    <n v="1"/>
    <n v="12"/>
    <n v="1"/>
    <n v="1"/>
    <n v="0"/>
    <n v="2"/>
    <n v="7"/>
    <n v="0"/>
    <n v="0"/>
    <n v="0"/>
    <n v="0"/>
    <n v="0"/>
    <n v="0"/>
    <n v="0"/>
  </r>
  <r>
    <d v="2013-02-18T00:00:00"/>
    <n v="326"/>
    <n v="1973"/>
    <x v="5"/>
    <s v="Graduation"/>
    <s v="Married"/>
    <n v="51148"/>
    <n v="2"/>
    <n v="38"/>
    <n v="235"/>
    <n v="6"/>
    <n v="45"/>
    <n v="8"/>
    <n v="9"/>
    <n v="12"/>
    <n v="315"/>
    <n v="4"/>
    <n v="5"/>
    <n v="1"/>
    <n v="6"/>
    <n v="6"/>
    <n v="0"/>
    <n v="0"/>
    <n v="0"/>
    <n v="0"/>
    <n v="0"/>
    <n v="0"/>
    <n v="0"/>
  </r>
  <r>
    <d v="2013-02-06T00:00:00"/>
    <n v="10967"/>
    <n v="1963"/>
    <x v="6"/>
    <s v="Graduation"/>
    <s v="Divorced"/>
    <n v="33378"/>
    <n v="2"/>
    <n v="38"/>
    <n v="33"/>
    <n v="6"/>
    <n v="40"/>
    <n v="3"/>
    <n v="7"/>
    <n v="10"/>
    <n v="99"/>
    <n v="3"/>
    <n v="2"/>
    <n v="0"/>
    <n v="4"/>
    <n v="7"/>
    <n v="0"/>
    <n v="0"/>
    <n v="0"/>
    <n v="0"/>
    <n v="0"/>
    <n v="0"/>
    <n v="0"/>
  </r>
  <r>
    <d v="2013-01-16T00:00:00"/>
    <n v="5370"/>
    <n v="1973"/>
    <x v="0"/>
    <s v="PhD"/>
    <s v="Married"/>
    <n v="32644"/>
    <n v="1"/>
    <n v="38"/>
    <n v="239"/>
    <n v="3"/>
    <n v="141"/>
    <n v="0"/>
    <n v="7"/>
    <n v="23"/>
    <n v="413"/>
    <n v="4"/>
    <n v="7"/>
    <n v="1"/>
    <n v="6"/>
    <n v="8"/>
    <n v="1"/>
    <n v="0"/>
    <n v="0"/>
    <n v="0"/>
    <n v="0"/>
    <n v="0"/>
    <n v="0"/>
  </r>
  <r>
    <d v="2013-01-08T00:00:00"/>
    <n v="2098"/>
    <n v="1969"/>
    <x v="0"/>
    <s v="PhD"/>
    <s v="Married"/>
    <n v="33581"/>
    <n v="2"/>
    <n v="38"/>
    <n v="11"/>
    <n v="0"/>
    <n v="5"/>
    <n v="0"/>
    <n v="0"/>
    <n v="1"/>
    <n v="17"/>
    <n v="1"/>
    <n v="1"/>
    <n v="0"/>
    <n v="2"/>
    <n v="8"/>
    <n v="0"/>
    <n v="0"/>
    <n v="0"/>
    <n v="0"/>
    <n v="0"/>
    <n v="0"/>
    <n v="0"/>
  </r>
  <r>
    <d v="2012-12-04T00:00:00"/>
    <n v="1773"/>
    <n v="1978"/>
    <x v="6"/>
    <s v="2n Cycle"/>
    <s v="Married"/>
    <n v="12393"/>
    <n v="0"/>
    <n v="38"/>
    <n v="5"/>
    <n v="6"/>
    <n v="15"/>
    <n v="11"/>
    <n v="7"/>
    <n v="13"/>
    <n v="57"/>
    <n v="1"/>
    <n v="2"/>
    <n v="0"/>
    <n v="3"/>
    <n v="9"/>
    <n v="0"/>
    <n v="0"/>
    <n v="0"/>
    <n v="0"/>
    <n v="0"/>
    <n v="0"/>
    <n v="0"/>
  </r>
  <r>
    <d v="2012-11-28T00:00:00"/>
    <n v="5036"/>
    <n v="1984"/>
    <x v="0"/>
    <s v="PhD"/>
    <s v="Single"/>
    <n v="42710"/>
    <n v="1"/>
    <n v="38"/>
    <n v="252"/>
    <n v="3"/>
    <n v="42"/>
    <n v="4"/>
    <n v="3"/>
    <n v="102"/>
    <n v="406"/>
    <n v="2"/>
    <n v="4"/>
    <n v="5"/>
    <n v="3"/>
    <n v="6"/>
    <n v="0"/>
    <n v="0"/>
    <n v="0"/>
    <n v="0"/>
    <n v="0"/>
    <n v="0"/>
    <n v="0"/>
  </r>
  <r>
    <d v="2012-11-06T00:00:00"/>
    <n v="4856"/>
    <n v="1957"/>
    <x v="5"/>
    <s v="2n Cycle"/>
    <s v="Married"/>
    <n v="82347"/>
    <n v="0"/>
    <n v="38"/>
    <n v="556"/>
    <n v="54"/>
    <n v="845"/>
    <n v="202"/>
    <n v="133"/>
    <n v="63"/>
    <n v="1853"/>
    <n v="1"/>
    <n v="7"/>
    <n v="7"/>
    <n v="10"/>
    <n v="3"/>
    <n v="1"/>
    <n v="0"/>
    <n v="0"/>
    <n v="1"/>
    <n v="0"/>
    <n v="0"/>
    <n v="0"/>
  </r>
  <r>
    <d v="2012-11-06T00:00:00"/>
    <n v="8722"/>
    <n v="1957"/>
    <x v="1"/>
    <s v="2n Cycle"/>
    <s v="Married"/>
    <n v="82347"/>
    <n v="0"/>
    <n v="38"/>
    <n v="556"/>
    <n v="54"/>
    <n v="845"/>
    <n v="202"/>
    <n v="133"/>
    <n v="63"/>
    <n v="1853"/>
    <n v="1"/>
    <n v="7"/>
    <n v="7"/>
    <n v="10"/>
    <n v="3"/>
    <n v="1"/>
    <n v="0"/>
    <n v="0"/>
    <n v="1"/>
    <n v="0"/>
    <n v="1"/>
    <n v="0"/>
  </r>
  <r>
    <d v="2012-11-03T00:00:00"/>
    <n v="2156"/>
    <n v="1955"/>
    <x v="0"/>
    <s v="PhD"/>
    <s v="Married"/>
    <n v="22554"/>
    <n v="2"/>
    <n v="38"/>
    <n v="27"/>
    <n v="0"/>
    <n v="10"/>
    <n v="0"/>
    <n v="0"/>
    <n v="4"/>
    <n v="41"/>
    <n v="4"/>
    <n v="2"/>
    <n v="0"/>
    <n v="4"/>
    <n v="5"/>
    <n v="0"/>
    <n v="0"/>
    <n v="0"/>
    <n v="0"/>
    <n v="0"/>
    <n v="0"/>
    <n v="0"/>
  </r>
  <r>
    <d v="2012-10-10T00:00:00"/>
    <n v="2569"/>
    <n v="1987"/>
    <x v="2"/>
    <s v="Graduation"/>
    <s v="Married"/>
    <n v="17323"/>
    <n v="0"/>
    <n v="38"/>
    <n v="3"/>
    <n v="14"/>
    <n v="17"/>
    <n v="6"/>
    <n v="1"/>
    <n v="5"/>
    <n v="46"/>
    <n v="1"/>
    <n v="1"/>
    <n v="0"/>
    <n v="3"/>
    <n v="8"/>
    <n v="0"/>
    <n v="0"/>
    <n v="0"/>
    <n v="0"/>
    <n v="0"/>
    <n v="0"/>
    <n v="0"/>
  </r>
  <r>
    <d v="2012-09-12T00:00:00"/>
    <n v="10151"/>
    <n v="1960"/>
    <x v="0"/>
    <s v="Graduation"/>
    <s v="Divorced"/>
    <n v="62204"/>
    <n v="2"/>
    <n v="38"/>
    <n v="317"/>
    <n v="46"/>
    <n v="247"/>
    <n v="151"/>
    <n v="46"/>
    <n v="139"/>
    <n v="946"/>
    <n v="1"/>
    <n v="4"/>
    <n v="5"/>
    <n v="12"/>
    <n v="3"/>
    <n v="0"/>
    <n v="0"/>
    <n v="0"/>
    <n v="0"/>
    <n v="0"/>
    <n v="0"/>
    <n v="0"/>
  </r>
  <r>
    <d v="2012-09-10T00:00:00"/>
    <n v="10473"/>
    <n v="1956"/>
    <x v="0"/>
    <s v="PhD"/>
    <s v="Widow"/>
    <n v="78028"/>
    <n v="1"/>
    <n v="38"/>
    <n v="158"/>
    <n v="19"/>
    <n v="288"/>
    <n v="25"/>
    <n v="0"/>
    <n v="38"/>
    <n v="528"/>
    <n v="1"/>
    <n v="6"/>
    <n v="4"/>
    <n v="9"/>
    <n v="7"/>
    <n v="0"/>
    <n v="1"/>
    <n v="1"/>
    <n v="0"/>
    <n v="0"/>
    <n v="1"/>
    <n v="0"/>
  </r>
  <r>
    <d v="2012-09-08T00:00:00"/>
    <n v="7079"/>
    <n v="1962"/>
    <x v="6"/>
    <s v="Graduation"/>
    <s v="Divorced"/>
    <n v="63887"/>
    <n v="1"/>
    <n v="38"/>
    <n v="897"/>
    <n v="23"/>
    <n v="207"/>
    <n v="15"/>
    <n v="11"/>
    <n v="92"/>
    <n v="1245"/>
    <n v="5"/>
    <n v="9"/>
    <n v="6"/>
    <n v="12"/>
    <n v="6"/>
    <n v="0"/>
    <n v="0"/>
    <n v="0"/>
    <n v="0"/>
    <n v="0"/>
    <n v="0"/>
    <n v="0"/>
  </r>
  <r>
    <d v="2012-08-28T00:00:00"/>
    <n v="6875"/>
    <n v="1965"/>
    <x v="1"/>
    <s v="PhD"/>
    <s v="Together"/>
    <n v="32727"/>
    <n v="0"/>
    <n v="38"/>
    <n v="167"/>
    <n v="13"/>
    <n v="180"/>
    <n v="86"/>
    <n v="13"/>
    <n v="70"/>
    <n v="529"/>
    <n v="2"/>
    <n v="7"/>
    <n v="3"/>
    <n v="5"/>
    <n v="8"/>
    <n v="0"/>
    <n v="0"/>
    <n v="0"/>
    <n v="0"/>
    <n v="0"/>
    <n v="0"/>
    <n v="0"/>
  </r>
  <r>
    <d v="2012-08-27T00:00:00"/>
    <n v="6728"/>
    <n v="1985"/>
    <x v="0"/>
    <s v="Graduation"/>
    <s v="Together"/>
    <n v="29103"/>
    <n v="1"/>
    <n v="38"/>
    <n v="16"/>
    <n v="0"/>
    <n v="17"/>
    <n v="6"/>
    <n v="3"/>
    <n v="6"/>
    <n v="48"/>
    <n v="2"/>
    <n v="1"/>
    <n v="0"/>
    <n v="3"/>
    <n v="9"/>
    <n v="0"/>
    <n v="0"/>
    <n v="0"/>
    <n v="0"/>
    <n v="0"/>
    <n v="0"/>
    <n v="0"/>
  </r>
  <r>
    <d v="2014-06-27T00:00:00"/>
    <n v="2471"/>
    <n v="1965"/>
    <x v="6"/>
    <s v="Graduation"/>
    <s v="Married"/>
    <n v="61482"/>
    <n v="0"/>
    <n v="39"/>
    <n v="48"/>
    <n v="58"/>
    <n v="68"/>
    <n v="16"/>
    <n v="66"/>
    <n v="43"/>
    <n v="299"/>
    <n v="1"/>
    <n v="3"/>
    <n v="2"/>
    <n v="6"/>
    <n v="2"/>
    <n v="0"/>
    <n v="0"/>
    <n v="0"/>
    <n v="0"/>
    <n v="0"/>
    <n v="0"/>
    <n v="0"/>
  </r>
  <r>
    <d v="2014-05-11T00:00:00"/>
    <n v="49"/>
    <n v="1970"/>
    <x v="1"/>
    <s v="Graduation"/>
    <s v="Single"/>
    <n v="20587"/>
    <n v="1"/>
    <n v="39"/>
    <n v="2"/>
    <n v="3"/>
    <n v="6"/>
    <n v="4"/>
    <n v="1"/>
    <n v="9"/>
    <n v="25"/>
    <n v="1"/>
    <n v="1"/>
    <n v="1"/>
    <n v="2"/>
    <n v="7"/>
    <n v="0"/>
    <n v="0"/>
    <n v="0"/>
    <n v="0"/>
    <n v="0"/>
    <n v="0"/>
    <n v="0"/>
  </r>
  <r>
    <d v="2014-05-11T00:00:00"/>
    <n v="4973"/>
    <n v="1970"/>
    <x v="1"/>
    <s v="Graduation"/>
    <s v="Single"/>
    <n v="20587"/>
    <n v="1"/>
    <n v="39"/>
    <n v="2"/>
    <n v="3"/>
    <n v="6"/>
    <n v="4"/>
    <n v="1"/>
    <n v="9"/>
    <n v="25"/>
    <n v="1"/>
    <n v="1"/>
    <n v="1"/>
    <n v="2"/>
    <n v="7"/>
    <n v="0"/>
    <n v="0"/>
    <n v="0"/>
    <n v="0"/>
    <n v="0"/>
    <n v="0"/>
    <n v="0"/>
  </r>
  <r>
    <d v="2014-05-08T00:00:00"/>
    <n v="6387"/>
    <n v="1976"/>
    <x v="6"/>
    <s v="PhD"/>
    <s v="Together"/>
    <n v="52190"/>
    <n v="2"/>
    <n v="39"/>
    <n v="42"/>
    <n v="0"/>
    <n v="17"/>
    <n v="0"/>
    <n v="0"/>
    <n v="18"/>
    <n v="77"/>
    <n v="3"/>
    <n v="2"/>
    <n v="1"/>
    <n v="3"/>
    <n v="5"/>
    <n v="1"/>
    <n v="0"/>
    <n v="0"/>
    <n v="0"/>
    <n v="0"/>
    <n v="0"/>
    <n v="0"/>
  </r>
  <r>
    <d v="2014-03-20T00:00:00"/>
    <n v="5866"/>
    <n v="1974"/>
    <x v="0"/>
    <s v="Graduation"/>
    <s v="Together"/>
    <n v="48186"/>
    <n v="1"/>
    <n v="39"/>
    <n v="97"/>
    <n v="3"/>
    <n v="66"/>
    <n v="12"/>
    <n v="7"/>
    <n v="34"/>
    <n v="219"/>
    <n v="3"/>
    <n v="4"/>
    <n v="1"/>
    <n v="4"/>
    <n v="7"/>
    <n v="0"/>
    <n v="0"/>
    <n v="0"/>
    <n v="0"/>
    <n v="0"/>
    <n v="0"/>
    <n v="0"/>
  </r>
  <r>
    <d v="2013-12-14T00:00:00"/>
    <n v="8523"/>
    <n v="1968"/>
    <x v="1"/>
    <s v="Graduation"/>
    <s v="Married"/>
    <n v="19329"/>
    <n v="1"/>
    <n v="39"/>
    <n v="24"/>
    <n v="1"/>
    <n v="16"/>
    <n v="12"/>
    <n v="2"/>
    <n v="5"/>
    <n v="60"/>
    <n v="3"/>
    <n v="4"/>
    <n v="0"/>
    <n v="3"/>
    <n v="8"/>
    <n v="0"/>
    <n v="0"/>
    <n v="0"/>
    <n v="0"/>
    <n v="0"/>
    <n v="0"/>
    <n v="0"/>
  </r>
  <r>
    <d v="2013-11-06T00:00:00"/>
    <n v="7901"/>
    <n v="1971"/>
    <x v="3"/>
    <s v="Master"/>
    <s v="Married"/>
    <n v="34109"/>
    <n v="1"/>
    <n v="39"/>
    <n v="9"/>
    <n v="1"/>
    <n v="5"/>
    <n v="2"/>
    <n v="1"/>
    <n v="4"/>
    <n v="22"/>
    <n v="1"/>
    <n v="0"/>
    <n v="0"/>
    <n v="3"/>
    <n v="4"/>
    <n v="0"/>
    <n v="0"/>
    <n v="0"/>
    <n v="0"/>
    <n v="0"/>
    <n v="0"/>
    <n v="0"/>
  </r>
  <r>
    <d v="2013-10-21T00:00:00"/>
    <n v="898"/>
    <n v="1986"/>
    <x v="0"/>
    <s v="Graduation"/>
    <s v="Married"/>
    <n v="23477"/>
    <n v="1"/>
    <n v="39"/>
    <n v="38"/>
    <n v="15"/>
    <n v="54"/>
    <n v="3"/>
    <n v="8"/>
    <n v="29"/>
    <n v="147"/>
    <n v="3"/>
    <n v="3"/>
    <n v="0"/>
    <n v="4"/>
    <n v="8"/>
    <n v="0"/>
    <n v="0"/>
    <n v="0"/>
    <n v="0"/>
    <n v="0"/>
    <n v="0"/>
    <n v="0"/>
  </r>
  <r>
    <d v="2013-09-16T00:00:00"/>
    <n v="10242"/>
    <n v="1966"/>
    <x v="0"/>
    <s v="PhD"/>
    <s v="Together"/>
    <n v="47472"/>
    <n v="2"/>
    <n v="39"/>
    <n v="56"/>
    <n v="0"/>
    <n v="11"/>
    <n v="0"/>
    <n v="0"/>
    <n v="8"/>
    <n v="75"/>
    <n v="2"/>
    <n v="2"/>
    <n v="0"/>
    <n v="4"/>
    <n v="5"/>
    <n v="0"/>
    <n v="0"/>
    <n v="0"/>
    <n v="0"/>
    <n v="0"/>
    <n v="0"/>
    <n v="0"/>
  </r>
  <r>
    <d v="2013-07-02T00:00:00"/>
    <n v="5835"/>
    <n v="1976"/>
    <x v="0"/>
    <s v="PhD"/>
    <s v="Divorced"/>
    <n v="14849"/>
    <n v="1"/>
    <n v="39"/>
    <n v="21"/>
    <n v="2"/>
    <n v="28"/>
    <n v="3"/>
    <n v="2"/>
    <n v="9"/>
    <n v="65"/>
    <n v="3"/>
    <n v="2"/>
    <n v="0"/>
    <n v="4"/>
    <n v="8"/>
    <n v="0"/>
    <n v="0"/>
    <n v="0"/>
    <n v="0"/>
    <n v="0"/>
    <n v="0"/>
    <n v="0"/>
  </r>
  <r>
    <d v="2013-06-04T00:00:00"/>
    <n v="6919"/>
    <n v="1978"/>
    <x v="0"/>
    <s v="2n Cycle"/>
    <s v="Married"/>
    <n v="26224"/>
    <n v="1"/>
    <n v="39"/>
    <n v="4"/>
    <n v="7"/>
    <n v="15"/>
    <n v="13"/>
    <n v="9"/>
    <n v="15"/>
    <n v="63"/>
    <n v="3"/>
    <n v="2"/>
    <n v="1"/>
    <n v="3"/>
    <n v="6"/>
    <n v="0"/>
    <n v="0"/>
    <n v="0"/>
    <n v="0"/>
    <n v="0"/>
    <n v="0"/>
    <n v="0"/>
  </r>
  <r>
    <d v="2013-04-20T00:00:00"/>
    <n v="6197"/>
    <n v="1962"/>
    <x v="0"/>
    <s v="PhD"/>
    <s v="Single"/>
    <n v="27238"/>
    <n v="2"/>
    <n v="39"/>
    <n v="37"/>
    <n v="0"/>
    <n v="17"/>
    <n v="0"/>
    <n v="0"/>
    <n v="3"/>
    <n v="57"/>
    <n v="3"/>
    <n v="3"/>
    <n v="0"/>
    <n v="3"/>
    <n v="9"/>
    <n v="0"/>
    <n v="0"/>
    <n v="0"/>
    <n v="0"/>
    <n v="0"/>
    <n v="0"/>
    <n v="0"/>
  </r>
  <r>
    <d v="2013-04-01T00:00:00"/>
    <n v="10475"/>
    <n v="1970"/>
    <x v="2"/>
    <s v="Master"/>
    <s v="Together"/>
    <n v="53790.45"/>
    <n v="1"/>
    <n v="39"/>
    <n v="187"/>
    <n v="5"/>
    <n v="65"/>
    <n v="26"/>
    <n v="20"/>
    <n v="14"/>
    <n v="317"/>
    <n v="2"/>
    <n v="4"/>
    <n v="2"/>
    <n v="6"/>
    <n v="5"/>
    <n v="0"/>
    <n v="0"/>
    <n v="0"/>
    <n v="0"/>
    <n v="0"/>
    <n v="0"/>
    <n v="0"/>
  </r>
  <r>
    <d v="2013-03-03T00:00:00"/>
    <n v="4201"/>
    <n v="1962"/>
    <x v="5"/>
    <s v="Graduation"/>
    <s v="Single"/>
    <n v="57967"/>
    <n v="1"/>
    <n v="39"/>
    <n v="229"/>
    <n v="7"/>
    <n v="137"/>
    <n v="4"/>
    <n v="0"/>
    <n v="91"/>
    <n v="468"/>
    <n v="5"/>
    <n v="4"/>
    <n v="2"/>
    <n v="8"/>
    <n v="5"/>
    <n v="0"/>
    <n v="0"/>
    <n v="0"/>
    <n v="0"/>
    <n v="0"/>
    <n v="0"/>
    <n v="0"/>
  </r>
  <r>
    <d v="2013-02-12T00:00:00"/>
    <n v="5092"/>
    <n v="1949"/>
    <x v="0"/>
    <s v="PhD"/>
    <s v="Widow"/>
    <n v="51569"/>
    <n v="1"/>
    <n v="39"/>
    <n v="380"/>
    <n v="0"/>
    <n v="47"/>
    <n v="6"/>
    <n v="0"/>
    <n v="34"/>
    <n v="467"/>
    <n v="4"/>
    <n v="7"/>
    <n v="1"/>
    <n v="7"/>
    <n v="8"/>
    <n v="0"/>
    <n v="1"/>
    <n v="0"/>
    <n v="0"/>
    <n v="0"/>
    <n v="1"/>
    <n v="0"/>
  </r>
  <r>
    <d v="2012-11-08T00:00:00"/>
    <n v="6566"/>
    <n v="1954"/>
    <x v="3"/>
    <s v="PhD"/>
    <s v="Married"/>
    <n v="72550"/>
    <n v="2"/>
    <n v="39"/>
    <n v="826"/>
    <n v="50"/>
    <n v="317"/>
    <n v="50"/>
    <n v="38"/>
    <n v="38"/>
    <n v="1319"/>
    <n v="9"/>
    <n v="5"/>
    <n v="2"/>
    <n v="12"/>
    <n v="8"/>
    <n v="0"/>
    <n v="0"/>
    <n v="0"/>
    <n v="0"/>
    <n v="0"/>
    <n v="0"/>
    <n v="0"/>
  </r>
  <r>
    <d v="2012-10-12T00:00:00"/>
    <n v="6613"/>
    <n v="1970"/>
    <x v="3"/>
    <s v="Master"/>
    <s v="Married"/>
    <n v="44511"/>
    <n v="1"/>
    <n v="39"/>
    <n v="513"/>
    <n v="7"/>
    <n v="133"/>
    <n v="46"/>
    <n v="14"/>
    <n v="14"/>
    <n v="727"/>
    <n v="6"/>
    <n v="8"/>
    <n v="4"/>
    <n v="8"/>
    <n v="8"/>
    <n v="0"/>
    <n v="0"/>
    <n v="0"/>
    <n v="0"/>
    <n v="0"/>
    <n v="0"/>
    <n v="0"/>
  </r>
  <r>
    <d v="2012-08-03T00:00:00"/>
    <n v="9094"/>
    <n v="1955"/>
    <x v="0"/>
    <s v="2n Cycle"/>
    <s v="Married"/>
    <n v="62972"/>
    <n v="1"/>
    <n v="39"/>
    <n v="313"/>
    <n v="15"/>
    <n v="47"/>
    <n v="20"/>
    <n v="0"/>
    <n v="192"/>
    <n v="587"/>
    <n v="2"/>
    <n v="7"/>
    <n v="4"/>
    <n v="3"/>
    <n v="6"/>
    <n v="0"/>
    <n v="0"/>
    <n v="0"/>
    <n v="0"/>
    <n v="0"/>
    <n v="1"/>
    <n v="0"/>
  </r>
  <r>
    <d v="2012-08-03T00:00:00"/>
    <n v="9847"/>
    <n v="1955"/>
    <x v="0"/>
    <s v="2n Cycle"/>
    <s v="Married"/>
    <n v="62972"/>
    <n v="1"/>
    <n v="39"/>
    <n v="313"/>
    <n v="15"/>
    <n v="47"/>
    <n v="20"/>
    <n v="0"/>
    <n v="192"/>
    <n v="587"/>
    <n v="2"/>
    <n v="7"/>
    <n v="4"/>
    <n v="3"/>
    <n v="6"/>
    <n v="0"/>
    <n v="0"/>
    <n v="0"/>
    <n v="0"/>
    <n v="0"/>
    <n v="0"/>
    <n v="0"/>
  </r>
  <r>
    <d v="2014-05-16T00:00:00"/>
    <n v="10767"/>
    <n v="1989"/>
    <x v="2"/>
    <s v="PhD"/>
    <s v="Together"/>
    <n v="77845"/>
    <n v="0"/>
    <n v="40"/>
    <n v="760"/>
    <n v="40"/>
    <n v="480"/>
    <n v="0"/>
    <n v="40"/>
    <n v="26"/>
    <n v="1346"/>
    <n v="1"/>
    <n v="3"/>
    <n v="5"/>
    <n v="12"/>
    <n v="1"/>
    <n v="0"/>
    <n v="0"/>
    <n v="1"/>
    <n v="1"/>
    <n v="0"/>
    <n v="0"/>
    <n v="0"/>
  </r>
  <r>
    <d v="2014-04-25T00:00:00"/>
    <n v="7943"/>
    <n v="1975"/>
    <x v="6"/>
    <s v="PhD"/>
    <s v="Married"/>
    <n v="36663"/>
    <n v="1"/>
    <n v="40"/>
    <n v="18"/>
    <n v="0"/>
    <n v="6"/>
    <n v="3"/>
    <n v="3"/>
    <n v="5"/>
    <n v="35"/>
    <n v="1"/>
    <n v="1"/>
    <n v="1"/>
    <n v="3"/>
    <n v="2"/>
    <n v="0"/>
    <n v="0"/>
    <n v="0"/>
    <n v="0"/>
    <n v="0"/>
    <n v="0"/>
    <n v="0"/>
  </r>
  <r>
    <d v="2014-03-20T00:00:00"/>
    <n v="1055"/>
    <n v="1976"/>
    <x v="4"/>
    <s v="Master"/>
    <s v="Married"/>
    <n v="53204"/>
    <n v="2"/>
    <n v="40"/>
    <n v="29"/>
    <n v="0"/>
    <n v="8"/>
    <n v="2"/>
    <n v="0"/>
    <n v="6"/>
    <n v="45"/>
    <n v="1"/>
    <n v="1"/>
    <n v="0"/>
    <n v="3"/>
    <n v="4"/>
    <n v="0"/>
    <n v="0"/>
    <n v="0"/>
    <n v="0"/>
    <n v="0"/>
    <n v="0"/>
    <n v="0"/>
  </r>
  <r>
    <d v="2014-01-07T00:00:00"/>
    <n v="1458"/>
    <n v="1982"/>
    <x v="0"/>
    <s v="Master"/>
    <s v="Married"/>
    <n v="21059"/>
    <n v="1"/>
    <n v="40"/>
    <n v="8"/>
    <n v="3"/>
    <n v="19"/>
    <n v="3"/>
    <n v="3"/>
    <n v="8"/>
    <n v="44"/>
    <n v="3"/>
    <n v="3"/>
    <n v="0"/>
    <n v="3"/>
    <n v="6"/>
    <n v="0"/>
    <n v="0"/>
    <n v="0"/>
    <n v="0"/>
    <n v="0"/>
    <n v="0"/>
    <n v="0"/>
  </r>
  <r>
    <d v="2013-12-17T00:00:00"/>
    <n v="8402"/>
    <n v="1953"/>
    <x v="3"/>
    <s v="Master"/>
    <s v="Married"/>
    <n v="67087"/>
    <n v="1"/>
    <n v="40"/>
    <n v="329"/>
    <n v="35"/>
    <n v="222"/>
    <n v="130"/>
    <n v="35"/>
    <n v="43"/>
    <n v="794"/>
    <n v="2"/>
    <n v="7"/>
    <n v="5"/>
    <n v="8"/>
    <n v="4"/>
    <n v="0"/>
    <n v="0"/>
    <n v="0"/>
    <n v="0"/>
    <n v="0"/>
    <n v="0"/>
    <n v="0"/>
  </r>
  <r>
    <d v="2013-11-13T00:00:00"/>
    <n v="6246"/>
    <n v="1953"/>
    <x v="1"/>
    <s v="Graduation"/>
    <s v="Single"/>
    <n v="73892"/>
    <n v="0"/>
    <n v="40"/>
    <n v="703"/>
    <n v="102"/>
    <n v="601"/>
    <n v="0"/>
    <n v="58"/>
    <n v="43"/>
    <n v="1507"/>
    <n v="1"/>
    <n v="3"/>
    <n v="11"/>
    <n v="8"/>
    <n v="1"/>
    <n v="0"/>
    <n v="0"/>
    <n v="0"/>
    <n v="0"/>
    <n v="0"/>
    <n v="1"/>
    <n v="0"/>
  </r>
  <r>
    <d v="2013-11-07T00:00:00"/>
    <n v="4654"/>
    <n v="1992"/>
    <x v="6"/>
    <s v="Graduation"/>
    <s v="Together"/>
    <n v="75114"/>
    <n v="0"/>
    <n v="40"/>
    <n v="571"/>
    <n v="12"/>
    <n v="523"/>
    <n v="63"/>
    <n v="60"/>
    <n v="24"/>
    <n v="1253"/>
    <n v="1"/>
    <n v="3"/>
    <n v="10"/>
    <n v="5"/>
    <n v="2"/>
    <n v="0"/>
    <n v="0"/>
    <n v="0"/>
    <n v="0"/>
    <n v="0"/>
    <n v="0"/>
    <n v="0"/>
  </r>
  <r>
    <d v="2013-09-06T00:00:00"/>
    <n v="6103"/>
    <n v="1948"/>
    <x v="3"/>
    <s v="Graduation"/>
    <s v="Married"/>
    <n v="42192"/>
    <n v="0"/>
    <n v="40"/>
    <n v="40"/>
    <n v="15"/>
    <n v="15"/>
    <n v="17"/>
    <n v="6"/>
    <n v="7"/>
    <n v="100"/>
    <n v="1"/>
    <n v="2"/>
    <n v="1"/>
    <n v="3"/>
    <n v="4"/>
    <n v="0"/>
    <n v="0"/>
    <n v="0"/>
    <n v="0"/>
    <n v="0"/>
    <n v="0"/>
    <n v="0"/>
  </r>
  <r>
    <d v="2013-07-06T00:00:00"/>
    <n v="8147"/>
    <n v="1960"/>
    <x v="0"/>
    <s v="Graduation"/>
    <s v="Married"/>
    <n v="31454"/>
    <n v="2"/>
    <n v="40"/>
    <n v="28"/>
    <n v="0"/>
    <n v="11"/>
    <n v="0"/>
    <n v="0"/>
    <n v="9"/>
    <n v="48"/>
    <n v="3"/>
    <n v="2"/>
    <n v="0"/>
    <n v="3"/>
    <n v="8"/>
    <n v="0"/>
    <n v="0"/>
    <n v="0"/>
    <n v="0"/>
    <n v="0"/>
    <n v="0"/>
    <n v="0"/>
  </r>
  <r>
    <d v="2013-06-19T00:00:00"/>
    <n v="10207"/>
    <n v="1978"/>
    <x v="6"/>
    <s v="Graduation"/>
    <s v="Together"/>
    <n v="22775"/>
    <n v="1"/>
    <n v="40"/>
    <n v="5"/>
    <n v="1"/>
    <n v="8"/>
    <n v="0"/>
    <n v="0"/>
    <n v="1"/>
    <n v="15"/>
    <n v="1"/>
    <n v="1"/>
    <n v="0"/>
    <n v="2"/>
    <n v="8"/>
    <n v="0"/>
    <n v="0"/>
    <n v="0"/>
    <n v="0"/>
    <n v="0"/>
    <n v="0"/>
    <n v="0"/>
  </r>
  <r>
    <d v="2013-06-19T00:00:00"/>
    <n v="4838"/>
    <n v="1978"/>
    <x v="5"/>
    <s v="Graduation"/>
    <s v="Together"/>
    <n v="22775"/>
    <n v="1"/>
    <n v="40"/>
    <n v="5"/>
    <n v="1"/>
    <n v="8"/>
    <n v="0"/>
    <n v="0"/>
    <n v="1"/>
    <n v="15"/>
    <n v="1"/>
    <n v="1"/>
    <n v="0"/>
    <n v="2"/>
    <n v="8"/>
    <n v="0"/>
    <n v="0"/>
    <n v="0"/>
    <n v="0"/>
    <n v="0"/>
    <n v="0"/>
    <n v="0"/>
  </r>
  <r>
    <d v="2013-06-18T00:00:00"/>
    <n v="10219"/>
    <n v="1972"/>
    <x v="1"/>
    <s v="Graduation"/>
    <s v="Together"/>
    <n v="31590"/>
    <n v="1"/>
    <n v="40"/>
    <n v="6"/>
    <n v="2"/>
    <n v="15"/>
    <n v="6"/>
    <n v="6"/>
    <n v="3"/>
    <n v="38"/>
    <n v="1"/>
    <n v="1"/>
    <n v="0"/>
    <n v="3"/>
    <n v="8"/>
    <n v="0"/>
    <n v="0"/>
    <n v="0"/>
    <n v="0"/>
    <n v="0"/>
    <n v="0"/>
    <n v="0"/>
  </r>
  <r>
    <d v="2013-05-20T00:00:00"/>
    <n v="2176"/>
    <n v="1972"/>
    <x v="6"/>
    <s v="Graduation"/>
    <s v="Married"/>
    <n v="80134"/>
    <n v="1"/>
    <n v="40"/>
    <n v="1218"/>
    <n v="16"/>
    <n v="272"/>
    <n v="104"/>
    <n v="0"/>
    <n v="80"/>
    <n v="1690"/>
    <n v="2"/>
    <n v="5"/>
    <n v="3"/>
    <n v="6"/>
    <n v="6"/>
    <n v="0"/>
    <n v="1"/>
    <n v="1"/>
    <n v="1"/>
    <n v="0"/>
    <n v="1"/>
    <n v="0"/>
  </r>
  <r>
    <d v="2013-05-20T00:00:00"/>
    <n v="9121"/>
    <n v="1972"/>
    <x v="3"/>
    <s v="Graduation"/>
    <s v="Married"/>
    <n v="80134"/>
    <n v="1"/>
    <n v="40"/>
    <n v="1218"/>
    <n v="16"/>
    <n v="272"/>
    <n v="104"/>
    <n v="0"/>
    <n v="80"/>
    <n v="1690"/>
    <n v="2"/>
    <n v="5"/>
    <n v="3"/>
    <n v="6"/>
    <n v="6"/>
    <n v="0"/>
    <n v="1"/>
    <n v="1"/>
    <n v="1"/>
    <n v="0"/>
    <n v="1"/>
    <n v="0"/>
  </r>
  <r>
    <d v="2013-02-28T00:00:00"/>
    <n v="5802"/>
    <n v="1972"/>
    <x v="4"/>
    <s v="Basic"/>
    <s v="Married"/>
    <n v="14188"/>
    <n v="0"/>
    <n v="40"/>
    <n v="2"/>
    <n v="7"/>
    <n v="11"/>
    <n v="16"/>
    <n v="12"/>
    <n v="27"/>
    <n v="75"/>
    <n v="1"/>
    <n v="2"/>
    <n v="0"/>
    <n v="4"/>
    <n v="6"/>
    <n v="0"/>
    <n v="0"/>
    <n v="0"/>
    <n v="0"/>
    <n v="0"/>
    <n v="0"/>
    <n v="0"/>
  </r>
  <r>
    <d v="2013-02-19T00:00:00"/>
    <n v="10790"/>
    <n v="1985"/>
    <x v="0"/>
    <s v="PhD"/>
    <s v="Married"/>
    <n v="18169"/>
    <n v="1"/>
    <n v="40"/>
    <n v="9"/>
    <n v="0"/>
    <n v="5"/>
    <n v="0"/>
    <n v="0"/>
    <n v="7"/>
    <n v="21"/>
    <n v="1"/>
    <n v="1"/>
    <n v="0"/>
    <n v="2"/>
    <n v="8"/>
    <n v="0"/>
    <n v="0"/>
    <n v="0"/>
    <n v="0"/>
    <n v="0"/>
    <n v="0"/>
    <n v="0"/>
  </r>
  <r>
    <d v="2013-02-18T00:00:00"/>
    <n v="178"/>
    <n v="1956"/>
    <x v="0"/>
    <s v="Graduation"/>
    <s v="Married"/>
    <n v="62503"/>
    <n v="1"/>
    <n v="40"/>
    <n v="478"/>
    <n v="0"/>
    <n v="193"/>
    <n v="110"/>
    <n v="75"/>
    <n v="117"/>
    <n v="973"/>
    <n v="4"/>
    <n v="8"/>
    <n v="3"/>
    <n v="11"/>
    <n v="5"/>
    <n v="0"/>
    <n v="0"/>
    <n v="0"/>
    <n v="0"/>
    <n v="0"/>
    <n v="0"/>
    <n v="0"/>
  </r>
  <r>
    <d v="2012-11-18T00:00:00"/>
    <n v="2308"/>
    <n v="1954"/>
    <x v="0"/>
    <s v="Graduation"/>
    <s v="Married"/>
    <n v="46734"/>
    <n v="1"/>
    <n v="40"/>
    <n v="110"/>
    <n v="5"/>
    <n v="137"/>
    <n v="26"/>
    <n v="23"/>
    <n v="29"/>
    <n v="330"/>
    <n v="2"/>
    <n v="6"/>
    <n v="1"/>
    <n v="5"/>
    <n v="7"/>
    <n v="0"/>
    <n v="0"/>
    <n v="0"/>
    <n v="0"/>
    <n v="0"/>
    <n v="0"/>
    <n v="0"/>
  </r>
  <r>
    <d v="2012-11-10T00:00:00"/>
    <n v="7431"/>
    <n v="1991"/>
    <x v="1"/>
    <s v="PhD"/>
    <s v="Single"/>
    <n v="68126"/>
    <n v="0"/>
    <n v="40"/>
    <n v="1332"/>
    <n v="17"/>
    <n v="311"/>
    <n v="23"/>
    <n v="51"/>
    <n v="86"/>
    <n v="1820"/>
    <n v="1"/>
    <n v="7"/>
    <n v="4"/>
    <n v="5"/>
    <n v="9"/>
    <n v="0"/>
    <n v="1"/>
    <n v="0"/>
    <n v="0"/>
    <n v="0"/>
    <n v="1"/>
    <n v="0"/>
  </r>
  <r>
    <d v="2012-10-15T00:00:00"/>
    <n v="9405"/>
    <n v="1954"/>
    <x v="6"/>
    <s v="PhD"/>
    <s v="Married"/>
    <n v="52869"/>
    <n v="2"/>
    <n v="40"/>
    <n v="84"/>
    <n v="3"/>
    <n v="61"/>
    <n v="2"/>
    <n v="1"/>
    <n v="21"/>
    <n v="172"/>
    <n v="3"/>
    <n v="3"/>
    <n v="1"/>
    <n v="4"/>
    <n v="7"/>
    <n v="0"/>
    <n v="0"/>
    <n v="0"/>
    <n v="0"/>
    <n v="0"/>
    <n v="1"/>
    <n v="0"/>
  </r>
  <r>
    <d v="2012-10-13T00:00:00"/>
    <n v="10525"/>
    <n v="1986"/>
    <x v="0"/>
    <s v="Graduation"/>
    <s v="Single"/>
    <n v="26576"/>
    <n v="1"/>
    <n v="40"/>
    <n v="10"/>
    <n v="0"/>
    <n v="8"/>
    <n v="0"/>
    <n v="0"/>
    <n v="9"/>
    <n v="27"/>
    <n v="1"/>
    <n v="1"/>
    <n v="0"/>
    <n v="2"/>
    <n v="9"/>
    <n v="1"/>
    <n v="0"/>
    <n v="0"/>
    <n v="0"/>
    <n v="0"/>
    <n v="1"/>
    <n v="0"/>
  </r>
  <r>
    <d v="2012-10-12T00:00:00"/>
    <n v="7503"/>
    <n v="1976"/>
    <x v="4"/>
    <s v="Graduation"/>
    <s v="Single"/>
    <n v="75825"/>
    <n v="0"/>
    <n v="40"/>
    <n v="1032"/>
    <n v="105"/>
    <n v="779"/>
    <n v="137"/>
    <n v="105"/>
    <n v="51"/>
    <n v="2209"/>
    <n v="0"/>
    <n v="5"/>
    <n v="8"/>
    <n v="9"/>
    <n v="4"/>
    <n v="1"/>
    <n v="0"/>
    <n v="0"/>
    <n v="0"/>
    <n v="0"/>
    <n v="1"/>
    <n v="0"/>
  </r>
  <r>
    <d v="2012-09-08T00:00:00"/>
    <n v="8783"/>
    <n v="1950"/>
    <x v="3"/>
    <s v="Graduation"/>
    <s v="Married"/>
    <n v="57045"/>
    <n v="1"/>
    <n v="40"/>
    <n v="296"/>
    <n v="13"/>
    <n v="104"/>
    <n v="11"/>
    <n v="13"/>
    <n v="17"/>
    <n v="454"/>
    <n v="3"/>
    <n v="4"/>
    <n v="2"/>
    <n v="9"/>
    <n v="3"/>
    <n v="0"/>
    <n v="0"/>
    <n v="0"/>
    <n v="0"/>
    <n v="0"/>
    <n v="0"/>
    <n v="0"/>
  </r>
  <r>
    <d v="2012-09-06T00:00:00"/>
    <n v="1403"/>
    <n v="1975"/>
    <x v="0"/>
    <s v="2n Cycle"/>
    <s v="Together"/>
    <n v="34984"/>
    <n v="2"/>
    <n v="40"/>
    <n v="8"/>
    <n v="4"/>
    <n v="15"/>
    <n v="3"/>
    <n v="5"/>
    <n v="3"/>
    <n v="38"/>
    <n v="2"/>
    <n v="1"/>
    <n v="0"/>
    <n v="3"/>
    <n v="7"/>
    <n v="0"/>
    <n v="0"/>
    <n v="0"/>
    <n v="0"/>
    <n v="0"/>
    <n v="0"/>
    <n v="0"/>
  </r>
  <r>
    <d v="2012-08-26T00:00:00"/>
    <n v="4643"/>
    <n v="1973"/>
    <x v="3"/>
    <s v="Graduation"/>
    <s v="Married"/>
    <n v="27803"/>
    <n v="1"/>
    <n v="40"/>
    <n v="8"/>
    <n v="26"/>
    <n v="46"/>
    <n v="38"/>
    <n v="9"/>
    <n v="49"/>
    <n v="176"/>
    <n v="2"/>
    <n v="3"/>
    <n v="0"/>
    <n v="4"/>
    <n v="8"/>
    <n v="0"/>
    <n v="0"/>
    <n v="0"/>
    <n v="0"/>
    <n v="0"/>
    <n v="0"/>
    <n v="0"/>
  </r>
  <r>
    <d v="2014-06-14T00:00:00"/>
    <n v="3463"/>
    <n v="1975"/>
    <x v="5"/>
    <s v="PhD"/>
    <s v="Married"/>
    <n v="69283"/>
    <n v="1"/>
    <n v="41"/>
    <n v="674"/>
    <n v="62"/>
    <n v="134"/>
    <n v="0"/>
    <n v="26"/>
    <n v="8"/>
    <n v="904"/>
    <n v="4"/>
    <n v="7"/>
    <n v="3"/>
    <n v="13"/>
    <n v="5"/>
    <n v="0"/>
    <n v="0"/>
    <n v="0"/>
    <n v="0"/>
    <n v="0"/>
    <n v="0"/>
    <n v="0"/>
  </r>
  <r>
    <d v="2014-05-29T00:00:00"/>
    <n v="4055"/>
    <n v="1992"/>
    <x v="0"/>
    <s v="Basic"/>
    <s v="Single"/>
    <n v="18746"/>
    <n v="1"/>
    <n v="41"/>
    <n v="2"/>
    <n v="10"/>
    <n v="11"/>
    <n v="12"/>
    <n v="9"/>
    <n v="20"/>
    <n v="64"/>
    <n v="2"/>
    <n v="3"/>
    <n v="0"/>
    <n v="3"/>
    <n v="6"/>
    <n v="0"/>
    <n v="0"/>
    <n v="0"/>
    <n v="0"/>
    <n v="0"/>
    <n v="0"/>
    <n v="0"/>
  </r>
  <r>
    <d v="2014-04-07T00:00:00"/>
    <n v="7010"/>
    <n v="1965"/>
    <x v="0"/>
    <s v="2n Cycle"/>
    <s v="Married"/>
    <n v="70924"/>
    <n v="0"/>
    <n v="41"/>
    <n v="635"/>
    <n v="114"/>
    <n v="254"/>
    <n v="132"/>
    <n v="152"/>
    <n v="76"/>
    <n v="1363"/>
    <n v="1"/>
    <n v="6"/>
    <n v="6"/>
    <n v="7"/>
    <n v="3"/>
    <n v="0"/>
    <n v="0"/>
    <n v="1"/>
    <n v="0"/>
    <n v="0"/>
    <n v="0"/>
    <n v="0"/>
  </r>
  <r>
    <d v="2014-04-07T00:00:00"/>
    <n v="4767"/>
    <n v="1965"/>
    <x v="0"/>
    <s v="2n Cycle"/>
    <s v="Married"/>
    <n v="70924"/>
    <n v="0"/>
    <n v="41"/>
    <n v="635"/>
    <n v="114"/>
    <n v="254"/>
    <n v="132"/>
    <n v="152"/>
    <n v="76"/>
    <n v="1363"/>
    <n v="1"/>
    <n v="6"/>
    <n v="6"/>
    <n v="7"/>
    <n v="3"/>
    <n v="0"/>
    <n v="0"/>
    <n v="1"/>
    <n v="0"/>
    <n v="0"/>
    <n v="0"/>
    <n v="0"/>
  </r>
  <r>
    <d v="2014-03-23T00:00:00"/>
    <n v="1927"/>
    <n v="1973"/>
    <x v="4"/>
    <s v="2n Cycle"/>
    <s v="Together"/>
    <n v="69401"/>
    <n v="1"/>
    <n v="41"/>
    <n v="399"/>
    <n v="27"/>
    <n v="159"/>
    <n v="58"/>
    <n v="8"/>
    <n v="39"/>
    <n v="690"/>
    <n v="4"/>
    <n v="4"/>
    <n v="4"/>
    <n v="5"/>
    <n v="2"/>
    <n v="0"/>
    <n v="0"/>
    <n v="0"/>
    <n v="0"/>
    <n v="0"/>
    <n v="0"/>
    <n v="0"/>
  </r>
  <r>
    <d v="2014-01-25T00:00:00"/>
    <n v="437"/>
    <n v="1976"/>
    <x v="3"/>
    <s v="Master"/>
    <s v="Divorced"/>
    <n v="75012"/>
    <n v="0"/>
    <n v="41"/>
    <n v="294"/>
    <n v="142"/>
    <n v="218"/>
    <n v="164"/>
    <n v="58"/>
    <n v="151"/>
    <n v="1027"/>
    <n v="1"/>
    <n v="3"/>
    <n v="8"/>
    <n v="11"/>
    <n v="1"/>
    <n v="0"/>
    <n v="0"/>
    <n v="0"/>
    <n v="0"/>
    <n v="0"/>
    <n v="0"/>
    <n v="0"/>
  </r>
  <r>
    <d v="2014-01-23T00:00:00"/>
    <n v="4331"/>
    <n v="1978"/>
    <x v="0"/>
    <s v="Master"/>
    <s v="Together"/>
    <n v="85738"/>
    <n v="0"/>
    <n v="41"/>
    <n v="913"/>
    <n v="26"/>
    <n v="376"/>
    <n v="17"/>
    <n v="26"/>
    <n v="13"/>
    <n v="1371"/>
    <n v="1"/>
    <n v="3"/>
    <n v="6"/>
    <n v="11"/>
    <n v="1"/>
    <n v="0"/>
    <n v="1"/>
    <n v="1"/>
    <n v="0"/>
    <n v="0"/>
    <n v="0"/>
    <n v="0"/>
  </r>
  <r>
    <d v="2014-01-17T00:00:00"/>
    <n v="4084"/>
    <n v="1975"/>
    <x v="1"/>
    <s v="Graduation"/>
    <s v="Together"/>
    <n v="60934"/>
    <n v="1"/>
    <n v="41"/>
    <n v="224"/>
    <n v="155"/>
    <n v="155"/>
    <n v="192"/>
    <n v="93"/>
    <n v="54"/>
    <n v="873"/>
    <n v="2"/>
    <n v="6"/>
    <n v="4"/>
    <n v="11"/>
    <n v="4"/>
    <n v="0"/>
    <n v="0"/>
    <n v="0"/>
    <n v="0"/>
    <n v="0"/>
    <n v="0"/>
    <n v="0"/>
  </r>
  <r>
    <d v="2013-10-28T00:00:00"/>
    <n v="8135"/>
    <n v="1986"/>
    <x v="6"/>
    <s v="Master"/>
    <s v="Married"/>
    <n v="27161"/>
    <n v="1"/>
    <n v="41"/>
    <n v="7"/>
    <n v="4"/>
    <n v="23"/>
    <n v="7"/>
    <n v="0"/>
    <n v="11"/>
    <n v="52"/>
    <n v="1"/>
    <n v="1"/>
    <n v="0"/>
    <n v="3"/>
    <n v="7"/>
    <n v="0"/>
    <n v="0"/>
    <n v="0"/>
    <n v="0"/>
    <n v="0"/>
    <n v="0"/>
    <n v="0"/>
  </r>
  <r>
    <d v="2013-02-07T00:00:00"/>
    <n v="9750"/>
    <n v="1961"/>
    <x v="0"/>
    <s v="PhD"/>
    <s v="Divorced"/>
    <n v="64325"/>
    <n v="1"/>
    <n v="41"/>
    <n v="731"/>
    <n v="60"/>
    <n v="353"/>
    <n v="78"/>
    <n v="12"/>
    <n v="73"/>
    <n v="1307"/>
    <n v="5"/>
    <n v="10"/>
    <n v="3"/>
    <n v="5"/>
    <n v="7"/>
    <n v="0"/>
    <n v="0"/>
    <n v="0"/>
    <n v="0"/>
    <n v="0"/>
    <n v="0"/>
    <n v="0"/>
  </r>
  <r>
    <d v="2012-12-11T00:00:00"/>
    <n v="6682"/>
    <n v="1973"/>
    <x v="0"/>
    <s v="Basic"/>
    <s v="Married"/>
    <n v="18978"/>
    <n v="1"/>
    <n v="41"/>
    <n v="2"/>
    <n v="8"/>
    <n v="1"/>
    <n v="4"/>
    <n v="7"/>
    <n v="15"/>
    <n v="37"/>
    <n v="1"/>
    <n v="1"/>
    <n v="0"/>
    <n v="3"/>
    <n v="8"/>
    <n v="0"/>
    <n v="0"/>
    <n v="0"/>
    <n v="0"/>
    <n v="0"/>
    <n v="0"/>
    <n v="0"/>
  </r>
  <r>
    <d v="2012-10-31T00:00:00"/>
    <n v="10581"/>
    <n v="1977"/>
    <x v="0"/>
    <s v="Graduation"/>
    <s v="Married"/>
    <n v="41124"/>
    <n v="1"/>
    <n v="41"/>
    <n v="281"/>
    <n v="7"/>
    <n v="84"/>
    <n v="15"/>
    <n v="0"/>
    <n v="119"/>
    <n v="506"/>
    <n v="7"/>
    <n v="7"/>
    <n v="3"/>
    <n v="4"/>
    <n v="8"/>
    <n v="0"/>
    <n v="0"/>
    <n v="0"/>
    <n v="0"/>
    <n v="0"/>
    <n v="0"/>
    <n v="0"/>
  </r>
  <r>
    <d v="2012-10-12T00:00:00"/>
    <n v="3710"/>
    <n v="1984"/>
    <x v="0"/>
    <s v="PhD"/>
    <s v="Single"/>
    <n v="39684"/>
    <n v="1"/>
    <n v="41"/>
    <n v="19"/>
    <n v="0"/>
    <n v="35"/>
    <n v="6"/>
    <n v="4"/>
    <n v="17"/>
    <n v="81"/>
    <n v="2"/>
    <n v="2"/>
    <n v="1"/>
    <n v="2"/>
    <n v="7"/>
    <n v="0"/>
    <n v="0"/>
    <n v="0"/>
    <n v="0"/>
    <n v="0"/>
    <n v="1"/>
    <n v="1"/>
  </r>
  <r>
    <d v="2012-09-24T00:00:00"/>
    <n v="5207"/>
    <n v="1963"/>
    <x v="0"/>
    <s v="PhD"/>
    <s v="Married"/>
    <n v="53378"/>
    <n v="2"/>
    <n v="41"/>
    <n v="489"/>
    <n v="6"/>
    <n v="152"/>
    <n v="8"/>
    <n v="6"/>
    <n v="132"/>
    <n v="793"/>
    <n v="10"/>
    <n v="9"/>
    <n v="4"/>
    <n v="6"/>
    <n v="8"/>
    <n v="0"/>
    <n v="0"/>
    <n v="0"/>
    <n v="0"/>
    <n v="0"/>
    <n v="1"/>
    <n v="0"/>
  </r>
  <r>
    <d v="2012-08-08T00:00:00"/>
    <n v="9360"/>
    <n v="1982"/>
    <x v="2"/>
    <s v="Graduation"/>
    <s v="Married"/>
    <n v="37040"/>
    <n v="0"/>
    <n v="41"/>
    <n v="86"/>
    <n v="2"/>
    <n v="73"/>
    <n v="69"/>
    <n v="38"/>
    <n v="48"/>
    <n v="316"/>
    <n v="1"/>
    <n v="4"/>
    <n v="2"/>
    <n v="5"/>
    <n v="8"/>
    <n v="0"/>
    <n v="0"/>
    <n v="0"/>
    <n v="0"/>
    <n v="0"/>
    <n v="0"/>
    <n v="0"/>
  </r>
  <r>
    <d v="2014-05-23T00:00:00"/>
    <n v="4679"/>
    <n v="1977"/>
    <x v="0"/>
    <s v="Master"/>
    <s v="Married"/>
    <n v="78710"/>
    <n v="1"/>
    <n v="42"/>
    <n v="721"/>
    <n v="0"/>
    <n v="152"/>
    <n v="119"/>
    <n v="50"/>
    <n v="50"/>
    <n v="1092"/>
    <n v="3"/>
    <n v="7"/>
    <n v="6"/>
    <n v="12"/>
    <n v="4"/>
    <n v="0"/>
    <n v="0"/>
    <n v="0"/>
    <n v="0"/>
    <n v="0"/>
    <n v="0"/>
    <n v="0"/>
  </r>
  <r>
    <d v="2014-04-24T00:00:00"/>
    <n v="1340"/>
    <n v="1986"/>
    <x v="0"/>
    <s v="Graduation"/>
    <s v="Married"/>
    <n v="92910"/>
    <n v="0"/>
    <n v="42"/>
    <n v="551"/>
    <n v="137"/>
    <n v="792"/>
    <n v="179"/>
    <n v="103"/>
    <n v="33"/>
    <n v="1795"/>
    <n v="1"/>
    <n v="6"/>
    <n v="7"/>
    <n v="13"/>
    <n v="1"/>
    <n v="0"/>
    <n v="1"/>
    <n v="1"/>
    <n v="1"/>
    <n v="0"/>
    <n v="0"/>
    <n v="0"/>
  </r>
  <r>
    <d v="2014-04-14T00:00:00"/>
    <n v="10839"/>
    <n v="1976"/>
    <x v="1"/>
    <s v="Graduation"/>
    <s v="Together"/>
    <n v="36283"/>
    <n v="2"/>
    <n v="42"/>
    <n v="6"/>
    <n v="5"/>
    <n v="5"/>
    <n v="8"/>
    <n v="0"/>
    <n v="5"/>
    <n v="29"/>
    <n v="2"/>
    <n v="1"/>
    <n v="0"/>
    <n v="3"/>
    <n v="4"/>
    <n v="0"/>
    <n v="0"/>
    <n v="0"/>
    <n v="0"/>
    <n v="0"/>
    <n v="0"/>
    <n v="0"/>
  </r>
  <r>
    <d v="2014-04-08T00:00:00"/>
    <n v="5303"/>
    <n v="1974"/>
    <x v="6"/>
    <s v="PhD"/>
    <s v="Together"/>
    <n v="79632"/>
    <n v="0"/>
    <n v="42"/>
    <n v="471"/>
    <n v="0"/>
    <n v="510"/>
    <n v="99"/>
    <n v="21"/>
    <n v="12"/>
    <n v="1113"/>
    <n v="1"/>
    <n v="6"/>
    <n v="4"/>
    <n v="9"/>
    <n v="2"/>
    <n v="0"/>
    <n v="0"/>
    <n v="0"/>
    <n v="0"/>
    <n v="0"/>
    <n v="0"/>
    <n v="0"/>
  </r>
  <r>
    <d v="2014-02-12T00:00:00"/>
    <n v="9829"/>
    <n v="1978"/>
    <x v="0"/>
    <s v="Graduation"/>
    <s v="Together"/>
    <n v="28587"/>
    <n v="1"/>
    <n v="42"/>
    <n v="22"/>
    <n v="4"/>
    <n v="17"/>
    <n v="12"/>
    <n v="10"/>
    <n v="13"/>
    <n v="78"/>
    <n v="3"/>
    <n v="2"/>
    <n v="0"/>
    <n v="4"/>
    <n v="6"/>
    <n v="0"/>
    <n v="0"/>
    <n v="0"/>
    <n v="0"/>
    <n v="0"/>
    <n v="0"/>
    <n v="0"/>
  </r>
  <r>
    <d v="2014-02-05T00:00:00"/>
    <n v="10469"/>
    <n v="1981"/>
    <x v="5"/>
    <s v="Graduation"/>
    <s v="Together"/>
    <n v="88325"/>
    <n v="0"/>
    <n v="42"/>
    <n v="519"/>
    <n v="71"/>
    <n v="860"/>
    <n v="93"/>
    <n v="27"/>
    <n v="53"/>
    <n v="1623"/>
    <n v="1"/>
    <n v="6"/>
    <n v="2"/>
    <n v="9"/>
    <n v="2"/>
    <n v="0"/>
    <n v="0"/>
    <n v="0"/>
    <n v="0"/>
    <n v="0"/>
    <n v="0"/>
    <n v="0"/>
  </r>
  <r>
    <d v="2013-12-31T00:00:00"/>
    <n v="3602"/>
    <n v="1958"/>
    <x v="0"/>
    <s v="Master"/>
    <s v="Married"/>
    <n v="51412"/>
    <n v="1"/>
    <n v="42"/>
    <n v="140"/>
    <n v="3"/>
    <n v="29"/>
    <n v="4"/>
    <n v="5"/>
    <n v="14"/>
    <n v="195"/>
    <n v="2"/>
    <n v="3"/>
    <n v="2"/>
    <n v="4"/>
    <n v="4"/>
    <n v="0"/>
    <n v="0"/>
    <n v="0"/>
    <n v="0"/>
    <n v="0"/>
    <n v="0"/>
    <n v="0"/>
  </r>
  <r>
    <d v="2013-12-20T00:00:00"/>
    <n v="4756"/>
    <n v="1952"/>
    <x v="0"/>
    <s v="2n Cycle"/>
    <s v="Divorced"/>
    <n v="63998"/>
    <n v="0"/>
    <n v="42"/>
    <n v="176"/>
    <n v="29"/>
    <n v="818"/>
    <n v="0"/>
    <n v="33"/>
    <n v="112"/>
    <n v="1168"/>
    <n v="1"/>
    <n v="7"/>
    <n v="6"/>
    <n v="11"/>
    <n v="4"/>
    <n v="0"/>
    <n v="0"/>
    <n v="0"/>
    <n v="0"/>
    <n v="0"/>
    <n v="1"/>
    <n v="0"/>
  </r>
  <r>
    <d v="2013-09-13T00:00:00"/>
    <n v="8181"/>
    <n v="1978"/>
    <x v="0"/>
    <s v="2n Cycle"/>
    <s v="Single"/>
    <n v="38593"/>
    <n v="1"/>
    <n v="42"/>
    <n v="51"/>
    <n v="12"/>
    <n v="49"/>
    <n v="17"/>
    <n v="24"/>
    <n v="24"/>
    <n v="177"/>
    <n v="3"/>
    <n v="4"/>
    <n v="1"/>
    <n v="3"/>
    <n v="8"/>
    <n v="0"/>
    <n v="0"/>
    <n v="0"/>
    <n v="0"/>
    <n v="0"/>
    <n v="0"/>
    <n v="0"/>
  </r>
  <r>
    <d v="2013-07-05T00:00:00"/>
    <n v="6958"/>
    <n v="1977"/>
    <x v="3"/>
    <s v="Master"/>
    <s v="Married"/>
    <n v="27889"/>
    <n v="1"/>
    <n v="42"/>
    <n v="14"/>
    <n v="0"/>
    <n v="4"/>
    <n v="0"/>
    <n v="0"/>
    <n v="8"/>
    <n v="26"/>
    <n v="1"/>
    <n v="1"/>
    <n v="1"/>
    <n v="2"/>
    <n v="6"/>
    <n v="0"/>
    <n v="0"/>
    <n v="0"/>
    <n v="0"/>
    <n v="0"/>
    <n v="0"/>
    <n v="0"/>
  </r>
  <r>
    <d v="2013-07-02T00:00:00"/>
    <n v="10856"/>
    <n v="1980"/>
    <x v="1"/>
    <s v="2n Cycle"/>
    <s v="Single"/>
    <n v="45889"/>
    <n v="1"/>
    <n v="42"/>
    <n v="31"/>
    <n v="0"/>
    <n v="6"/>
    <n v="0"/>
    <n v="1"/>
    <n v="8"/>
    <n v="46"/>
    <n v="1"/>
    <n v="1"/>
    <n v="0"/>
    <n v="3"/>
    <n v="6"/>
    <n v="0"/>
    <n v="0"/>
    <n v="0"/>
    <n v="0"/>
    <n v="0"/>
    <n v="0"/>
    <n v="0"/>
  </r>
  <r>
    <d v="2013-05-05T00:00:00"/>
    <n v="3321"/>
    <n v="1967"/>
    <x v="1"/>
    <s v="PhD"/>
    <s v="Together"/>
    <n v="56575"/>
    <n v="2"/>
    <n v="42"/>
    <n v="421"/>
    <n v="5"/>
    <n v="90"/>
    <n v="0"/>
    <n v="16"/>
    <n v="10"/>
    <n v="542"/>
    <n v="3"/>
    <n v="7"/>
    <n v="3"/>
    <n v="7"/>
    <n v="5"/>
    <n v="0"/>
    <n v="0"/>
    <n v="0"/>
    <n v="0"/>
    <n v="0"/>
    <n v="0"/>
    <n v="0"/>
  </r>
  <r>
    <d v="2013-03-17T00:00:00"/>
    <n v="5394"/>
    <n v="1979"/>
    <x v="0"/>
    <s v="Basic"/>
    <s v="Single"/>
    <n v="16014"/>
    <n v="2"/>
    <n v="42"/>
    <n v="3"/>
    <n v="9"/>
    <n v="4"/>
    <n v="7"/>
    <n v="8"/>
    <n v="7"/>
    <n v="38"/>
    <n v="4"/>
    <n v="1"/>
    <n v="1"/>
    <n v="4"/>
    <n v="3"/>
    <n v="0"/>
    <n v="0"/>
    <n v="0"/>
    <n v="0"/>
    <n v="0"/>
    <n v="0"/>
    <n v="0"/>
  </r>
  <r>
    <d v="2013-03-10T00:00:00"/>
    <n v="433"/>
    <n v="1958"/>
    <x v="1"/>
    <s v="Master"/>
    <s v="Single"/>
    <n v="61331"/>
    <n v="2"/>
    <n v="42"/>
    <n v="534"/>
    <n v="5"/>
    <n v="47"/>
    <n v="0"/>
    <n v="5"/>
    <n v="41"/>
    <n v="632"/>
    <n v="5"/>
    <n v="11"/>
    <n v="1"/>
    <n v="6"/>
    <n v="8"/>
    <n v="0"/>
    <n v="0"/>
    <n v="0"/>
    <n v="0"/>
    <n v="0"/>
    <n v="0"/>
    <n v="0"/>
  </r>
  <r>
    <d v="2013-02-06T00:00:00"/>
    <n v="6320"/>
    <n v="1976"/>
    <x v="0"/>
    <s v="Master"/>
    <s v="Single"/>
    <n v="70893"/>
    <n v="0"/>
    <n v="42"/>
    <n v="768"/>
    <n v="44"/>
    <n v="561"/>
    <n v="77"/>
    <n v="44"/>
    <n v="14"/>
    <n v="1508"/>
    <n v="1"/>
    <n v="6"/>
    <n v="6"/>
    <n v="10"/>
    <n v="3"/>
    <n v="0"/>
    <n v="0"/>
    <n v="0"/>
    <n v="0"/>
    <n v="0"/>
    <n v="0"/>
    <n v="0"/>
  </r>
  <r>
    <d v="2013-01-06T00:00:00"/>
    <n v="5376"/>
    <n v="1979"/>
    <x v="2"/>
    <s v="Graduation"/>
    <s v="Married"/>
    <n v="2447"/>
    <n v="1"/>
    <n v="42"/>
    <n v="1"/>
    <n v="1"/>
    <n v="1725"/>
    <n v="1"/>
    <n v="1"/>
    <n v="1"/>
    <n v="1730"/>
    <n v="15"/>
    <n v="0"/>
    <n v="28"/>
    <n v="0"/>
    <n v="1"/>
    <n v="0"/>
    <n v="0"/>
    <n v="0"/>
    <n v="0"/>
    <n v="0"/>
    <n v="0"/>
    <n v="0"/>
  </r>
  <r>
    <d v="2012-11-13T00:00:00"/>
    <n v="1867"/>
    <n v="1957"/>
    <x v="0"/>
    <s v="Graduation"/>
    <s v="Single"/>
    <n v="64849"/>
    <n v="0"/>
    <n v="42"/>
    <n v="652"/>
    <n v="48"/>
    <n v="350"/>
    <n v="94"/>
    <n v="84"/>
    <n v="108"/>
    <n v="1336"/>
    <n v="1"/>
    <n v="9"/>
    <n v="3"/>
    <n v="6"/>
    <n v="5"/>
    <n v="0"/>
    <n v="0"/>
    <n v="0"/>
    <n v="0"/>
    <n v="0"/>
    <n v="1"/>
    <n v="0"/>
  </r>
  <r>
    <d v="2012-10-29T00:00:00"/>
    <n v="4324"/>
    <n v="1989"/>
    <x v="0"/>
    <s v="Graduation"/>
    <s v="Married"/>
    <n v="42387"/>
    <n v="1"/>
    <n v="42"/>
    <n v="235"/>
    <n v="0"/>
    <n v="235"/>
    <n v="19"/>
    <n v="4"/>
    <n v="191"/>
    <n v="684"/>
    <n v="5"/>
    <n v="8"/>
    <n v="1"/>
    <n v="7"/>
    <n v="8"/>
    <n v="0"/>
    <n v="0"/>
    <n v="0"/>
    <n v="0"/>
    <n v="0"/>
    <n v="0"/>
    <n v="0"/>
  </r>
  <r>
    <d v="2012-10-12T00:00:00"/>
    <n v="3661"/>
    <n v="1995"/>
    <x v="5"/>
    <s v="2n Cycle"/>
    <s v="Single"/>
    <n v="80617"/>
    <n v="0"/>
    <n v="42"/>
    <n v="594"/>
    <n v="51"/>
    <n v="631"/>
    <n v="72"/>
    <n v="55"/>
    <n v="32"/>
    <n v="1435"/>
    <n v="1"/>
    <n v="4"/>
    <n v="6"/>
    <n v="8"/>
    <n v="2"/>
    <n v="0"/>
    <n v="0"/>
    <n v="0"/>
    <n v="0"/>
    <n v="0"/>
    <n v="0"/>
    <n v="0"/>
  </r>
  <r>
    <d v="2012-09-18T00:00:00"/>
    <n v="521"/>
    <n v="1985"/>
    <x v="0"/>
    <s v="Graduation"/>
    <s v="Together"/>
    <n v="54006"/>
    <n v="1"/>
    <n v="42"/>
    <n v="174"/>
    <n v="77"/>
    <n v="203"/>
    <n v="6"/>
    <n v="24"/>
    <n v="97"/>
    <n v="581"/>
    <n v="2"/>
    <n v="8"/>
    <n v="1"/>
    <n v="7"/>
    <n v="7"/>
    <n v="0"/>
    <n v="0"/>
    <n v="0"/>
    <n v="0"/>
    <n v="0"/>
    <n v="0"/>
    <n v="0"/>
  </r>
  <r>
    <d v="2014-06-18T00:00:00"/>
    <n v="10403"/>
    <n v="1978"/>
    <x v="1"/>
    <s v="Graduation"/>
    <s v="Together"/>
    <n v="16531"/>
    <n v="1"/>
    <n v="43"/>
    <n v="2"/>
    <n v="13"/>
    <n v="6"/>
    <n v="7"/>
    <n v="5"/>
    <n v="11"/>
    <n v="44"/>
    <n v="3"/>
    <n v="3"/>
    <n v="0"/>
    <n v="3"/>
    <n v="7"/>
    <n v="0"/>
    <n v="0"/>
    <n v="0"/>
    <n v="0"/>
    <n v="0"/>
    <n v="0"/>
    <n v="0"/>
  </r>
  <r>
    <d v="2014-05-26T00:00:00"/>
    <n v="7186"/>
    <n v="1966"/>
    <x v="5"/>
    <s v="PhD"/>
    <s v="Together"/>
    <n v="30843"/>
    <n v="2"/>
    <n v="43"/>
    <n v="24"/>
    <n v="0"/>
    <n v="2"/>
    <n v="0"/>
    <n v="0"/>
    <n v="9"/>
    <n v="35"/>
    <n v="2"/>
    <n v="1"/>
    <n v="1"/>
    <n v="2"/>
    <n v="5"/>
    <n v="1"/>
    <n v="0"/>
    <n v="0"/>
    <n v="0"/>
    <n v="0"/>
    <n v="0"/>
    <n v="0"/>
  </r>
  <r>
    <d v="2014-05-23T00:00:00"/>
    <n v="4329"/>
    <n v="1984"/>
    <x v="3"/>
    <s v="PhD"/>
    <s v="Married"/>
    <n v="18988"/>
    <n v="1"/>
    <n v="43"/>
    <n v="6"/>
    <n v="0"/>
    <n v="6"/>
    <n v="2"/>
    <n v="1"/>
    <n v="1"/>
    <n v="16"/>
    <n v="2"/>
    <n v="1"/>
    <n v="0"/>
    <n v="3"/>
    <n v="7"/>
    <n v="0"/>
    <n v="0"/>
    <n v="0"/>
    <n v="0"/>
    <n v="0"/>
    <n v="0"/>
    <n v="0"/>
  </r>
  <r>
    <d v="2014-05-23T00:00:00"/>
    <n v="4394"/>
    <n v="1965"/>
    <x v="0"/>
    <s v="PhD"/>
    <s v="Married"/>
    <n v="81051"/>
    <n v="0"/>
    <n v="43"/>
    <n v="1142"/>
    <n v="29"/>
    <n v="249"/>
    <n v="38"/>
    <n v="29"/>
    <n v="14"/>
    <n v="1501"/>
    <n v="1"/>
    <n v="5"/>
    <n v="5"/>
    <n v="12"/>
    <n v="2"/>
    <n v="0"/>
    <n v="1"/>
    <n v="1"/>
    <n v="0"/>
    <n v="0"/>
    <n v="0"/>
    <n v="0"/>
  </r>
  <r>
    <d v="2014-04-13T00:00:00"/>
    <n v="1717"/>
    <n v="1988"/>
    <x v="6"/>
    <s v="Graduation"/>
    <s v="Single"/>
    <n v="39747"/>
    <n v="1"/>
    <n v="43"/>
    <n v="80"/>
    <n v="15"/>
    <n v="93"/>
    <n v="20"/>
    <n v="13"/>
    <n v="52"/>
    <n v="273"/>
    <n v="3"/>
    <n v="5"/>
    <n v="1"/>
    <n v="4"/>
    <n v="8"/>
    <n v="0"/>
    <n v="0"/>
    <n v="0"/>
    <n v="0"/>
    <n v="0"/>
    <n v="0"/>
    <n v="0"/>
  </r>
  <r>
    <d v="2014-03-30T00:00:00"/>
    <n v="1016"/>
    <n v="1959"/>
    <x v="1"/>
    <s v="PhD"/>
    <s v="Single"/>
    <n v="34554"/>
    <n v="1"/>
    <n v="43"/>
    <n v="41"/>
    <n v="1"/>
    <n v="6"/>
    <n v="2"/>
    <n v="0"/>
    <n v="5"/>
    <n v="55"/>
    <n v="2"/>
    <n v="2"/>
    <n v="0"/>
    <n v="3"/>
    <n v="6"/>
    <n v="0"/>
    <n v="0"/>
    <n v="0"/>
    <n v="0"/>
    <n v="0"/>
    <n v="0"/>
    <n v="0"/>
  </r>
  <r>
    <d v="2014-03-24T00:00:00"/>
    <n v="3783"/>
    <n v="1959"/>
    <x v="6"/>
    <s v="PhD"/>
    <s v="Married"/>
    <n v="52854"/>
    <n v="2"/>
    <n v="43"/>
    <n v="105"/>
    <n v="0"/>
    <n v="10"/>
    <n v="0"/>
    <n v="1"/>
    <n v="0"/>
    <n v="116"/>
    <n v="2"/>
    <n v="2"/>
    <n v="1"/>
    <n v="4"/>
    <n v="5"/>
    <n v="0"/>
    <n v="0"/>
    <n v="0"/>
    <n v="0"/>
    <n v="0"/>
    <n v="0"/>
    <n v="0"/>
  </r>
  <r>
    <d v="2014-01-13T00:00:00"/>
    <n v="5848"/>
    <n v="1970"/>
    <x v="5"/>
    <s v="Graduation"/>
    <s v="Together"/>
    <n v="81205"/>
    <n v="0"/>
    <n v="43"/>
    <n v="724"/>
    <n v="74"/>
    <n v="929"/>
    <n v="97"/>
    <n v="55"/>
    <n v="130"/>
    <n v="2009"/>
    <n v="1"/>
    <n v="5"/>
    <n v="6"/>
    <n v="7"/>
    <n v="2"/>
    <n v="1"/>
    <n v="0"/>
    <n v="1"/>
    <n v="0"/>
    <n v="1"/>
    <n v="1"/>
    <n v="0"/>
  </r>
  <r>
    <d v="2013-11-19T00:00:00"/>
    <n v="10727"/>
    <n v="1970"/>
    <x v="0"/>
    <s v="PhD"/>
    <s v="Married"/>
    <n v="69084"/>
    <n v="1"/>
    <n v="43"/>
    <n v="1181"/>
    <n v="107"/>
    <n v="199"/>
    <n v="39"/>
    <n v="30"/>
    <n v="30"/>
    <n v="1586"/>
    <n v="2"/>
    <n v="7"/>
    <n v="3"/>
    <n v="13"/>
    <n v="8"/>
    <n v="0"/>
    <n v="0"/>
    <n v="0"/>
    <n v="0"/>
    <n v="0"/>
    <n v="0"/>
    <n v="0"/>
  </r>
  <r>
    <d v="2013-11-19T00:00:00"/>
    <n v="5299"/>
    <n v="1970"/>
    <x v="0"/>
    <s v="PhD"/>
    <s v="Married"/>
    <n v="69084"/>
    <n v="1"/>
    <n v="43"/>
    <n v="1181"/>
    <n v="107"/>
    <n v="199"/>
    <n v="39"/>
    <n v="30"/>
    <n v="30"/>
    <n v="1586"/>
    <n v="2"/>
    <n v="7"/>
    <n v="3"/>
    <n v="13"/>
    <n v="8"/>
    <n v="0"/>
    <n v="0"/>
    <n v="0"/>
    <n v="0"/>
    <n v="0"/>
    <n v="0"/>
    <n v="0"/>
  </r>
  <r>
    <d v="2013-08-21T00:00:00"/>
    <n v="6872"/>
    <n v="1974"/>
    <x v="6"/>
    <s v="PhD"/>
    <s v="Married"/>
    <n v="65352"/>
    <n v="1"/>
    <n v="43"/>
    <n v="284"/>
    <n v="3"/>
    <n v="84"/>
    <n v="4"/>
    <n v="7"/>
    <n v="23"/>
    <n v="405"/>
    <n v="2"/>
    <n v="4"/>
    <n v="2"/>
    <n v="8"/>
    <n v="4"/>
    <n v="0"/>
    <n v="0"/>
    <n v="0"/>
    <n v="0"/>
    <n v="0"/>
    <n v="0"/>
    <n v="0"/>
  </r>
  <r>
    <d v="2013-08-08T00:00:00"/>
    <n v="1143"/>
    <n v="1972"/>
    <x v="1"/>
    <s v="Graduation"/>
    <s v="Married"/>
    <n v="22063"/>
    <n v="1"/>
    <n v="43"/>
    <n v="7"/>
    <n v="10"/>
    <n v="13"/>
    <n v="3"/>
    <n v="11"/>
    <n v="11"/>
    <n v="55"/>
    <n v="2"/>
    <n v="2"/>
    <n v="0"/>
    <n v="3"/>
    <n v="7"/>
    <n v="0"/>
    <n v="0"/>
    <n v="0"/>
    <n v="0"/>
    <n v="0"/>
    <n v="0"/>
    <n v="0"/>
  </r>
  <r>
    <d v="2013-07-05T00:00:00"/>
    <n v="10381"/>
    <n v="1979"/>
    <x v="0"/>
    <s v="Graduation"/>
    <s v="Single"/>
    <n v="47691"/>
    <n v="1"/>
    <n v="43"/>
    <n v="14"/>
    <n v="0"/>
    <n v="3"/>
    <n v="0"/>
    <n v="0"/>
    <n v="4"/>
    <n v="21"/>
    <n v="1"/>
    <n v="1"/>
    <n v="0"/>
    <n v="2"/>
    <n v="6"/>
    <n v="0"/>
    <n v="0"/>
    <n v="0"/>
    <n v="0"/>
    <n v="0"/>
    <n v="0"/>
    <n v="0"/>
  </r>
  <r>
    <d v="2013-05-09T00:00:00"/>
    <n v="11007"/>
    <n v="1968"/>
    <x v="0"/>
    <s v="PhD"/>
    <s v="Married"/>
    <n v="29187"/>
    <n v="1"/>
    <n v="43"/>
    <n v="26"/>
    <n v="0"/>
    <n v="6"/>
    <n v="0"/>
    <n v="0"/>
    <n v="2"/>
    <n v="34"/>
    <n v="1"/>
    <n v="1"/>
    <n v="0"/>
    <n v="3"/>
    <n v="8"/>
    <n v="0"/>
    <n v="0"/>
    <n v="0"/>
    <n v="0"/>
    <n v="0"/>
    <n v="0"/>
    <n v="0"/>
  </r>
  <r>
    <d v="2013-04-06T00:00:00"/>
    <n v="9145"/>
    <n v="1972"/>
    <x v="1"/>
    <s v="Graduation"/>
    <s v="Single"/>
    <n v="72504"/>
    <n v="1"/>
    <n v="43"/>
    <n v="604"/>
    <n v="26"/>
    <n v="470"/>
    <n v="123"/>
    <n v="161"/>
    <n v="94"/>
    <n v="1478"/>
    <n v="2"/>
    <n v="5"/>
    <n v="9"/>
    <n v="6"/>
    <n v="2"/>
    <n v="0"/>
    <n v="0"/>
    <n v="0"/>
    <n v="0"/>
    <n v="0"/>
    <n v="0"/>
    <n v="0"/>
  </r>
  <r>
    <d v="2013-03-14T00:00:00"/>
    <n v="5267"/>
    <n v="1970"/>
    <x v="0"/>
    <s v="Graduation"/>
    <s v="Divorced"/>
    <n v="33986"/>
    <n v="1"/>
    <n v="43"/>
    <n v="16"/>
    <n v="2"/>
    <n v="18"/>
    <n v="2"/>
    <n v="1"/>
    <n v="5"/>
    <n v="44"/>
    <n v="1"/>
    <n v="1"/>
    <n v="0"/>
    <n v="3"/>
    <n v="7"/>
    <n v="0"/>
    <n v="0"/>
    <n v="0"/>
    <n v="0"/>
    <n v="0"/>
    <n v="0"/>
    <n v="0"/>
  </r>
  <r>
    <d v="2013-01-13T00:00:00"/>
    <n v="9738"/>
    <n v="1986"/>
    <x v="6"/>
    <s v="Master"/>
    <s v="Together"/>
    <n v="42386"/>
    <n v="1"/>
    <n v="43"/>
    <n v="65"/>
    <n v="4"/>
    <n v="16"/>
    <n v="0"/>
    <n v="4"/>
    <n v="11"/>
    <n v="100"/>
    <n v="1"/>
    <n v="3"/>
    <n v="0"/>
    <n v="3"/>
    <n v="8"/>
    <n v="0"/>
    <n v="0"/>
    <n v="0"/>
    <n v="0"/>
    <n v="0"/>
    <n v="0"/>
    <n v="0"/>
  </r>
  <r>
    <d v="2013-01-13T00:00:00"/>
    <n v="10212"/>
    <n v="1986"/>
    <x v="5"/>
    <s v="Master"/>
    <s v="Together"/>
    <n v="42386"/>
    <n v="1"/>
    <n v="43"/>
    <n v="65"/>
    <n v="4"/>
    <n v="16"/>
    <n v="0"/>
    <n v="4"/>
    <n v="11"/>
    <n v="100"/>
    <n v="1"/>
    <n v="3"/>
    <n v="0"/>
    <n v="3"/>
    <n v="8"/>
    <n v="0"/>
    <n v="0"/>
    <n v="0"/>
    <n v="0"/>
    <n v="0"/>
    <n v="0"/>
    <n v="0"/>
  </r>
  <r>
    <d v="2012-09-06T00:00:00"/>
    <n v="10010"/>
    <n v="1953"/>
    <x v="3"/>
    <s v="PhD"/>
    <s v="Divorced"/>
    <n v="36957"/>
    <n v="2"/>
    <n v="43"/>
    <n v="100"/>
    <n v="2"/>
    <n v="16"/>
    <n v="2"/>
    <n v="1"/>
    <n v="31"/>
    <n v="152"/>
    <n v="4"/>
    <n v="3"/>
    <n v="2"/>
    <n v="2"/>
    <n v="9"/>
    <n v="0"/>
    <n v="0"/>
    <n v="0"/>
    <n v="0"/>
    <n v="0"/>
    <n v="1"/>
    <n v="0"/>
  </r>
  <r>
    <d v="2012-08-31T00:00:00"/>
    <n v="10069"/>
    <n v="1988"/>
    <x v="6"/>
    <s v="Basic"/>
    <s v="Together"/>
    <n v="13724"/>
    <n v="1"/>
    <n v="43"/>
    <n v="2"/>
    <n v="7"/>
    <n v="5"/>
    <n v="2"/>
    <n v="15"/>
    <n v="27"/>
    <n v="58"/>
    <n v="1"/>
    <n v="2"/>
    <n v="0"/>
    <n v="2"/>
    <n v="9"/>
    <n v="1"/>
    <n v="0"/>
    <n v="0"/>
    <n v="0"/>
    <n v="0"/>
    <n v="0"/>
    <n v="0"/>
  </r>
  <r>
    <d v="2014-03-18T00:00:00"/>
    <n v="2694"/>
    <n v="1967"/>
    <x v="0"/>
    <s v="Graduation"/>
    <s v="Married"/>
    <n v="42664"/>
    <n v="1"/>
    <n v="44"/>
    <n v="21"/>
    <n v="0"/>
    <n v="3"/>
    <n v="0"/>
    <n v="0"/>
    <n v="0"/>
    <n v="24"/>
    <n v="1"/>
    <n v="1"/>
    <n v="0"/>
    <n v="3"/>
    <n v="6"/>
    <n v="0"/>
    <n v="0"/>
    <n v="0"/>
    <n v="0"/>
    <n v="0"/>
    <n v="0"/>
    <n v="0"/>
  </r>
  <r>
    <d v="2014-02-26T00:00:00"/>
    <n v="10613"/>
    <n v="1958"/>
    <x v="0"/>
    <s v="PhD"/>
    <s v="Together"/>
    <n v="37334"/>
    <n v="2"/>
    <n v="44"/>
    <n v="26"/>
    <n v="1"/>
    <n v="16"/>
    <n v="2"/>
    <n v="2"/>
    <n v="15"/>
    <n v="62"/>
    <n v="4"/>
    <n v="3"/>
    <n v="0"/>
    <n v="4"/>
    <n v="4"/>
    <n v="0"/>
    <n v="0"/>
    <n v="0"/>
    <n v="0"/>
    <n v="0"/>
    <n v="0"/>
    <n v="0"/>
  </r>
  <r>
    <d v="2013-12-01T00:00:00"/>
    <n v="4646"/>
    <n v="1951"/>
    <x v="1"/>
    <s v="2n Cycle"/>
    <s v="Married"/>
    <n v="78497"/>
    <n v="0"/>
    <n v="44"/>
    <n v="207"/>
    <n v="26"/>
    <n v="447"/>
    <n v="75"/>
    <n v="0"/>
    <n v="223"/>
    <n v="978"/>
    <n v="1"/>
    <n v="5"/>
    <n v="7"/>
    <n v="12"/>
    <n v="2"/>
    <n v="0"/>
    <n v="0"/>
    <n v="0"/>
    <n v="1"/>
    <n v="0"/>
    <n v="0"/>
    <n v="0"/>
  </r>
  <r>
    <d v="2013-12-01T00:00:00"/>
    <n v="6935"/>
    <n v="1951"/>
    <x v="5"/>
    <s v="2n Cycle"/>
    <s v="Married"/>
    <n v="78497"/>
    <n v="0"/>
    <n v="44"/>
    <n v="207"/>
    <n v="26"/>
    <n v="447"/>
    <n v="75"/>
    <n v="0"/>
    <n v="223"/>
    <n v="978"/>
    <n v="1"/>
    <n v="5"/>
    <n v="7"/>
    <n v="12"/>
    <n v="2"/>
    <n v="0"/>
    <n v="0"/>
    <n v="0"/>
    <n v="1"/>
    <n v="0"/>
    <n v="0"/>
    <n v="0"/>
  </r>
  <r>
    <d v="2013-10-12T00:00:00"/>
    <n v="5596"/>
    <n v="1956"/>
    <x v="6"/>
    <s v="2n Cycle"/>
    <s v="Together"/>
    <n v="58821"/>
    <n v="1"/>
    <n v="44"/>
    <n v="513"/>
    <n v="14"/>
    <n v="154"/>
    <n v="19"/>
    <n v="0"/>
    <n v="28"/>
    <n v="728"/>
    <n v="1"/>
    <n v="9"/>
    <n v="2"/>
    <n v="9"/>
    <n v="6"/>
    <n v="0"/>
    <n v="0"/>
    <n v="0"/>
    <n v="0"/>
    <n v="0"/>
    <n v="0"/>
    <n v="0"/>
  </r>
  <r>
    <d v="2013-05-14T00:00:00"/>
    <n v="1044"/>
    <n v="1953"/>
    <x v="3"/>
    <s v="Graduation"/>
    <s v="Together"/>
    <n v="58398"/>
    <n v="0"/>
    <n v="44"/>
    <n v="299"/>
    <n v="5"/>
    <n v="201"/>
    <n v="21"/>
    <n v="21"/>
    <n v="49"/>
    <n v="596"/>
    <n v="3"/>
    <n v="5"/>
    <n v="4"/>
    <n v="8"/>
    <n v="4"/>
    <n v="0"/>
    <n v="0"/>
    <n v="0"/>
    <n v="0"/>
    <n v="0"/>
    <n v="0"/>
    <n v="0"/>
  </r>
  <r>
    <d v="2013-03-28T00:00:00"/>
    <n v="9274"/>
    <n v="1961"/>
    <x v="6"/>
    <s v="Master"/>
    <s v="Married"/>
    <n v="80950"/>
    <n v="0"/>
    <n v="44"/>
    <n v="525"/>
    <n v="147"/>
    <n v="112"/>
    <n v="219"/>
    <n v="147"/>
    <n v="63"/>
    <n v="1213"/>
    <n v="1"/>
    <n v="6"/>
    <n v="7"/>
    <n v="9"/>
    <n v="2"/>
    <n v="0"/>
    <n v="0"/>
    <n v="0"/>
    <n v="1"/>
    <n v="0"/>
    <n v="0"/>
    <n v="0"/>
  </r>
  <r>
    <d v="2013-01-05T00:00:00"/>
    <n v="9076"/>
    <n v="1980"/>
    <x v="6"/>
    <s v="PhD"/>
    <s v="Married"/>
    <n v="30732"/>
    <n v="1"/>
    <n v="44"/>
    <n v="155"/>
    <n v="1"/>
    <n v="25"/>
    <n v="0"/>
    <n v="1"/>
    <n v="3"/>
    <n v="185"/>
    <n v="4"/>
    <n v="4"/>
    <n v="1"/>
    <n v="4"/>
    <n v="8"/>
    <n v="0"/>
    <n v="0"/>
    <n v="0"/>
    <n v="0"/>
    <n v="0"/>
    <n v="0"/>
    <n v="0"/>
  </r>
  <r>
    <d v="2012-09-15T00:00:00"/>
    <n v="4947"/>
    <n v="1966"/>
    <x v="0"/>
    <s v="2n Cycle"/>
    <s v="Single"/>
    <n v="89572"/>
    <n v="0"/>
    <n v="44"/>
    <n v="606"/>
    <n v="24"/>
    <n v="974"/>
    <n v="197"/>
    <n v="194"/>
    <n v="64"/>
    <n v="2059"/>
    <n v="1"/>
    <n v="7"/>
    <n v="7"/>
    <n v="9"/>
    <n v="4"/>
    <n v="0"/>
    <n v="1"/>
    <n v="0"/>
    <n v="1"/>
    <n v="0"/>
    <n v="1"/>
    <n v="0"/>
  </r>
  <r>
    <d v="2012-08-24T00:00:00"/>
    <n v="10176"/>
    <n v="1968"/>
    <x v="0"/>
    <s v="Graduation"/>
    <s v="Single"/>
    <n v="57107"/>
    <n v="1"/>
    <n v="44"/>
    <n v="159"/>
    <n v="0"/>
    <n v="120"/>
    <n v="0"/>
    <n v="0"/>
    <n v="137"/>
    <n v="416"/>
    <n v="7"/>
    <n v="4"/>
    <n v="4"/>
    <n v="8"/>
    <n v="8"/>
    <n v="0"/>
    <n v="1"/>
    <n v="0"/>
    <n v="0"/>
    <n v="1"/>
    <n v="1"/>
    <n v="0"/>
  </r>
  <r>
    <d v="2012-08-17T00:00:00"/>
    <n v="3507"/>
    <n v="1970"/>
    <x v="2"/>
    <s v="Graduation"/>
    <s v="Single"/>
    <n v="76467"/>
    <n v="1"/>
    <n v="44"/>
    <n v="676"/>
    <n v="161"/>
    <n v="426"/>
    <n v="210"/>
    <n v="44"/>
    <n v="58"/>
    <n v="1575"/>
    <n v="2"/>
    <n v="2"/>
    <n v="5"/>
    <n v="5"/>
    <n v="6"/>
    <n v="0"/>
    <n v="0"/>
    <n v="0"/>
    <n v="0"/>
    <n v="0"/>
    <n v="1"/>
    <n v="0"/>
  </r>
  <r>
    <d v="2014-05-27T00:00:00"/>
    <n v="9235"/>
    <n v="1957"/>
    <x v="4"/>
    <s v="Graduation"/>
    <s v="Single"/>
    <n v="53790.45"/>
    <n v="2"/>
    <n v="45"/>
    <n v="7"/>
    <n v="0"/>
    <n v="8"/>
    <n v="2"/>
    <n v="0"/>
    <n v="1"/>
    <n v="18"/>
    <n v="1"/>
    <n v="1"/>
    <n v="0"/>
    <n v="2"/>
    <n v="7"/>
    <n v="0"/>
    <n v="0"/>
    <n v="0"/>
    <n v="0"/>
    <n v="0"/>
    <n v="0"/>
    <n v="0"/>
  </r>
  <r>
    <d v="2014-02-23T00:00:00"/>
    <n v="10341"/>
    <n v="1948"/>
    <x v="3"/>
    <s v="Graduation"/>
    <s v="Together"/>
    <n v="51315"/>
    <n v="0"/>
    <n v="45"/>
    <n v="68"/>
    <n v="28"/>
    <n v="39"/>
    <n v="16"/>
    <n v="30"/>
    <n v="41"/>
    <n v="222"/>
    <n v="1"/>
    <n v="2"/>
    <n v="2"/>
    <n v="5"/>
    <n v="2"/>
    <n v="0"/>
    <n v="0"/>
    <n v="0"/>
    <n v="0"/>
    <n v="0"/>
    <n v="0"/>
    <n v="0"/>
  </r>
  <r>
    <d v="2014-01-10T00:00:00"/>
    <n v="2639"/>
    <n v="1966"/>
    <x v="6"/>
    <s v="Graduation"/>
    <s v="Single"/>
    <n v="43602"/>
    <n v="2"/>
    <n v="45"/>
    <n v="19"/>
    <n v="5"/>
    <n v="12"/>
    <n v="10"/>
    <n v="3"/>
    <n v="19"/>
    <n v="68"/>
    <n v="3"/>
    <n v="3"/>
    <n v="1"/>
    <n v="2"/>
    <n v="6"/>
    <n v="0"/>
    <n v="0"/>
    <n v="0"/>
    <n v="0"/>
    <n v="0"/>
    <n v="0"/>
    <n v="0"/>
  </r>
  <r>
    <d v="2013-11-29T00:00:00"/>
    <n v="6201"/>
    <n v="1978"/>
    <x v="0"/>
    <s v="Graduation"/>
    <s v="Single"/>
    <n v="38643"/>
    <n v="2"/>
    <n v="45"/>
    <n v="22"/>
    <n v="2"/>
    <n v="14"/>
    <n v="0"/>
    <n v="1"/>
    <n v="10"/>
    <n v="49"/>
    <n v="2"/>
    <n v="2"/>
    <n v="0"/>
    <n v="3"/>
    <n v="7"/>
    <n v="0"/>
    <n v="0"/>
    <n v="0"/>
    <n v="0"/>
    <n v="0"/>
    <n v="0"/>
    <n v="1"/>
  </r>
  <r>
    <d v="2013-07-19T00:00:00"/>
    <n v="7397"/>
    <n v="1951"/>
    <x v="0"/>
    <s v="Graduation"/>
    <s v="Single"/>
    <n v="49090"/>
    <n v="1"/>
    <n v="45"/>
    <n v="494"/>
    <n v="5"/>
    <n v="82"/>
    <n v="7"/>
    <n v="0"/>
    <n v="100"/>
    <n v="688"/>
    <n v="3"/>
    <n v="7"/>
    <n v="2"/>
    <n v="9"/>
    <n v="7"/>
    <n v="0"/>
    <n v="0"/>
    <n v="0"/>
    <n v="0"/>
    <n v="0"/>
    <n v="0"/>
    <n v="0"/>
  </r>
  <r>
    <d v="2013-06-23T00:00:00"/>
    <n v="2181"/>
    <n v="1970"/>
    <x v="0"/>
    <s v="Graduation"/>
    <s v="Married"/>
    <n v="70617"/>
    <n v="0"/>
    <n v="45"/>
    <n v="353"/>
    <n v="61"/>
    <n v="753"/>
    <n v="40"/>
    <n v="46"/>
    <n v="27"/>
    <n v="1280"/>
    <n v="1"/>
    <n v="3"/>
    <n v="3"/>
    <n v="7"/>
    <n v="2"/>
    <n v="0"/>
    <n v="0"/>
    <n v="0"/>
    <n v="0"/>
    <n v="0"/>
    <n v="0"/>
    <n v="0"/>
  </r>
  <r>
    <d v="2013-05-22T00:00:00"/>
    <n v="1204"/>
    <n v="1970"/>
    <x v="6"/>
    <s v="PhD"/>
    <s v="Married"/>
    <n v="67536"/>
    <n v="1"/>
    <n v="45"/>
    <n v="1253"/>
    <n v="0"/>
    <n v="447"/>
    <n v="23"/>
    <n v="71"/>
    <n v="35"/>
    <n v="1829"/>
    <n v="3"/>
    <n v="11"/>
    <n v="5"/>
    <n v="11"/>
    <n v="8"/>
    <n v="0"/>
    <n v="0"/>
    <n v="0"/>
    <n v="1"/>
    <n v="0"/>
    <n v="0"/>
    <n v="0"/>
  </r>
  <r>
    <d v="2013-03-25T00:00:00"/>
    <n v="1170"/>
    <n v="1975"/>
    <x v="0"/>
    <s v="Graduation"/>
    <s v="Married"/>
    <n v="27573"/>
    <n v="1"/>
    <n v="45"/>
    <n v="50"/>
    <n v="15"/>
    <n v="110"/>
    <n v="39"/>
    <n v="15"/>
    <n v="15"/>
    <n v="244"/>
    <n v="4"/>
    <n v="5"/>
    <n v="1"/>
    <n v="4"/>
    <n v="8"/>
    <n v="0"/>
    <n v="0"/>
    <n v="0"/>
    <n v="0"/>
    <n v="0"/>
    <n v="0"/>
    <n v="0"/>
  </r>
  <r>
    <d v="2013-03-10T00:00:00"/>
    <n v="8812"/>
    <n v="1979"/>
    <x v="0"/>
    <s v="2n Cycle"/>
    <s v="Divorced"/>
    <n v="13533"/>
    <n v="1"/>
    <n v="45"/>
    <n v="12"/>
    <n v="3"/>
    <n v="8"/>
    <n v="8"/>
    <n v="0"/>
    <n v="17"/>
    <n v="48"/>
    <n v="2"/>
    <n v="2"/>
    <n v="0"/>
    <n v="3"/>
    <n v="7"/>
    <n v="0"/>
    <n v="0"/>
    <n v="0"/>
    <n v="0"/>
    <n v="0"/>
    <n v="0"/>
    <n v="0"/>
  </r>
  <r>
    <d v="2013-02-13T00:00:00"/>
    <n v="4690"/>
    <n v="1953"/>
    <x v="1"/>
    <s v="Graduation"/>
    <s v="Married"/>
    <n v="50725"/>
    <n v="1"/>
    <n v="45"/>
    <n v="443"/>
    <n v="10"/>
    <n v="75"/>
    <n v="0"/>
    <n v="10"/>
    <n v="48"/>
    <n v="586"/>
    <n v="4"/>
    <n v="8"/>
    <n v="1"/>
    <n v="8"/>
    <n v="8"/>
    <n v="0"/>
    <n v="0"/>
    <n v="0"/>
    <n v="0"/>
    <n v="0"/>
    <n v="0"/>
    <n v="0"/>
  </r>
  <r>
    <d v="2013-02-11T00:00:00"/>
    <n v="1715"/>
    <n v="1978"/>
    <x v="3"/>
    <s v="Graduation"/>
    <s v="Together"/>
    <n v="25851"/>
    <n v="1"/>
    <n v="45"/>
    <n v="9"/>
    <n v="4"/>
    <n v="18"/>
    <n v="7"/>
    <n v="5"/>
    <n v="5"/>
    <n v="48"/>
    <n v="2"/>
    <n v="2"/>
    <n v="0"/>
    <n v="3"/>
    <n v="7"/>
    <n v="0"/>
    <n v="0"/>
    <n v="0"/>
    <n v="0"/>
    <n v="0"/>
    <n v="0"/>
    <n v="0"/>
  </r>
  <r>
    <d v="2013-02-06T00:00:00"/>
    <n v="10821"/>
    <n v="1978"/>
    <x v="0"/>
    <s v="Graduation"/>
    <s v="Married"/>
    <n v="57113"/>
    <n v="2"/>
    <n v="45"/>
    <n v="182"/>
    <n v="4"/>
    <n v="33"/>
    <n v="0"/>
    <n v="2"/>
    <n v="42"/>
    <n v="263"/>
    <n v="6"/>
    <n v="4"/>
    <n v="1"/>
    <n v="5"/>
    <n v="7"/>
    <n v="0"/>
    <n v="0"/>
    <n v="0"/>
    <n v="0"/>
    <n v="0"/>
    <n v="0"/>
    <n v="0"/>
  </r>
  <r>
    <d v="2013-01-15T00:00:00"/>
    <n v="6543"/>
    <n v="1945"/>
    <x v="1"/>
    <s v="Master"/>
    <s v="Together"/>
    <n v="62847"/>
    <n v="0"/>
    <n v="45"/>
    <n v="521"/>
    <n v="168"/>
    <n v="706"/>
    <n v="80"/>
    <n v="76"/>
    <n v="61"/>
    <n v="1612"/>
    <n v="1"/>
    <n v="3"/>
    <n v="6"/>
    <n v="4"/>
    <n v="2"/>
    <n v="0"/>
    <n v="0"/>
    <n v="0"/>
    <n v="0"/>
    <n v="0"/>
    <n v="0"/>
    <n v="0"/>
  </r>
  <r>
    <d v="2013-01-12T00:00:00"/>
    <n v="7119"/>
    <n v="1982"/>
    <x v="6"/>
    <s v="Graduation"/>
    <s v="Single"/>
    <n v="68627"/>
    <n v="0"/>
    <n v="45"/>
    <n v="395"/>
    <n v="15"/>
    <n v="263"/>
    <n v="60"/>
    <n v="54"/>
    <n v="38"/>
    <n v="825"/>
    <n v="1"/>
    <n v="2"/>
    <n v="3"/>
    <n v="6"/>
    <n v="1"/>
    <n v="0"/>
    <n v="0"/>
    <n v="0"/>
    <n v="0"/>
    <n v="0"/>
    <n v="0"/>
    <n v="0"/>
  </r>
  <r>
    <d v="2012-12-05T00:00:00"/>
    <n v="3518"/>
    <n v="1983"/>
    <x v="5"/>
    <s v="Graduation"/>
    <s v="Married"/>
    <n v="25271"/>
    <n v="1"/>
    <n v="45"/>
    <n v="10"/>
    <n v="1"/>
    <n v="18"/>
    <n v="10"/>
    <n v="4"/>
    <n v="7"/>
    <n v="50"/>
    <n v="1"/>
    <n v="1"/>
    <n v="1"/>
    <n v="2"/>
    <n v="9"/>
    <n v="0"/>
    <n v="0"/>
    <n v="0"/>
    <n v="0"/>
    <n v="0"/>
    <n v="0"/>
    <n v="0"/>
  </r>
  <r>
    <d v="2012-11-11T00:00:00"/>
    <n v="1245"/>
    <n v="1966"/>
    <x v="0"/>
    <s v="Graduation"/>
    <s v="Single"/>
    <n v="63810"/>
    <n v="1"/>
    <n v="45"/>
    <n v="977"/>
    <n v="12"/>
    <n v="253"/>
    <n v="16"/>
    <n v="12"/>
    <n v="101"/>
    <n v="1371"/>
    <n v="4"/>
    <n v="4"/>
    <n v="3"/>
    <n v="12"/>
    <n v="8"/>
    <n v="0"/>
    <n v="1"/>
    <n v="0"/>
    <n v="0"/>
    <n v="0"/>
    <n v="0"/>
    <n v="0"/>
  </r>
  <r>
    <d v="2012-11-11T00:00:00"/>
    <n v="2561"/>
    <n v="1966"/>
    <x v="4"/>
    <s v="Graduation"/>
    <s v="Single"/>
    <n v="63810"/>
    <n v="1"/>
    <n v="45"/>
    <n v="977"/>
    <n v="12"/>
    <n v="253"/>
    <n v="16"/>
    <n v="12"/>
    <n v="101"/>
    <n v="1371"/>
    <n v="4"/>
    <n v="4"/>
    <n v="3"/>
    <n v="12"/>
    <n v="8"/>
    <n v="0"/>
    <n v="1"/>
    <n v="0"/>
    <n v="0"/>
    <n v="0"/>
    <n v="0"/>
    <n v="0"/>
  </r>
  <r>
    <d v="2014-06-13T00:00:00"/>
    <n v="9624"/>
    <n v="1958"/>
    <x v="0"/>
    <s v="PhD"/>
    <s v="Together"/>
    <n v="65488"/>
    <n v="0"/>
    <n v="46"/>
    <n v="603"/>
    <n v="45"/>
    <n v="207"/>
    <n v="36"/>
    <n v="18"/>
    <n v="54"/>
    <n v="963"/>
    <n v="1"/>
    <n v="3"/>
    <n v="4"/>
    <n v="6"/>
    <n v="1"/>
    <n v="0"/>
    <n v="0"/>
    <n v="0"/>
    <n v="0"/>
    <n v="0"/>
    <n v="0"/>
    <n v="0"/>
  </r>
  <r>
    <d v="2014-06-02T00:00:00"/>
    <n v="10509"/>
    <n v="1955"/>
    <x v="2"/>
    <s v="Master"/>
    <s v="Single"/>
    <n v="36927"/>
    <n v="2"/>
    <n v="46"/>
    <n v="51"/>
    <n v="0"/>
    <n v="16"/>
    <n v="0"/>
    <n v="0"/>
    <n v="4"/>
    <n v="71"/>
    <n v="2"/>
    <n v="3"/>
    <n v="0"/>
    <n v="3"/>
    <n v="8"/>
    <n v="0"/>
    <n v="0"/>
    <n v="0"/>
    <n v="0"/>
    <n v="0"/>
    <n v="0"/>
    <n v="0"/>
  </r>
  <r>
    <d v="2014-05-08T00:00:00"/>
    <n v="7629"/>
    <n v="1977"/>
    <x v="0"/>
    <s v="Graduation"/>
    <s v="Married"/>
    <n v="22108"/>
    <n v="2"/>
    <n v="46"/>
    <n v="5"/>
    <n v="3"/>
    <n v="9"/>
    <n v="6"/>
    <n v="2"/>
    <n v="6"/>
    <n v="31"/>
    <n v="2"/>
    <n v="2"/>
    <n v="0"/>
    <n v="3"/>
    <n v="7"/>
    <n v="0"/>
    <n v="0"/>
    <n v="0"/>
    <n v="0"/>
    <n v="0"/>
    <n v="0"/>
    <n v="0"/>
  </r>
  <r>
    <d v="2014-04-29T00:00:00"/>
    <n v="7875"/>
    <n v="1949"/>
    <x v="3"/>
    <s v="Graduation"/>
    <s v="Married"/>
    <n v="72025"/>
    <n v="0"/>
    <n v="46"/>
    <n v="967"/>
    <n v="0"/>
    <n v="617"/>
    <n v="43"/>
    <n v="50"/>
    <n v="0"/>
    <n v="1677"/>
    <n v="1"/>
    <n v="4"/>
    <n v="8"/>
    <n v="13"/>
    <n v="2"/>
    <n v="0"/>
    <n v="1"/>
    <n v="1"/>
    <n v="1"/>
    <n v="0"/>
    <n v="1"/>
    <n v="0"/>
  </r>
  <r>
    <d v="2014-02-24T00:00:00"/>
    <n v="2815"/>
    <n v="1975"/>
    <x v="0"/>
    <s v="Graduation"/>
    <s v="Married"/>
    <n v="33183"/>
    <n v="1"/>
    <n v="46"/>
    <n v="7"/>
    <n v="5"/>
    <n v="39"/>
    <n v="17"/>
    <n v="15"/>
    <n v="37"/>
    <n v="120"/>
    <n v="2"/>
    <n v="4"/>
    <n v="0"/>
    <n v="3"/>
    <n v="7"/>
    <n v="0"/>
    <n v="0"/>
    <n v="0"/>
    <n v="0"/>
    <n v="0"/>
    <n v="0"/>
    <n v="0"/>
  </r>
  <r>
    <d v="2013-12-04T00:00:00"/>
    <n v="2936"/>
    <n v="1982"/>
    <x v="6"/>
    <s v="Master"/>
    <s v="Together"/>
    <n v="23661"/>
    <n v="1"/>
    <n v="46"/>
    <n v="18"/>
    <n v="0"/>
    <n v="4"/>
    <n v="0"/>
    <n v="0"/>
    <n v="1"/>
    <n v="23"/>
    <n v="1"/>
    <n v="1"/>
    <n v="0"/>
    <n v="3"/>
    <n v="7"/>
    <n v="0"/>
    <n v="0"/>
    <n v="0"/>
    <n v="0"/>
    <n v="0"/>
    <n v="0"/>
    <n v="0"/>
  </r>
  <r>
    <d v="2013-11-07T00:00:00"/>
    <n v="3665"/>
    <n v="1977"/>
    <x v="0"/>
    <s v="2n Cycle"/>
    <s v="Together"/>
    <n v="25315"/>
    <n v="1"/>
    <n v="46"/>
    <n v="1"/>
    <n v="9"/>
    <n v="8"/>
    <n v="11"/>
    <n v="3"/>
    <n v="22"/>
    <n v="54"/>
    <n v="3"/>
    <n v="3"/>
    <n v="0"/>
    <n v="3"/>
    <n v="8"/>
    <n v="0"/>
    <n v="0"/>
    <n v="0"/>
    <n v="0"/>
    <n v="0"/>
    <n v="0"/>
    <n v="0"/>
  </r>
  <r>
    <d v="2013-11-03T00:00:00"/>
    <n v="10888"/>
    <n v="1961"/>
    <x v="2"/>
    <s v="Graduation"/>
    <s v="Single"/>
    <n v="45938"/>
    <n v="0"/>
    <n v="46"/>
    <n v="273"/>
    <n v="11"/>
    <n v="178"/>
    <n v="62"/>
    <n v="83"/>
    <n v="29"/>
    <n v="636"/>
    <n v="2"/>
    <n v="8"/>
    <n v="4"/>
    <n v="6"/>
    <n v="6"/>
    <n v="0"/>
    <n v="0"/>
    <n v="0"/>
    <n v="0"/>
    <n v="0"/>
    <n v="0"/>
    <n v="0"/>
  </r>
  <r>
    <d v="2013-11-02T00:00:00"/>
    <n v="6637"/>
    <n v="1988"/>
    <x v="5"/>
    <s v="Graduation"/>
    <s v="Single"/>
    <n v="66951"/>
    <n v="0"/>
    <n v="46"/>
    <n v="277"/>
    <n v="162"/>
    <n v="305"/>
    <n v="173"/>
    <n v="76"/>
    <n v="124"/>
    <n v="1117"/>
    <n v="1"/>
    <n v="3"/>
    <n v="4"/>
    <n v="7"/>
    <n v="1"/>
    <n v="0"/>
    <n v="0"/>
    <n v="0"/>
    <n v="0"/>
    <n v="0"/>
    <n v="0"/>
    <n v="0"/>
  </r>
  <r>
    <d v="2013-11-02T00:00:00"/>
    <n v="5077"/>
    <n v="1979"/>
    <x v="1"/>
    <s v="Graduation"/>
    <s v="Together"/>
    <n v="77298"/>
    <n v="1"/>
    <n v="46"/>
    <n v="425"/>
    <n v="115"/>
    <n v="292"/>
    <n v="23"/>
    <n v="35"/>
    <n v="79"/>
    <n v="969"/>
    <n v="1"/>
    <n v="6"/>
    <n v="6"/>
    <n v="11"/>
    <n v="3"/>
    <n v="0"/>
    <n v="0"/>
    <n v="0"/>
    <n v="0"/>
    <n v="0"/>
    <n v="0"/>
    <n v="0"/>
  </r>
  <r>
    <d v="2013-11-02T00:00:00"/>
    <n v="6173"/>
    <n v="1979"/>
    <x v="0"/>
    <s v="Graduation"/>
    <s v="Together"/>
    <n v="77298"/>
    <n v="1"/>
    <n v="46"/>
    <n v="425"/>
    <n v="115"/>
    <n v="292"/>
    <n v="23"/>
    <n v="35"/>
    <n v="79"/>
    <n v="969"/>
    <n v="1"/>
    <n v="6"/>
    <n v="6"/>
    <n v="11"/>
    <n v="3"/>
    <n v="0"/>
    <n v="0"/>
    <n v="0"/>
    <n v="0"/>
    <n v="0"/>
    <n v="0"/>
    <n v="0"/>
  </r>
  <r>
    <d v="2013-11-01T00:00:00"/>
    <n v="3969"/>
    <n v="1974"/>
    <x v="4"/>
    <s v="Master"/>
    <s v="Together"/>
    <n v="43018"/>
    <n v="1"/>
    <n v="46"/>
    <n v="35"/>
    <n v="4"/>
    <n v="17"/>
    <n v="7"/>
    <n v="6"/>
    <n v="64"/>
    <n v="133"/>
    <n v="1"/>
    <n v="2"/>
    <n v="2"/>
    <n v="2"/>
    <n v="5"/>
    <n v="0"/>
    <n v="0"/>
    <n v="0"/>
    <n v="0"/>
    <n v="0"/>
    <n v="0"/>
    <n v="0"/>
  </r>
  <r>
    <d v="2013-10-25T00:00:00"/>
    <n v="4580"/>
    <n v="1969"/>
    <x v="6"/>
    <s v="Graduation"/>
    <s v="Married"/>
    <n v="75759"/>
    <n v="0"/>
    <n v="46"/>
    <n v="1394"/>
    <n v="22"/>
    <n v="708"/>
    <n v="89"/>
    <n v="91"/>
    <n v="182"/>
    <n v="2486"/>
    <n v="1"/>
    <n v="9"/>
    <n v="7"/>
    <n v="9"/>
    <n v="5"/>
    <n v="1"/>
    <n v="0"/>
    <n v="1"/>
    <n v="1"/>
    <n v="0"/>
    <n v="1"/>
    <n v="0"/>
  </r>
  <r>
    <d v="2013-09-11T00:00:00"/>
    <n v="663"/>
    <n v="1989"/>
    <x v="0"/>
    <s v="PhD"/>
    <s v="Single"/>
    <n v="33996"/>
    <n v="0"/>
    <n v="46"/>
    <n v="40"/>
    <n v="2"/>
    <n v="15"/>
    <n v="8"/>
    <n v="0"/>
    <n v="6"/>
    <n v="71"/>
    <n v="1"/>
    <n v="1"/>
    <n v="1"/>
    <n v="3"/>
    <n v="4"/>
    <n v="0"/>
    <n v="0"/>
    <n v="0"/>
    <n v="0"/>
    <n v="0"/>
    <n v="0"/>
    <n v="0"/>
  </r>
  <r>
    <d v="2013-09-11T00:00:00"/>
    <n v="8299"/>
    <n v="1989"/>
    <x v="6"/>
    <s v="PhD"/>
    <s v="Single"/>
    <n v="33996"/>
    <n v="0"/>
    <n v="46"/>
    <n v="40"/>
    <n v="2"/>
    <n v="15"/>
    <n v="8"/>
    <n v="0"/>
    <n v="6"/>
    <n v="71"/>
    <n v="1"/>
    <n v="1"/>
    <n v="1"/>
    <n v="3"/>
    <n v="4"/>
    <n v="0"/>
    <n v="0"/>
    <n v="0"/>
    <n v="0"/>
    <n v="0"/>
    <n v="0"/>
    <n v="0"/>
  </r>
  <r>
    <d v="2013-08-16T00:00:00"/>
    <n v="8945"/>
    <n v="1970"/>
    <x v="6"/>
    <s v="Graduation"/>
    <s v="Divorced"/>
    <n v="54137"/>
    <n v="1"/>
    <n v="46"/>
    <n v="171"/>
    <n v="0"/>
    <n v="11"/>
    <n v="0"/>
    <n v="1"/>
    <n v="20"/>
    <n v="203"/>
    <n v="2"/>
    <n v="4"/>
    <n v="1"/>
    <n v="4"/>
    <n v="6"/>
    <n v="0"/>
    <n v="0"/>
    <n v="0"/>
    <n v="0"/>
    <n v="0"/>
    <n v="0"/>
    <n v="0"/>
  </r>
  <r>
    <d v="2013-06-13T00:00:00"/>
    <n v="10870"/>
    <n v="1967"/>
    <x v="6"/>
    <s v="Graduation"/>
    <s v="Married"/>
    <n v="61223"/>
    <n v="1"/>
    <n v="46"/>
    <n v="709"/>
    <n v="43"/>
    <n v="182"/>
    <n v="42"/>
    <n v="118"/>
    <n v="247"/>
    <n v="1341"/>
    <n v="2"/>
    <n v="9"/>
    <n v="3"/>
    <n v="4"/>
    <n v="5"/>
    <n v="0"/>
    <n v="0"/>
    <n v="0"/>
    <n v="0"/>
    <n v="0"/>
    <n v="0"/>
    <n v="0"/>
  </r>
  <r>
    <d v="2013-05-22T00:00:00"/>
    <n v="1184"/>
    <n v="1968"/>
    <x v="6"/>
    <s v="PhD"/>
    <s v="Divorced"/>
    <n v="69674"/>
    <n v="2"/>
    <n v="46"/>
    <n v="554"/>
    <n v="41"/>
    <n v="215"/>
    <n v="11"/>
    <n v="0"/>
    <n v="24"/>
    <n v="845"/>
    <n v="3"/>
    <n v="10"/>
    <n v="2"/>
    <n v="10"/>
    <n v="5"/>
    <n v="0"/>
    <n v="0"/>
    <n v="0"/>
    <n v="0"/>
    <n v="0"/>
    <n v="0"/>
    <n v="0"/>
  </r>
  <r>
    <d v="2013-04-25T00:00:00"/>
    <n v="6141"/>
    <n v="1972"/>
    <x v="1"/>
    <s v="Master"/>
    <s v="Single"/>
    <n v="49494"/>
    <n v="1"/>
    <n v="46"/>
    <n v="191"/>
    <n v="9"/>
    <n v="97"/>
    <n v="0"/>
    <n v="6"/>
    <n v="82"/>
    <n v="385"/>
    <n v="2"/>
    <n v="6"/>
    <n v="1"/>
    <n v="5"/>
    <n v="7"/>
    <n v="0"/>
    <n v="0"/>
    <n v="0"/>
    <n v="0"/>
    <n v="0"/>
    <n v="0"/>
    <n v="0"/>
  </r>
  <r>
    <d v="2013-04-01T00:00:00"/>
    <n v="8825"/>
    <n v="1962"/>
    <x v="6"/>
    <s v="Graduation"/>
    <s v="Together"/>
    <n v="51195"/>
    <n v="2"/>
    <n v="46"/>
    <n v="230"/>
    <n v="14"/>
    <n v="156"/>
    <n v="82"/>
    <n v="24"/>
    <n v="58"/>
    <n v="564"/>
    <n v="8"/>
    <n v="9"/>
    <n v="2"/>
    <n v="5"/>
    <n v="8"/>
    <n v="0"/>
    <n v="0"/>
    <n v="0"/>
    <n v="0"/>
    <n v="0"/>
    <n v="0"/>
    <n v="0"/>
  </r>
  <r>
    <d v="2013-03-29T00:00:00"/>
    <n v="2217"/>
    <n v="1975"/>
    <x v="5"/>
    <s v="2n Cycle"/>
    <s v="Married"/>
    <n v="37284"/>
    <n v="2"/>
    <n v="46"/>
    <n v="11"/>
    <n v="1"/>
    <n v="2"/>
    <n v="2"/>
    <n v="1"/>
    <n v="6"/>
    <n v="23"/>
    <n v="1"/>
    <n v="0"/>
    <n v="0"/>
    <n v="3"/>
    <n v="6"/>
    <n v="0"/>
    <n v="0"/>
    <n v="0"/>
    <n v="0"/>
    <n v="0"/>
    <n v="0"/>
    <n v="0"/>
  </r>
  <r>
    <d v="2013-03-29T00:00:00"/>
    <n v="4102"/>
    <n v="1975"/>
    <x v="0"/>
    <s v="2n Cycle"/>
    <s v="Married"/>
    <n v="37284"/>
    <n v="2"/>
    <n v="46"/>
    <n v="11"/>
    <n v="1"/>
    <n v="2"/>
    <n v="2"/>
    <n v="1"/>
    <n v="6"/>
    <n v="23"/>
    <n v="1"/>
    <n v="0"/>
    <n v="0"/>
    <n v="3"/>
    <n v="6"/>
    <n v="0"/>
    <n v="0"/>
    <n v="0"/>
    <n v="0"/>
    <n v="0"/>
    <n v="0"/>
    <n v="0"/>
  </r>
  <r>
    <d v="2013-03-26T00:00:00"/>
    <n v="4653"/>
    <n v="1978"/>
    <x v="6"/>
    <s v="Graduation"/>
    <s v="Together"/>
    <n v="42011"/>
    <n v="1"/>
    <n v="46"/>
    <n v="131"/>
    <n v="0"/>
    <n v="16"/>
    <n v="2"/>
    <n v="1"/>
    <n v="39"/>
    <n v="189"/>
    <n v="4"/>
    <n v="3"/>
    <n v="1"/>
    <n v="4"/>
    <n v="8"/>
    <n v="0"/>
    <n v="0"/>
    <n v="0"/>
    <n v="0"/>
    <n v="0"/>
    <n v="0"/>
    <n v="0"/>
  </r>
  <r>
    <d v="2013-02-18T00:00:00"/>
    <n v="10092"/>
    <n v="1954"/>
    <x v="0"/>
    <s v="Graduation"/>
    <s v="Divorced"/>
    <n v="70044"/>
    <n v="1"/>
    <n v="46"/>
    <n v="1073"/>
    <n v="0"/>
    <n v="250"/>
    <n v="153"/>
    <n v="14"/>
    <n v="14"/>
    <n v="1504"/>
    <n v="4"/>
    <n v="7"/>
    <n v="10"/>
    <n v="5"/>
    <n v="5"/>
    <n v="0"/>
    <n v="0"/>
    <n v="0"/>
    <n v="0"/>
    <n v="0"/>
    <n v="0"/>
    <n v="0"/>
  </r>
  <r>
    <d v="2013-02-17T00:00:00"/>
    <n v="5788"/>
    <n v="1972"/>
    <x v="4"/>
    <s v="Graduation"/>
    <s v="Together"/>
    <n v="46053"/>
    <n v="1"/>
    <n v="46"/>
    <n v="56"/>
    <n v="10"/>
    <n v="92"/>
    <n v="19"/>
    <n v="7"/>
    <n v="25"/>
    <n v="209"/>
    <n v="3"/>
    <n v="3"/>
    <n v="2"/>
    <n v="4"/>
    <n v="5"/>
    <n v="0"/>
    <n v="0"/>
    <n v="0"/>
    <n v="0"/>
    <n v="0"/>
    <n v="0"/>
    <n v="0"/>
  </r>
  <r>
    <d v="2013-02-11T00:00:00"/>
    <n v="4669"/>
    <n v="1981"/>
    <x v="6"/>
    <s v="Basic"/>
    <s v="Married"/>
    <n v="24480"/>
    <n v="1"/>
    <n v="46"/>
    <n v="4"/>
    <n v="19"/>
    <n v="9"/>
    <n v="28"/>
    <n v="25"/>
    <n v="17"/>
    <n v="102"/>
    <n v="3"/>
    <n v="3"/>
    <n v="0"/>
    <n v="4"/>
    <n v="7"/>
    <n v="0"/>
    <n v="0"/>
    <n v="0"/>
    <n v="0"/>
    <n v="0"/>
    <n v="0"/>
    <n v="0"/>
  </r>
  <r>
    <d v="2013-02-04T00:00:00"/>
    <n v="6295"/>
    <n v="1977"/>
    <x v="0"/>
    <s v="Graduation"/>
    <s v="Married"/>
    <n v="54233"/>
    <n v="1"/>
    <n v="46"/>
    <n v="652"/>
    <n v="8"/>
    <n v="158"/>
    <n v="21"/>
    <n v="0"/>
    <n v="142"/>
    <n v="981"/>
    <n v="4"/>
    <n v="11"/>
    <n v="6"/>
    <n v="5"/>
    <n v="8"/>
    <n v="0"/>
    <n v="0"/>
    <n v="0"/>
    <n v="0"/>
    <n v="0"/>
    <n v="0"/>
    <n v="0"/>
  </r>
  <r>
    <d v="2013-02-02T00:00:00"/>
    <n v="7453"/>
    <n v="1954"/>
    <x v="0"/>
    <s v="Graduation"/>
    <s v="Single"/>
    <n v="36130"/>
    <n v="1"/>
    <n v="46"/>
    <n v="157"/>
    <n v="43"/>
    <n v="127"/>
    <n v="68"/>
    <n v="56"/>
    <n v="37"/>
    <n v="488"/>
    <n v="6"/>
    <n v="3"/>
    <n v="8"/>
    <n v="4"/>
    <n v="4"/>
    <n v="1"/>
    <n v="0"/>
    <n v="0"/>
    <n v="0"/>
    <n v="0"/>
    <n v="1"/>
    <n v="0"/>
  </r>
  <r>
    <d v="2012-12-25T00:00:00"/>
    <n v="10841"/>
    <n v="1975"/>
    <x v="0"/>
    <s v="PhD"/>
    <s v="Together"/>
    <n v="56559"/>
    <n v="1"/>
    <n v="46"/>
    <n v="226"/>
    <n v="22"/>
    <n v="133"/>
    <n v="41"/>
    <n v="31"/>
    <n v="31"/>
    <n v="484"/>
    <n v="3"/>
    <n v="4"/>
    <n v="3"/>
    <n v="8"/>
    <n v="4"/>
    <n v="0"/>
    <n v="0"/>
    <n v="0"/>
    <n v="0"/>
    <n v="0"/>
    <n v="0"/>
    <n v="0"/>
  </r>
  <r>
    <d v="2012-10-19T00:00:00"/>
    <n v="821"/>
    <n v="1992"/>
    <x v="1"/>
    <s v="Master"/>
    <s v="Single"/>
    <n v="92859"/>
    <n v="0"/>
    <n v="46"/>
    <n v="962"/>
    <n v="61"/>
    <n v="921"/>
    <n v="52"/>
    <n v="61"/>
    <n v="20"/>
    <n v="2077"/>
    <n v="1"/>
    <n v="5"/>
    <n v="4"/>
    <n v="12"/>
    <n v="2"/>
    <n v="0"/>
    <n v="0"/>
    <n v="0"/>
    <n v="0"/>
    <n v="0"/>
    <n v="0"/>
    <n v="0"/>
  </r>
  <r>
    <d v="2012-10-13T00:00:00"/>
    <n v="3933"/>
    <n v="1980"/>
    <x v="6"/>
    <s v="Graduation"/>
    <s v="Together"/>
    <n v="44010"/>
    <n v="1"/>
    <n v="46"/>
    <n v="186"/>
    <n v="36"/>
    <n v="234"/>
    <n v="86"/>
    <n v="72"/>
    <n v="48"/>
    <n v="662"/>
    <n v="6"/>
    <n v="10"/>
    <n v="2"/>
    <n v="6"/>
    <n v="9"/>
    <n v="0"/>
    <n v="0"/>
    <n v="0"/>
    <n v="0"/>
    <n v="0"/>
    <n v="0"/>
    <n v="0"/>
  </r>
  <r>
    <d v="2014-06-26T00:00:00"/>
    <n v="1225"/>
    <n v="1963"/>
    <x v="6"/>
    <s v="Graduation"/>
    <s v="Married"/>
    <n v="80124"/>
    <n v="0"/>
    <n v="47"/>
    <n v="483"/>
    <n v="84"/>
    <n v="398"/>
    <n v="205"/>
    <n v="84"/>
    <n v="241"/>
    <n v="1495"/>
    <n v="1"/>
    <n v="3"/>
    <n v="7"/>
    <n v="8"/>
    <n v="1"/>
    <n v="1"/>
    <n v="0"/>
    <n v="0"/>
    <n v="0"/>
    <n v="0"/>
    <n v="0"/>
    <n v="0"/>
  </r>
  <r>
    <d v="2014-06-26T00:00:00"/>
    <n v="7059"/>
    <n v="1963"/>
    <x v="0"/>
    <s v="Graduation"/>
    <s v="Married"/>
    <n v="80124"/>
    <n v="0"/>
    <n v="47"/>
    <n v="483"/>
    <n v="84"/>
    <n v="398"/>
    <n v="205"/>
    <n v="84"/>
    <n v="241"/>
    <n v="1495"/>
    <n v="1"/>
    <n v="3"/>
    <n v="7"/>
    <n v="8"/>
    <n v="1"/>
    <n v="1"/>
    <n v="0"/>
    <n v="0"/>
    <n v="0"/>
    <n v="0"/>
    <n v="0"/>
    <n v="0"/>
  </r>
  <r>
    <d v="2014-06-25T00:00:00"/>
    <n v="5633"/>
    <n v="1980"/>
    <x v="6"/>
    <s v="Graduation"/>
    <s v="Married"/>
    <n v="50183"/>
    <n v="2"/>
    <n v="47"/>
    <n v="97"/>
    <n v="12"/>
    <n v="84"/>
    <n v="13"/>
    <n v="10"/>
    <n v="15"/>
    <n v="231"/>
    <n v="7"/>
    <n v="3"/>
    <n v="1"/>
    <n v="6"/>
    <n v="5"/>
    <n v="0"/>
    <n v="0"/>
    <n v="0"/>
    <n v="0"/>
    <n v="0"/>
    <n v="0"/>
    <n v="0"/>
  </r>
  <r>
    <d v="2014-05-26T00:00:00"/>
    <n v="843"/>
    <n v="1971"/>
    <x v="0"/>
    <s v="Graduation"/>
    <s v="Married"/>
    <n v="64722"/>
    <n v="1"/>
    <n v="47"/>
    <n v="303"/>
    <n v="0"/>
    <n v="280"/>
    <n v="60"/>
    <n v="147"/>
    <n v="15"/>
    <n v="805"/>
    <n v="4"/>
    <n v="8"/>
    <n v="2"/>
    <n v="11"/>
    <n v="6"/>
    <n v="0"/>
    <n v="0"/>
    <n v="0"/>
    <n v="0"/>
    <n v="0"/>
    <n v="0"/>
    <n v="0"/>
  </r>
  <r>
    <d v="2014-05-02T00:00:00"/>
    <n v="6211"/>
    <n v="1976"/>
    <x v="0"/>
    <s v="PhD"/>
    <s v="Together"/>
    <n v="37395"/>
    <n v="1"/>
    <n v="47"/>
    <n v="18"/>
    <n v="0"/>
    <n v="9"/>
    <n v="0"/>
    <n v="1"/>
    <n v="11"/>
    <n v="39"/>
    <n v="1"/>
    <n v="1"/>
    <n v="0"/>
    <n v="3"/>
    <n v="6"/>
    <n v="0"/>
    <n v="0"/>
    <n v="0"/>
    <n v="0"/>
    <n v="0"/>
    <n v="0"/>
    <n v="0"/>
  </r>
  <r>
    <d v="2014-04-01T00:00:00"/>
    <n v="7007"/>
    <n v="1968"/>
    <x v="0"/>
    <s v="Master"/>
    <s v="Married"/>
    <n v="29543"/>
    <n v="2"/>
    <n v="47"/>
    <n v="17"/>
    <n v="3"/>
    <n v="18"/>
    <n v="3"/>
    <n v="4"/>
    <n v="18"/>
    <n v="63"/>
    <n v="2"/>
    <n v="3"/>
    <n v="1"/>
    <n v="2"/>
    <n v="7"/>
    <n v="0"/>
    <n v="0"/>
    <n v="0"/>
    <n v="0"/>
    <n v="0"/>
    <n v="0"/>
    <n v="0"/>
  </r>
  <r>
    <d v="2014-01-26T00:00:00"/>
    <n v="9671"/>
    <n v="1968"/>
    <x v="0"/>
    <s v="Graduation"/>
    <s v="Married"/>
    <n v="19514"/>
    <n v="2"/>
    <n v="47"/>
    <n v="14"/>
    <n v="3"/>
    <n v="21"/>
    <n v="2"/>
    <n v="1"/>
    <n v="28"/>
    <n v="69"/>
    <n v="4"/>
    <n v="3"/>
    <n v="1"/>
    <n v="2"/>
    <n v="8"/>
    <n v="1"/>
    <n v="0"/>
    <n v="0"/>
    <n v="0"/>
    <n v="0"/>
    <n v="1"/>
    <n v="0"/>
  </r>
  <r>
    <d v="2014-01-26T00:00:00"/>
    <n v="8975"/>
    <n v="1968"/>
    <x v="0"/>
    <s v="Graduation"/>
    <s v="Married"/>
    <n v="19514"/>
    <n v="2"/>
    <n v="47"/>
    <n v="14"/>
    <n v="3"/>
    <n v="21"/>
    <n v="2"/>
    <n v="1"/>
    <n v="28"/>
    <n v="69"/>
    <n v="4"/>
    <n v="3"/>
    <n v="1"/>
    <n v="2"/>
    <n v="8"/>
    <n v="1"/>
    <n v="0"/>
    <n v="0"/>
    <n v="0"/>
    <n v="0"/>
    <n v="0"/>
    <n v="0"/>
  </r>
  <r>
    <d v="2013-10-23T00:00:00"/>
    <n v="6616"/>
    <n v="1975"/>
    <x v="0"/>
    <s v="Graduation"/>
    <s v="Together"/>
    <n v="59481"/>
    <n v="1"/>
    <n v="47"/>
    <n v="178"/>
    <n v="3"/>
    <n v="85"/>
    <n v="71"/>
    <n v="66"/>
    <n v="58"/>
    <n v="461"/>
    <n v="2"/>
    <n v="3"/>
    <n v="3"/>
    <n v="8"/>
    <n v="2"/>
    <n v="0"/>
    <n v="0"/>
    <n v="0"/>
    <n v="0"/>
    <n v="0"/>
    <n v="0"/>
    <n v="0"/>
  </r>
  <r>
    <d v="2013-10-17T00:00:00"/>
    <n v="6248"/>
    <n v="1947"/>
    <x v="0"/>
    <s v="Master"/>
    <s v="Single"/>
    <n v="91712"/>
    <n v="0"/>
    <n v="47"/>
    <n v="1276"/>
    <n v="24"/>
    <n v="746"/>
    <n v="94"/>
    <n v="29"/>
    <n v="48"/>
    <n v="2217"/>
    <n v="0"/>
    <n v="9"/>
    <n v="7"/>
    <n v="11"/>
    <n v="3"/>
    <n v="0"/>
    <n v="0"/>
    <n v="1"/>
    <n v="0"/>
    <n v="0"/>
    <n v="1"/>
    <n v="0"/>
  </r>
  <r>
    <d v="2013-09-30T00:00:00"/>
    <n v="7428"/>
    <n v="1975"/>
    <x v="3"/>
    <s v="Graduation"/>
    <s v="Together"/>
    <n v="80144"/>
    <n v="0"/>
    <n v="47"/>
    <n v="240"/>
    <n v="132"/>
    <n v="445"/>
    <n v="250"/>
    <n v="192"/>
    <n v="108"/>
    <n v="1367"/>
    <n v="1"/>
    <n v="3"/>
    <n v="7"/>
    <n v="8"/>
    <n v="1"/>
    <n v="0"/>
    <n v="0"/>
    <n v="0"/>
    <n v="0"/>
    <n v="0"/>
    <n v="0"/>
    <n v="0"/>
  </r>
  <r>
    <d v="2013-09-11T00:00:00"/>
    <n v="3075"/>
    <n v="1972"/>
    <x v="0"/>
    <s v="PhD"/>
    <s v="Married"/>
    <n v="59973"/>
    <n v="0"/>
    <n v="47"/>
    <n v="130"/>
    <n v="30"/>
    <n v="168"/>
    <n v="20"/>
    <n v="34"/>
    <n v="0"/>
    <n v="382"/>
    <n v="1"/>
    <n v="3"/>
    <n v="4"/>
    <n v="7"/>
    <n v="1"/>
    <n v="0"/>
    <n v="0"/>
    <n v="0"/>
    <n v="0"/>
    <n v="0"/>
    <n v="0"/>
    <n v="0"/>
  </r>
  <r>
    <d v="2013-08-28T00:00:00"/>
    <n v="2937"/>
    <n v="1974"/>
    <x v="1"/>
    <s v="PhD"/>
    <s v="Single"/>
    <n v="68352"/>
    <n v="1"/>
    <n v="47"/>
    <n v="614"/>
    <n v="16"/>
    <n v="132"/>
    <n v="43"/>
    <n v="33"/>
    <n v="33"/>
    <n v="871"/>
    <n v="3"/>
    <n v="8"/>
    <n v="5"/>
    <n v="9"/>
    <n v="6"/>
    <n v="0"/>
    <n v="0"/>
    <n v="0"/>
    <n v="0"/>
    <n v="0"/>
    <n v="0"/>
    <n v="0"/>
  </r>
  <r>
    <d v="2013-04-14T00:00:00"/>
    <n v="203"/>
    <n v="1975"/>
    <x v="0"/>
    <s v="Master"/>
    <s v="Single"/>
    <n v="81169"/>
    <n v="0"/>
    <n v="47"/>
    <n v="1288"/>
    <n v="20"/>
    <n v="613"/>
    <n v="80"/>
    <n v="61"/>
    <n v="27"/>
    <n v="2089"/>
    <n v="1"/>
    <n v="5"/>
    <n v="7"/>
    <n v="9"/>
    <n v="2"/>
    <n v="0"/>
    <n v="0"/>
    <n v="0"/>
    <n v="0"/>
    <n v="0"/>
    <n v="0"/>
    <n v="0"/>
  </r>
  <r>
    <d v="2013-03-27T00:00:00"/>
    <n v="2021"/>
    <n v="1975"/>
    <x v="0"/>
    <s v="Graduation"/>
    <s v="Married"/>
    <n v="61456"/>
    <n v="1"/>
    <n v="47"/>
    <n v="563"/>
    <n v="76"/>
    <n v="384"/>
    <n v="84"/>
    <n v="192"/>
    <n v="89"/>
    <n v="1388"/>
    <n v="4"/>
    <n v="6"/>
    <n v="10"/>
    <n v="13"/>
    <n v="4"/>
    <n v="0"/>
    <n v="0"/>
    <n v="0"/>
    <n v="0"/>
    <n v="0"/>
    <n v="0"/>
    <n v="0"/>
  </r>
  <r>
    <d v="2013-01-16T00:00:00"/>
    <n v="880"/>
    <n v="1966"/>
    <x v="0"/>
    <s v="Basic"/>
    <s v="Together"/>
    <n v="22634"/>
    <n v="0"/>
    <n v="47"/>
    <n v="2"/>
    <n v="23"/>
    <n v="11"/>
    <n v="8"/>
    <n v="6"/>
    <n v="46"/>
    <n v="96"/>
    <n v="1"/>
    <n v="2"/>
    <n v="1"/>
    <n v="2"/>
    <n v="8"/>
    <n v="0"/>
    <n v="0"/>
    <n v="0"/>
    <n v="0"/>
    <n v="0"/>
    <n v="0"/>
    <n v="0"/>
  </r>
  <r>
    <d v="2013-01-16T00:00:00"/>
    <n v="524"/>
    <n v="1966"/>
    <x v="3"/>
    <s v="Basic"/>
    <s v="Together"/>
    <n v="22634"/>
    <n v="0"/>
    <n v="47"/>
    <n v="2"/>
    <n v="23"/>
    <n v="11"/>
    <n v="8"/>
    <n v="6"/>
    <n v="46"/>
    <n v="96"/>
    <n v="1"/>
    <n v="2"/>
    <n v="1"/>
    <n v="2"/>
    <n v="8"/>
    <n v="0"/>
    <n v="0"/>
    <n v="0"/>
    <n v="0"/>
    <n v="0"/>
    <n v="0"/>
    <n v="0"/>
  </r>
  <r>
    <d v="2012-10-28T00:00:00"/>
    <n v="10837"/>
    <n v="1975"/>
    <x v="1"/>
    <s v="Graduation"/>
    <s v="Married"/>
    <n v="23957"/>
    <n v="1"/>
    <n v="47"/>
    <n v="2"/>
    <n v="1"/>
    <n v="18"/>
    <n v="20"/>
    <n v="11"/>
    <n v="16"/>
    <n v="68"/>
    <n v="1"/>
    <n v="2"/>
    <n v="0"/>
    <n v="3"/>
    <n v="6"/>
    <n v="0"/>
    <n v="0"/>
    <n v="0"/>
    <n v="0"/>
    <n v="0"/>
    <n v="1"/>
    <n v="0"/>
  </r>
  <r>
    <d v="2012-10-12T00:00:00"/>
    <n v="7011"/>
    <n v="1973"/>
    <x v="6"/>
    <s v="Graduation"/>
    <s v="Married"/>
    <n v="33471"/>
    <n v="1"/>
    <n v="47"/>
    <n v="43"/>
    <n v="2"/>
    <n v="27"/>
    <n v="0"/>
    <n v="9"/>
    <n v="12"/>
    <n v="93"/>
    <n v="3"/>
    <n v="3"/>
    <n v="0"/>
    <n v="4"/>
    <n v="7"/>
    <n v="0"/>
    <n v="0"/>
    <n v="0"/>
    <n v="0"/>
    <n v="0"/>
    <n v="0"/>
    <n v="0"/>
  </r>
  <r>
    <d v="2014-06-07T00:00:00"/>
    <n v="4184"/>
    <n v="1950"/>
    <x v="0"/>
    <s v="PhD"/>
    <s v="Together"/>
    <n v="52157"/>
    <n v="1"/>
    <n v="48"/>
    <n v="189"/>
    <n v="2"/>
    <n v="29"/>
    <n v="3"/>
    <n v="2"/>
    <n v="40"/>
    <n v="265"/>
    <n v="2"/>
    <n v="3"/>
    <n v="2"/>
    <n v="5"/>
    <n v="4"/>
    <n v="0"/>
    <n v="0"/>
    <n v="0"/>
    <n v="0"/>
    <n v="0"/>
    <n v="0"/>
    <n v="0"/>
  </r>
  <r>
    <d v="2014-05-19T00:00:00"/>
    <n v="7679"/>
    <n v="1985"/>
    <x v="0"/>
    <s v="PhD"/>
    <s v="Single"/>
    <n v="30298"/>
    <n v="0"/>
    <n v="48"/>
    <n v="6"/>
    <n v="3"/>
    <n v="12"/>
    <n v="6"/>
    <n v="1"/>
    <n v="0"/>
    <n v="28"/>
    <n v="1"/>
    <n v="1"/>
    <n v="1"/>
    <n v="3"/>
    <n v="3"/>
    <n v="0"/>
    <n v="0"/>
    <n v="0"/>
    <n v="0"/>
    <n v="0"/>
    <n v="0"/>
    <n v="0"/>
  </r>
  <r>
    <d v="2014-05-07T00:00:00"/>
    <n v="7485"/>
    <n v="1950"/>
    <x v="6"/>
    <s v="PhD"/>
    <s v="Widow"/>
    <n v="56551"/>
    <n v="2"/>
    <n v="48"/>
    <n v="67"/>
    <n v="4"/>
    <n v="32"/>
    <n v="17"/>
    <n v="2"/>
    <n v="16"/>
    <n v="138"/>
    <n v="3"/>
    <n v="2"/>
    <n v="1"/>
    <n v="4"/>
    <n v="4"/>
    <n v="0"/>
    <n v="0"/>
    <n v="0"/>
    <n v="0"/>
    <n v="0"/>
    <n v="0"/>
    <n v="0"/>
  </r>
  <r>
    <d v="2014-05-07T00:00:00"/>
    <n v="7530"/>
    <n v="1950"/>
    <x v="0"/>
    <s v="PhD"/>
    <s v="Widow"/>
    <n v="56551"/>
    <n v="2"/>
    <n v="48"/>
    <n v="67"/>
    <n v="4"/>
    <n v="32"/>
    <n v="17"/>
    <n v="2"/>
    <n v="16"/>
    <n v="138"/>
    <n v="3"/>
    <n v="2"/>
    <n v="1"/>
    <n v="4"/>
    <n v="4"/>
    <n v="0"/>
    <n v="0"/>
    <n v="0"/>
    <n v="0"/>
    <n v="0"/>
    <n v="0"/>
    <n v="0"/>
  </r>
  <r>
    <d v="2014-01-10T00:00:00"/>
    <n v="4369"/>
    <n v="1957"/>
    <x v="1"/>
    <s v="Master"/>
    <s v="Single"/>
    <n v="65487"/>
    <n v="0"/>
    <n v="48"/>
    <n v="240"/>
    <n v="67"/>
    <n v="500"/>
    <n v="199"/>
    <n v="0"/>
    <n v="163"/>
    <n v="1169"/>
    <n v="3"/>
    <n v="3"/>
    <n v="5"/>
    <n v="6"/>
    <n v="2"/>
    <n v="0"/>
    <n v="0"/>
    <n v="0"/>
    <n v="0"/>
    <n v="0"/>
    <n v="0"/>
    <n v="0"/>
  </r>
  <r>
    <d v="2014-01-10T00:00:00"/>
    <n v="10652"/>
    <n v="1957"/>
    <x v="1"/>
    <s v="Master"/>
    <s v="Together"/>
    <n v="65487"/>
    <n v="0"/>
    <n v="48"/>
    <n v="240"/>
    <n v="67"/>
    <n v="500"/>
    <n v="199"/>
    <n v="0"/>
    <n v="163"/>
    <n v="1169"/>
    <n v="3"/>
    <n v="3"/>
    <n v="5"/>
    <n v="6"/>
    <n v="2"/>
    <n v="0"/>
    <n v="0"/>
    <n v="0"/>
    <n v="0"/>
    <n v="0"/>
    <n v="0"/>
    <n v="0"/>
  </r>
  <r>
    <d v="2013-11-29T00:00:00"/>
    <n v="286"/>
    <n v="1952"/>
    <x v="0"/>
    <s v="Graduation"/>
    <s v="Single"/>
    <n v="44213"/>
    <n v="2"/>
    <n v="48"/>
    <n v="95"/>
    <n v="11"/>
    <n v="35"/>
    <n v="0"/>
    <n v="4"/>
    <n v="7"/>
    <n v="152"/>
    <n v="4"/>
    <n v="2"/>
    <n v="1"/>
    <n v="5"/>
    <n v="6"/>
    <n v="0"/>
    <n v="0"/>
    <n v="0"/>
    <n v="0"/>
    <n v="0"/>
    <n v="0"/>
    <n v="0"/>
  </r>
  <r>
    <d v="2013-10-13T00:00:00"/>
    <n v="5922"/>
    <n v="1974"/>
    <x v="0"/>
    <s v="PhD"/>
    <s v="Married"/>
    <n v="40344"/>
    <n v="1"/>
    <n v="48"/>
    <n v="210"/>
    <n v="0"/>
    <n v="6"/>
    <n v="0"/>
    <n v="0"/>
    <n v="2"/>
    <n v="218"/>
    <n v="2"/>
    <n v="4"/>
    <n v="1"/>
    <n v="5"/>
    <n v="7"/>
    <n v="0"/>
    <n v="0"/>
    <n v="0"/>
    <n v="0"/>
    <n v="0"/>
    <n v="0"/>
    <n v="0"/>
  </r>
  <r>
    <d v="2013-10-01T00:00:00"/>
    <n v="7250"/>
    <n v="1978"/>
    <x v="1"/>
    <s v="Graduation"/>
    <s v="Together"/>
    <n v="57867"/>
    <n v="1"/>
    <n v="48"/>
    <n v="344"/>
    <n v="35"/>
    <n v="178"/>
    <n v="15"/>
    <n v="23"/>
    <n v="17"/>
    <n v="612"/>
    <n v="7"/>
    <n v="7"/>
    <n v="2"/>
    <n v="9"/>
    <n v="6"/>
    <n v="0"/>
    <n v="0"/>
    <n v="0"/>
    <n v="0"/>
    <n v="0"/>
    <n v="0"/>
    <n v="0"/>
  </r>
  <r>
    <d v="2013-08-31T00:00:00"/>
    <n v="2478"/>
    <n v="1973"/>
    <x v="0"/>
    <s v="Graduation"/>
    <s v="Married"/>
    <n v="25410"/>
    <n v="1"/>
    <n v="48"/>
    <n v="2"/>
    <n v="2"/>
    <n v="4"/>
    <n v="13"/>
    <n v="13"/>
    <n v="4"/>
    <n v="38"/>
    <n v="1"/>
    <n v="1"/>
    <n v="0"/>
    <n v="4"/>
    <n v="4"/>
    <n v="0"/>
    <n v="0"/>
    <n v="0"/>
    <n v="0"/>
    <n v="0"/>
    <n v="0"/>
    <n v="0"/>
  </r>
  <r>
    <d v="2013-08-23T00:00:00"/>
    <n v="1160"/>
    <n v="1970"/>
    <x v="0"/>
    <s v="Graduation"/>
    <s v="Married"/>
    <n v="13260"/>
    <n v="2"/>
    <n v="48"/>
    <n v="9"/>
    <n v="4"/>
    <n v="17"/>
    <n v="10"/>
    <n v="2"/>
    <n v="7"/>
    <n v="49"/>
    <n v="4"/>
    <n v="3"/>
    <n v="0"/>
    <n v="3"/>
    <n v="8"/>
    <n v="0"/>
    <n v="0"/>
    <n v="0"/>
    <n v="0"/>
    <n v="0"/>
    <n v="0"/>
    <n v="0"/>
  </r>
  <r>
    <d v="2013-08-16T00:00:00"/>
    <n v="9214"/>
    <n v="1991"/>
    <x v="0"/>
    <s v="Graduation"/>
    <s v="Married"/>
    <n v="42691"/>
    <n v="0"/>
    <n v="48"/>
    <n v="179"/>
    <n v="2"/>
    <n v="64"/>
    <n v="38"/>
    <n v="17"/>
    <n v="58"/>
    <n v="358"/>
    <n v="1"/>
    <n v="5"/>
    <n v="1"/>
    <n v="6"/>
    <n v="5"/>
    <n v="0"/>
    <n v="0"/>
    <n v="0"/>
    <n v="0"/>
    <n v="0"/>
    <n v="0"/>
    <n v="0"/>
  </r>
  <r>
    <d v="2013-07-16T00:00:00"/>
    <n v="273"/>
    <n v="1970"/>
    <x v="4"/>
    <s v="Master"/>
    <s v="Married"/>
    <n v="36138"/>
    <n v="2"/>
    <n v="48"/>
    <n v="130"/>
    <n v="0"/>
    <n v="16"/>
    <n v="0"/>
    <n v="0"/>
    <n v="5"/>
    <n v="151"/>
    <n v="5"/>
    <n v="3"/>
    <n v="1"/>
    <n v="4"/>
    <n v="7"/>
    <n v="0"/>
    <n v="1"/>
    <n v="0"/>
    <n v="0"/>
    <n v="0"/>
    <n v="0"/>
    <n v="0"/>
  </r>
  <r>
    <d v="2013-07-09T00:00:00"/>
    <n v="851"/>
    <n v="1972"/>
    <x v="1"/>
    <s v="Master"/>
    <s v="Married"/>
    <n v="57136"/>
    <n v="2"/>
    <n v="48"/>
    <n v="306"/>
    <n v="5"/>
    <n v="109"/>
    <n v="21"/>
    <n v="109"/>
    <n v="92"/>
    <n v="642"/>
    <n v="9"/>
    <n v="5"/>
    <n v="2"/>
    <n v="10"/>
    <n v="6"/>
    <n v="0"/>
    <n v="0"/>
    <n v="0"/>
    <n v="0"/>
    <n v="0"/>
    <n v="0"/>
    <n v="0"/>
  </r>
  <r>
    <d v="2013-06-02T00:00:00"/>
    <n v="9729"/>
    <n v="1955"/>
    <x v="4"/>
    <s v="Graduation"/>
    <s v="Widow"/>
    <n v="58275"/>
    <n v="2"/>
    <n v="48"/>
    <n v="189"/>
    <n v="10"/>
    <n v="253"/>
    <n v="56"/>
    <n v="43"/>
    <n v="64"/>
    <n v="615"/>
    <n v="6"/>
    <n v="8"/>
    <n v="2"/>
    <n v="7"/>
    <n v="7"/>
    <n v="0"/>
    <n v="0"/>
    <n v="0"/>
    <n v="0"/>
    <n v="0"/>
    <n v="0"/>
    <n v="0"/>
  </r>
  <r>
    <d v="2013-04-27T00:00:00"/>
    <n v="9665"/>
    <n v="1957"/>
    <x v="6"/>
    <s v="PhD"/>
    <s v="Divorced"/>
    <n v="54237"/>
    <n v="1"/>
    <n v="48"/>
    <n v="267"/>
    <n v="3"/>
    <n v="30"/>
    <n v="4"/>
    <n v="0"/>
    <n v="57"/>
    <n v="361"/>
    <n v="4"/>
    <n v="5"/>
    <n v="2"/>
    <n v="5"/>
    <n v="6"/>
    <n v="0"/>
    <n v="0"/>
    <n v="0"/>
    <n v="0"/>
    <n v="0"/>
    <n v="0"/>
    <n v="0"/>
  </r>
  <r>
    <d v="2013-04-13T00:00:00"/>
    <n v="2620"/>
    <n v="1974"/>
    <x v="6"/>
    <s v="PhD"/>
    <s v="Married"/>
    <n v="34596"/>
    <n v="1"/>
    <n v="48"/>
    <n v="14"/>
    <n v="0"/>
    <n v="2"/>
    <n v="0"/>
    <n v="0"/>
    <n v="7"/>
    <n v="23"/>
    <n v="1"/>
    <n v="1"/>
    <n v="0"/>
    <n v="2"/>
    <n v="8"/>
    <n v="0"/>
    <n v="0"/>
    <n v="0"/>
    <n v="0"/>
    <n v="0"/>
    <n v="1"/>
    <n v="0"/>
  </r>
  <r>
    <d v="2013-04-13T00:00:00"/>
    <n v="8254"/>
    <n v="1974"/>
    <x v="4"/>
    <s v="PhD"/>
    <s v="Married"/>
    <n v="34596"/>
    <n v="1"/>
    <n v="48"/>
    <n v="14"/>
    <n v="0"/>
    <n v="2"/>
    <n v="0"/>
    <n v="0"/>
    <n v="7"/>
    <n v="23"/>
    <n v="1"/>
    <n v="1"/>
    <n v="0"/>
    <n v="2"/>
    <n v="8"/>
    <n v="0"/>
    <n v="0"/>
    <n v="0"/>
    <n v="0"/>
    <n v="0"/>
    <n v="0"/>
    <n v="0"/>
  </r>
  <r>
    <d v="2013-03-08T00:00:00"/>
    <n v="3852"/>
    <n v="1961"/>
    <x v="5"/>
    <s v="Master"/>
    <s v="Together"/>
    <n v="74881"/>
    <n v="2"/>
    <n v="48"/>
    <n v="505"/>
    <n v="72"/>
    <n v="270"/>
    <n v="36"/>
    <n v="27"/>
    <n v="54"/>
    <n v="964"/>
    <n v="4"/>
    <n v="9"/>
    <n v="2"/>
    <n v="12"/>
    <n v="5"/>
    <n v="0"/>
    <n v="0"/>
    <n v="0"/>
    <n v="0"/>
    <n v="0"/>
    <n v="0"/>
    <n v="0"/>
  </r>
  <r>
    <d v="2013-03-08T00:00:00"/>
    <n v="1000"/>
    <n v="1961"/>
    <x v="0"/>
    <s v="Master"/>
    <s v="Together"/>
    <n v="74881"/>
    <n v="2"/>
    <n v="48"/>
    <n v="505"/>
    <n v="72"/>
    <n v="270"/>
    <n v="36"/>
    <n v="27"/>
    <n v="54"/>
    <n v="964"/>
    <n v="4"/>
    <n v="9"/>
    <n v="2"/>
    <n v="12"/>
    <n v="5"/>
    <n v="0"/>
    <n v="0"/>
    <n v="0"/>
    <n v="0"/>
    <n v="0"/>
    <n v="0"/>
    <n v="0"/>
  </r>
  <r>
    <d v="2013-02-25T00:00:00"/>
    <n v="3099"/>
    <n v="1970"/>
    <x v="0"/>
    <s v="Graduation"/>
    <s v="Divorced"/>
    <n v="44267"/>
    <n v="2"/>
    <n v="48"/>
    <n v="183"/>
    <n v="5"/>
    <n v="65"/>
    <n v="3"/>
    <n v="5"/>
    <n v="49"/>
    <n v="310"/>
    <n v="5"/>
    <n v="5"/>
    <n v="2"/>
    <n v="4"/>
    <n v="9"/>
    <n v="0"/>
    <n v="0"/>
    <n v="0"/>
    <n v="0"/>
    <n v="0"/>
    <n v="0"/>
    <n v="0"/>
  </r>
  <r>
    <d v="2013-01-13T00:00:00"/>
    <n v="6318"/>
    <n v="1988"/>
    <x v="1"/>
    <s v="Graduation"/>
    <s v="Married"/>
    <n v="68487"/>
    <n v="0"/>
    <n v="48"/>
    <n v="758"/>
    <n v="12"/>
    <n v="385"/>
    <n v="33"/>
    <n v="89"/>
    <n v="89"/>
    <n v="1366"/>
    <n v="1"/>
    <n v="9"/>
    <n v="7"/>
    <n v="13"/>
    <n v="4"/>
    <n v="0"/>
    <n v="0"/>
    <n v="0"/>
    <n v="0"/>
    <n v="0"/>
    <n v="0"/>
    <n v="0"/>
  </r>
  <r>
    <d v="2013-01-13T00:00:00"/>
    <n v="5396"/>
    <n v="1988"/>
    <x v="3"/>
    <s v="Graduation"/>
    <s v="Married"/>
    <n v="68487"/>
    <n v="0"/>
    <n v="48"/>
    <n v="758"/>
    <n v="12"/>
    <n v="385"/>
    <n v="33"/>
    <n v="89"/>
    <n v="89"/>
    <n v="1366"/>
    <n v="1"/>
    <n v="9"/>
    <n v="7"/>
    <n v="13"/>
    <n v="4"/>
    <n v="0"/>
    <n v="0"/>
    <n v="0"/>
    <n v="0"/>
    <n v="0"/>
    <n v="0"/>
    <n v="0"/>
  </r>
  <r>
    <d v="2013-01-08T00:00:00"/>
    <n v="7966"/>
    <n v="1959"/>
    <x v="0"/>
    <s v="Graduation"/>
    <s v="Single"/>
    <n v="80982"/>
    <n v="2"/>
    <n v="48"/>
    <n v="505"/>
    <n v="137"/>
    <n v="401"/>
    <n v="104"/>
    <n v="22"/>
    <n v="22"/>
    <n v="1191"/>
    <n v="3"/>
    <n v="11"/>
    <n v="5"/>
    <n v="11"/>
    <n v="5"/>
    <n v="0"/>
    <n v="0"/>
    <n v="0"/>
    <n v="0"/>
    <n v="0"/>
    <n v="0"/>
    <n v="1"/>
  </r>
  <r>
    <d v="2012-11-14T00:00:00"/>
    <n v="454"/>
    <n v="1980"/>
    <x v="6"/>
    <s v="Graduation"/>
    <s v="Together"/>
    <n v="69508"/>
    <n v="1"/>
    <n v="48"/>
    <n v="824"/>
    <n v="32"/>
    <n v="162"/>
    <n v="42"/>
    <n v="32"/>
    <n v="43"/>
    <n v="1135"/>
    <n v="2"/>
    <n v="11"/>
    <n v="4"/>
    <n v="11"/>
    <n v="6"/>
    <n v="0"/>
    <n v="0"/>
    <n v="0"/>
    <n v="0"/>
    <n v="0"/>
    <n v="0"/>
    <n v="0"/>
  </r>
  <r>
    <d v="2012-10-16T00:00:00"/>
    <n v="309"/>
    <n v="1961"/>
    <x v="6"/>
    <s v="PhD"/>
    <s v="Together"/>
    <n v="63342"/>
    <n v="1"/>
    <n v="48"/>
    <n v="918"/>
    <n v="21"/>
    <n v="118"/>
    <n v="13"/>
    <n v="10"/>
    <n v="21"/>
    <n v="1101"/>
    <n v="3"/>
    <n v="8"/>
    <n v="3"/>
    <n v="5"/>
    <n v="6"/>
    <n v="0"/>
    <n v="1"/>
    <n v="0"/>
    <n v="0"/>
    <n v="0"/>
    <n v="0"/>
    <n v="0"/>
  </r>
  <r>
    <d v="2012-10-16T00:00:00"/>
    <n v="3571"/>
    <n v="1961"/>
    <x v="0"/>
    <s v="PhD"/>
    <s v="Together"/>
    <n v="63342"/>
    <n v="1"/>
    <n v="48"/>
    <n v="918"/>
    <n v="21"/>
    <n v="118"/>
    <n v="13"/>
    <n v="10"/>
    <n v="21"/>
    <n v="1101"/>
    <n v="3"/>
    <n v="8"/>
    <n v="3"/>
    <n v="5"/>
    <n v="6"/>
    <n v="0"/>
    <n v="1"/>
    <n v="0"/>
    <n v="0"/>
    <n v="0"/>
    <n v="1"/>
    <n v="0"/>
  </r>
  <r>
    <d v="2012-08-20T00:00:00"/>
    <n v="8395"/>
    <n v="1961"/>
    <x v="6"/>
    <s v="Graduation"/>
    <s v="Single"/>
    <n v="82014"/>
    <n v="0"/>
    <n v="48"/>
    <n v="980"/>
    <n v="37"/>
    <n v="265"/>
    <n v="35"/>
    <n v="163"/>
    <n v="31"/>
    <n v="1511"/>
    <n v="1"/>
    <n v="3"/>
    <n v="6"/>
    <n v="12"/>
    <n v="6"/>
    <n v="0"/>
    <n v="0"/>
    <n v="0"/>
    <n v="0"/>
    <n v="0"/>
    <n v="1"/>
    <n v="0"/>
  </r>
  <r>
    <d v="2014-06-22T00:00:00"/>
    <n v="2591"/>
    <n v="1959"/>
    <x v="2"/>
    <s v="Graduation"/>
    <s v="Widow"/>
    <n v="76320"/>
    <n v="1"/>
    <n v="49"/>
    <n v="526"/>
    <n v="35"/>
    <n v="214"/>
    <n v="69"/>
    <n v="53"/>
    <n v="35"/>
    <n v="932"/>
    <n v="2"/>
    <n v="6"/>
    <n v="3"/>
    <n v="4"/>
    <n v="2"/>
    <n v="0"/>
    <n v="0"/>
    <n v="0"/>
    <n v="0"/>
    <n v="0"/>
    <n v="0"/>
    <n v="0"/>
  </r>
  <r>
    <d v="2014-06-22T00:00:00"/>
    <n v="1640"/>
    <n v="1954"/>
    <x v="0"/>
    <s v="Graduation"/>
    <s v="Divorced"/>
    <n v="64587"/>
    <n v="2"/>
    <n v="49"/>
    <n v="66"/>
    <n v="0"/>
    <n v="16"/>
    <n v="0"/>
    <n v="6"/>
    <n v="20"/>
    <n v="108"/>
    <n v="2"/>
    <n v="1"/>
    <n v="1"/>
    <n v="4"/>
    <n v="3"/>
    <n v="0"/>
    <n v="0"/>
    <n v="0"/>
    <n v="0"/>
    <n v="0"/>
    <n v="0"/>
    <n v="0"/>
  </r>
  <r>
    <d v="2014-05-12T00:00:00"/>
    <n v="810"/>
    <n v="1975"/>
    <x v="0"/>
    <s v="Graduation"/>
    <s v="Married"/>
    <n v="74190"/>
    <n v="1"/>
    <n v="49"/>
    <n v="151"/>
    <n v="81"/>
    <n v="86"/>
    <n v="168"/>
    <n v="91"/>
    <n v="64"/>
    <n v="641"/>
    <n v="2"/>
    <n v="4"/>
    <n v="2"/>
    <n v="11"/>
    <n v="2"/>
    <n v="0"/>
    <n v="0"/>
    <n v="0"/>
    <n v="0"/>
    <n v="0"/>
    <n v="0"/>
    <n v="0"/>
  </r>
  <r>
    <d v="2014-02-23T00:00:00"/>
    <n v="9423"/>
    <n v="1979"/>
    <x v="0"/>
    <s v="Master"/>
    <s v="Married"/>
    <n v="32765"/>
    <n v="1"/>
    <n v="49"/>
    <n v="13"/>
    <n v="3"/>
    <n v="17"/>
    <n v="7"/>
    <n v="3"/>
    <n v="3"/>
    <n v="46"/>
    <n v="2"/>
    <n v="2"/>
    <n v="0"/>
    <n v="4"/>
    <n v="5"/>
    <n v="0"/>
    <n v="0"/>
    <n v="0"/>
    <n v="0"/>
    <n v="0"/>
    <n v="0"/>
    <n v="0"/>
  </r>
  <r>
    <d v="2014-01-12T00:00:00"/>
    <n v="4345"/>
    <n v="1964"/>
    <x v="3"/>
    <s v="2n Cycle"/>
    <s v="Single"/>
    <n v="53790.45"/>
    <n v="2"/>
    <n v="49"/>
    <n v="5"/>
    <n v="1"/>
    <n v="9"/>
    <n v="2"/>
    <n v="0"/>
    <n v="4"/>
    <n v="21"/>
    <n v="1"/>
    <n v="1"/>
    <n v="0"/>
    <n v="2"/>
    <n v="7"/>
    <n v="0"/>
    <n v="0"/>
    <n v="0"/>
    <n v="0"/>
    <n v="0"/>
    <n v="0"/>
    <n v="0"/>
  </r>
  <r>
    <d v="2013-12-09T00:00:00"/>
    <n v="89"/>
    <n v="1975"/>
    <x v="6"/>
    <s v="2n Cycle"/>
    <s v="Married"/>
    <n v="22212"/>
    <n v="1"/>
    <n v="49"/>
    <n v="5"/>
    <n v="9"/>
    <n v="20"/>
    <n v="6"/>
    <n v="8"/>
    <n v="21"/>
    <n v="69"/>
    <n v="2"/>
    <n v="2"/>
    <n v="0"/>
    <n v="4"/>
    <n v="6"/>
    <n v="0"/>
    <n v="0"/>
    <n v="0"/>
    <n v="0"/>
    <n v="0"/>
    <n v="0"/>
    <n v="0"/>
  </r>
  <r>
    <d v="2013-11-20T00:00:00"/>
    <n v="5294"/>
    <n v="1989"/>
    <x v="0"/>
    <s v="Graduation"/>
    <s v="Single"/>
    <n v="18358"/>
    <n v="1"/>
    <n v="49"/>
    <n v="6"/>
    <n v="8"/>
    <n v="19"/>
    <n v="16"/>
    <n v="4"/>
    <n v="4"/>
    <n v="57"/>
    <n v="3"/>
    <n v="3"/>
    <n v="0"/>
    <n v="4"/>
    <n v="7"/>
    <n v="0"/>
    <n v="0"/>
    <n v="0"/>
    <n v="0"/>
    <n v="0"/>
    <n v="0"/>
    <n v="0"/>
  </r>
  <r>
    <d v="2013-11-04T00:00:00"/>
    <n v="1321"/>
    <n v="1974"/>
    <x v="1"/>
    <s v="Graduation"/>
    <s v="Married"/>
    <n v="26067"/>
    <n v="1"/>
    <n v="49"/>
    <n v="22"/>
    <n v="2"/>
    <n v="18"/>
    <n v="0"/>
    <n v="2"/>
    <n v="12"/>
    <n v="56"/>
    <n v="3"/>
    <n v="3"/>
    <n v="0"/>
    <n v="3"/>
    <n v="8"/>
    <n v="0"/>
    <n v="0"/>
    <n v="0"/>
    <n v="0"/>
    <n v="0"/>
    <n v="0"/>
    <n v="0"/>
  </r>
  <r>
    <d v="2013-10-21T00:00:00"/>
    <n v="2686"/>
    <n v="1969"/>
    <x v="3"/>
    <s v="Basic"/>
    <s v="Together"/>
    <n v="22390"/>
    <n v="0"/>
    <n v="49"/>
    <n v="0"/>
    <n v="1"/>
    <n v="4"/>
    <n v="15"/>
    <n v="1"/>
    <n v="5"/>
    <n v="26"/>
    <n v="1"/>
    <n v="1"/>
    <n v="0"/>
    <n v="2"/>
    <n v="7"/>
    <n v="0"/>
    <n v="0"/>
    <n v="0"/>
    <n v="0"/>
    <n v="0"/>
    <n v="0"/>
    <n v="0"/>
  </r>
  <r>
    <d v="2013-10-08T00:00:00"/>
    <n v="1215"/>
    <n v="1978"/>
    <x v="0"/>
    <s v="Graduation"/>
    <s v="Together"/>
    <n v="70440"/>
    <n v="0"/>
    <n v="49"/>
    <n v="690"/>
    <n v="117"/>
    <n v="499"/>
    <n v="76"/>
    <n v="102"/>
    <n v="88"/>
    <n v="1572"/>
    <n v="1"/>
    <n v="5"/>
    <n v="10"/>
    <n v="7"/>
    <n v="3"/>
    <n v="0"/>
    <n v="0"/>
    <n v="0"/>
    <n v="1"/>
    <n v="0"/>
    <n v="0"/>
    <n v="0"/>
  </r>
  <r>
    <d v="2013-09-12T00:00:00"/>
    <n v="9283"/>
    <n v="1978"/>
    <x v="1"/>
    <s v="Graduation"/>
    <s v="Single"/>
    <n v="60199"/>
    <n v="3"/>
    <n v="49"/>
    <n v="8"/>
    <n v="1"/>
    <n v="7"/>
    <n v="2"/>
    <n v="0"/>
    <n v="0"/>
    <n v="18"/>
    <n v="1"/>
    <n v="0"/>
    <n v="0"/>
    <n v="3"/>
    <n v="4"/>
    <n v="0"/>
    <n v="0"/>
    <n v="0"/>
    <n v="0"/>
    <n v="0"/>
    <n v="0"/>
    <n v="0"/>
  </r>
  <r>
    <d v="2013-08-28T00:00:00"/>
    <n v="3120"/>
    <n v="1981"/>
    <x v="1"/>
    <s v="Graduation"/>
    <s v="Together"/>
    <n v="38547"/>
    <n v="1"/>
    <n v="49"/>
    <n v="6"/>
    <n v="1"/>
    <n v="10"/>
    <n v="0"/>
    <n v="1"/>
    <n v="4"/>
    <n v="22"/>
    <n v="1"/>
    <n v="1"/>
    <n v="0"/>
    <n v="2"/>
    <n v="8"/>
    <n v="0"/>
    <n v="0"/>
    <n v="0"/>
    <n v="0"/>
    <n v="0"/>
    <n v="0"/>
    <n v="1"/>
  </r>
  <r>
    <d v="2013-08-22T00:00:00"/>
    <n v="5868"/>
    <n v="1980"/>
    <x v="1"/>
    <s v="Graduation"/>
    <s v="Married"/>
    <n v="19107"/>
    <n v="1"/>
    <n v="49"/>
    <n v="2"/>
    <n v="4"/>
    <n v="9"/>
    <n v="10"/>
    <n v="5"/>
    <n v="16"/>
    <n v="46"/>
    <n v="2"/>
    <n v="1"/>
    <n v="0"/>
    <n v="3"/>
    <n v="7"/>
    <n v="0"/>
    <n v="0"/>
    <n v="0"/>
    <n v="0"/>
    <n v="0"/>
    <n v="0"/>
    <n v="0"/>
  </r>
  <r>
    <d v="2013-07-30T00:00:00"/>
    <n v="8143"/>
    <n v="1985"/>
    <x v="0"/>
    <s v="PhD"/>
    <s v="Single"/>
    <n v="37929"/>
    <n v="0"/>
    <n v="49"/>
    <n v="202"/>
    <n v="2"/>
    <n v="46"/>
    <n v="3"/>
    <n v="2"/>
    <n v="10"/>
    <n v="265"/>
    <n v="2"/>
    <n v="4"/>
    <n v="2"/>
    <n v="5"/>
    <n v="7"/>
    <n v="0"/>
    <n v="1"/>
    <n v="0"/>
    <n v="1"/>
    <n v="0"/>
    <n v="1"/>
    <n v="0"/>
  </r>
  <r>
    <d v="2013-07-19T00:00:00"/>
    <n v="3479"/>
    <n v="1950"/>
    <x v="1"/>
    <s v="Graduation"/>
    <s v="Single"/>
    <n v="16813"/>
    <n v="0"/>
    <n v="49"/>
    <n v="4"/>
    <n v="8"/>
    <n v="11"/>
    <n v="12"/>
    <n v="2"/>
    <n v="13"/>
    <n v="50"/>
    <n v="1"/>
    <n v="2"/>
    <n v="0"/>
    <n v="3"/>
    <n v="7"/>
    <n v="1"/>
    <n v="0"/>
    <n v="0"/>
    <n v="0"/>
    <n v="0"/>
    <n v="0"/>
    <n v="0"/>
  </r>
  <r>
    <d v="2013-07-05T00:00:00"/>
    <n v="7214"/>
    <n v="1957"/>
    <x v="0"/>
    <s v="Graduation"/>
    <s v="Married"/>
    <n v="62187"/>
    <n v="0"/>
    <n v="49"/>
    <n v="792"/>
    <n v="0"/>
    <n v="275"/>
    <n v="45"/>
    <n v="45"/>
    <n v="126"/>
    <n v="1283"/>
    <n v="1"/>
    <n v="4"/>
    <n v="8"/>
    <n v="5"/>
    <n v="3"/>
    <n v="0"/>
    <n v="0"/>
    <n v="0"/>
    <n v="0"/>
    <n v="0"/>
    <n v="0"/>
    <n v="0"/>
  </r>
  <r>
    <d v="2013-06-24T00:00:00"/>
    <n v="5543"/>
    <n v="1966"/>
    <x v="0"/>
    <s v="Graduation"/>
    <s v="Together"/>
    <n v="57811"/>
    <n v="1"/>
    <n v="49"/>
    <n v="545"/>
    <n v="7"/>
    <n v="114"/>
    <n v="37"/>
    <n v="21"/>
    <n v="78"/>
    <n v="802"/>
    <n v="5"/>
    <n v="7"/>
    <n v="2"/>
    <n v="11"/>
    <n v="5"/>
    <n v="0"/>
    <n v="1"/>
    <n v="0"/>
    <n v="0"/>
    <n v="0"/>
    <n v="0"/>
    <n v="0"/>
  </r>
  <r>
    <d v="2013-06-21T00:00:00"/>
    <n v="9347"/>
    <n v="1956"/>
    <x v="0"/>
    <s v="Master"/>
    <s v="Together"/>
    <n v="50943"/>
    <n v="1"/>
    <n v="49"/>
    <n v="31"/>
    <n v="0"/>
    <n v="7"/>
    <n v="2"/>
    <n v="0"/>
    <n v="6"/>
    <n v="46"/>
    <n v="1"/>
    <n v="1"/>
    <n v="0"/>
    <n v="3"/>
    <n v="5"/>
    <n v="0"/>
    <n v="0"/>
    <n v="0"/>
    <n v="0"/>
    <n v="0"/>
    <n v="0"/>
    <n v="0"/>
  </r>
  <r>
    <d v="2013-06-21T00:00:00"/>
    <n v="10160"/>
    <n v="1956"/>
    <x v="0"/>
    <s v="Master"/>
    <s v="Together"/>
    <n v="50943"/>
    <n v="1"/>
    <n v="49"/>
    <n v="31"/>
    <n v="0"/>
    <n v="7"/>
    <n v="2"/>
    <n v="0"/>
    <n v="6"/>
    <n v="46"/>
    <n v="1"/>
    <n v="1"/>
    <n v="0"/>
    <n v="3"/>
    <n v="5"/>
    <n v="0"/>
    <n v="0"/>
    <n v="0"/>
    <n v="0"/>
    <n v="0"/>
    <n v="0"/>
    <n v="0"/>
  </r>
  <r>
    <d v="2013-02-12T00:00:00"/>
    <n v="1406"/>
    <n v="1975"/>
    <x v="0"/>
    <s v="Graduation"/>
    <s v="Single"/>
    <n v="53201"/>
    <n v="2"/>
    <n v="49"/>
    <n v="280"/>
    <n v="7"/>
    <n v="81"/>
    <n v="20"/>
    <n v="0"/>
    <n v="27"/>
    <n v="415"/>
    <n v="8"/>
    <n v="6"/>
    <n v="3"/>
    <n v="5"/>
    <n v="7"/>
    <n v="0"/>
    <n v="0"/>
    <n v="0"/>
    <n v="0"/>
    <n v="0"/>
    <n v="0"/>
    <n v="0"/>
  </r>
  <r>
    <d v="2013-01-23T00:00:00"/>
    <n v="7019"/>
    <n v="1963"/>
    <x v="6"/>
    <s v="Graduation"/>
    <s v="Together"/>
    <n v="54414"/>
    <n v="2"/>
    <n v="49"/>
    <n v="109"/>
    <n v="18"/>
    <n v="16"/>
    <n v="24"/>
    <n v="26"/>
    <n v="18"/>
    <n v="211"/>
    <n v="4"/>
    <n v="3"/>
    <n v="1"/>
    <n v="5"/>
    <n v="4"/>
    <n v="0"/>
    <n v="0"/>
    <n v="0"/>
    <n v="0"/>
    <n v="0"/>
    <n v="0"/>
    <n v="0"/>
  </r>
  <r>
    <d v="2013-01-12T00:00:00"/>
    <n v="2157"/>
    <n v="1972"/>
    <x v="1"/>
    <s v="Graduation"/>
    <s v="Together"/>
    <n v="26290"/>
    <n v="2"/>
    <n v="49"/>
    <n v="15"/>
    <n v="8"/>
    <n v="16"/>
    <n v="11"/>
    <n v="5"/>
    <n v="22"/>
    <n v="77"/>
    <n v="4"/>
    <n v="2"/>
    <n v="0"/>
    <n v="4"/>
    <n v="6"/>
    <n v="0"/>
    <n v="0"/>
    <n v="0"/>
    <n v="0"/>
    <n v="0"/>
    <n v="0"/>
    <n v="0"/>
  </r>
  <r>
    <d v="2012-12-16T00:00:00"/>
    <n v="8939"/>
    <n v="1959"/>
    <x v="0"/>
    <s v="Graduation"/>
    <s v="Divorced"/>
    <n v="61250"/>
    <n v="1"/>
    <n v="49"/>
    <n v="382"/>
    <n v="138"/>
    <n v="65"/>
    <n v="60"/>
    <n v="26"/>
    <n v="59"/>
    <n v="730"/>
    <n v="6"/>
    <n v="5"/>
    <n v="2"/>
    <n v="12"/>
    <n v="5"/>
    <n v="0"/>
    <n v="0"/>
    <n v="0"/>
    <n v="0"/>
    <n v="0"/>
    <n v="0"/>
    <n v="0"/>
  </r>
  <r>
    <d v="2012-11-20T00:00:00"/>
    <n v="10250"/>
    <n v="1947"/>
    <x v="0"/>
    <s v="Basic"/>
    <s v="Together"/>
    <n v="28389"/>
    <n v="0"/>
    <n v="49"/>
    <n v="1"/>
    <n v="5"/>
    <n v="3"/>
    <n v="7"/>
    <n v="4"/>
    <n v="8"/>
    <n v="28"/>
    <n v="1"/>
    <n v="1"/>
    <n v="0"/>
    <n v="2"/>
    <n v="7"/>
    <n v="0"/>
    <n v="0"/>
    <n v="0"/>
    <n v="0"/>
    <n v="0"/>
    <n v="0"/>
    <n v="0"/>
  </r>
  <r>
    <d v="2012-10-21T00:00:00"/>
    <n v="1272"/>
    <n v="1965"/>
    <x v="3"/>
    <s v="Master"/>
    <s v="Single"/>
    <n v="55250"/>
    <n v="1"/>
    <n v="49"/>
    <n v="664"/>
    <n v="58"/>
    <n v="83"/>
    <n v="32"/>
    <n v="0"/>
    <n v="66"/>
    <n v="903"/>
    <n v="4"/>
    <n v="7"/>
    <n v="5"/>
    <n v="10"/>
    <n v="5"/>
    <n v="0"/>
    <n v="0"/>
    <n v="0"/>
    <n v="0"/>
    <n v="0"/>
    <n v="0"/>
    <n v="0"/>
  </r>
  <r>
    <d v="2012-10-04T00:00:00"/>
    <n v="3007"/>
    <n v="1966"/>
    <x v="5"/>
    <s v="Graduation"/>
    <s v="Together"/>
    <n v="37758"/>
    <n v="2"/>
    <n v="49"/>
    <n v="27"/>
    <n v="2"/>
    <n v="10"/>
    <n v="0"/>
    <n v="0"/>
    <n v="1"/>
    <n v="40"/>
    <n v="2"/>
    <n v="1"/>
    <n v="0"/>
    <n v="3"/>
    <n v="8"/>
    <n v="0"/>
    <n v="0"/>
    <n v="0"/>
    <n v="0"/>
    <n v="0"/>
    <n v="0"/>
    <n v="0"/>
  </r>
  <r>
    <d v="2012-10-04T00:00:00"/>
    <n v="5513"/>
    <n v="1966"/>
    <x v="0"/>
    <s v="Graduation"/>
    <s v="Together"/>
    <n v="37758"/>
    <n v="2"/>
    <n v="49"/>
    <n v="27"/>
    <n v="2"/>
    <n v="10"/>
    <n v="0"/>
    <n v="0"/>
    <n v="1"/>
    <n v="40"/>
    <n v="2"/>
    <n v="1"/>
    <n v="0"/>
    <n v="3"/>
    <n v="8"/>
    <n v="0"/>
    <n v="0"/>
    <n v="0"/>
    <n v="0"/>
    <n v="0"/>
    <n v="0"/>
    <n v="0"/>
  </r>
  <r>
    <d v="2012-09-20T00:00:00"/>
    <n v="679"/>
    <n v="1957"/>
    <x v="0"/>
    <s v="PhD"/>
    <s v="Married"/>
    <n v="37633"/>
    <n v="2"/>
    <n v="49"/>
    <n v="13"/>
    <n v="4"/>
    <n v="20"/>
    <n v="0"/>
    <n v="0"/>
    <n v="1"/>
    <n v="38"/>
    <n v="2"/>
    <n v="1"/>
    <n v="0"/>
    <n v="3"/>
    <n v="9"/>
    <n v="0"/>
    <n v="0"/>
    <n v="0"/>
    <n v="0"/>
    <n v="0"/>
    <n v="0"/>
    <n v="0"/>
  </r>
  <r>
    <d v="2012-08-08T00:00:00"/>
    <n v="8876"/>
    <n v="1963"/>
    <x v="0"/>
    <s v="PhD"/>
    <s v="Together"/>
    <n v="33629"/>
    <n v="2"/>
    <n v="49"/>
    <n v="132"/>
    <n v="0"/>
    <n v="16"/>
    <n v="0"/>
    <n v="0"/>
    <n v="4"/>
    <n v="152"/>
    <n v="5"/>
    <n v="3"/>
    <n v="1"/>
    <n v="4"/>
    <n v="9"/>
    <n v="0"/>
    <n v="0"/>
    <n v="0"/>
    <n v="0"/>
    <n v="0"/>
    <n v="0"/>
    <n v="0"/>
  </r>
  <r>
    <d v="2012-08-07T00:00:00"/>
    <n v="10827"/>
    <n v="1967"/>
    <x v="3"/>
    <s v="PhD"/>
    <s v="Married"/>
    <n v="36947"/>
    <n v="2"/>
    <n v="49"/>
    <n v="88"/>
    <n v="3"/>
    <n v="21"/>
    <n v="4"/>
    <n v="1"/>
    <n v="29"/>
    <n v="146"/>
    <n v="4"/>
    <n v="3"/>
    <n v="0"/>
    <n v="4"/>
    <n v="9"/>
    <n v="0"/>
    <n v="0"/>
    <n v="0"/>
    <n v="0"/>
    <n v="0"/>
    <n v="0"/>
    <n v="0"/>
  </r>
  <r>
    <d v="2014-06-29T00:00:00"/>
    <n v="7300"/>
    <n v="1952"/>
    <x v="5"/>
    <s v="Graduation"/>
    <s v="Divorced"/>
    <n v="69142"/>
    <n v="1"/>
    <n v="50"/>
    <n v="448"/>
    <n v="4"/>
    <n v="34"/>
    <n v="6"/>
    <n v="4"/>
    <n v="39"/>
    <n v="535"/>
    <n v="3"/>
    <n v="8"/>
    <n v="1"/>
    <n v="7"/>
    <n v="5"/>
    <n v="0"/>
    <n v="1"/>
    <n v="0"/>
    <n v="0"/>
    <n v="0"/>
    <n v="0"/>
    <n v="0"/>
  </r>
  <r>
    <d v="2014-06-09T00:00:00"/>
    <n v="4268"/>
    <n v="1959"/>
    <x v="2"/>
    <s v="Graduation"/>
    <s v="Married"/>
    <n v="53154"/>
    <n v="1"/>
    <n v="50"/>
    <n v="129"/>
    <n v="0"/>
    <n v="21"/>
    <n v="0"/>
    <n v="1"/>
    <n v="7"/>
    <n v="158"/>
    <n v="1"/>
    <n v="3"/>
    <n v="1"/>
    <n v="4"/>
    <n v="4"/>
    <n v="0"/>
    <n v="0"/>
    <n v="0"/>
    <n v="0"/>
    <n v="0"/>
    <n v="0"/>
    <n v="0"/>
  </r>
  <r>
    <d v="2014-01-31T00:00:00"/>
    <n v="4603"/>
    <n v="1960"/>
    <x v="0"/>
    <s v="PhD"/>
    <s v="Married"/>
    <n v="65695"/>
    <n v="1"/>
    <n v="50"/>
    <n v="371"/>
    <n v="32"/>
    <n v="189"/>
    <n v="0"/>
    <n v="58"/>
    <n v="6"/>
    <n v="656"/>
    <n v="2"/>
    <n v="5"/>
    <n v="4"/>
    <n v="10"/>
    <n v="4"/>
    <n v="0"/>
    <n v="0"/>
    <n v="0"/>
    <n v="0"/>
    <n v="0"/>
    <n v="0"/>
    <n v="0"/>
  </r>
  <r>
    <d v="2014-01-21T00:00:00"/>
    <n v="8659"/>
    <n v="1952"/>
    <x v="4"/>
    <s v="PhD"/>
    <s v="Together"/>
    <n v="69805"/>
    <n v="1"/>
    <n v="50"/>
    <n v="750"/>
    <n v="71"/>
    <n v="174"/>
    <n v="13"/>
    <n v="10"/>
    <n v="20"/>
    <n v="1038"/>
    <n v="2"/>
    <n v="6"/>
    <n v="8"/>
    <n v="11"/>
    <n v="2"/>
    <n v="0"/>
    <n v="0"/>
    <n v="0"/>
    <n v="0"/>
    <n v="0"/>
    <n v="0"/>
    <n v="0"/>
  </r>
  <r>
    <d v="2013-12-28T00:00:00"/>
    <n v="10708"/>
    <n v="1978"/>
    <x v="0"/>
    <s v="2n Cycle"/>
    <s v="Single"/>
    <n v="36975"/>
    <n v="1"/>
    <n v="50"/>
    <n v="10"/>
    <n v="6"/>
    <n v="11"/>
    <n v="0"/>
    <n v="4"/>
    <n v="2"/>
    <n v="33"/>
    <n v="1"/>
    <n v="1"/>
    <n v="0"/>
    <n v="3"/>
    <n v="7"/>
    <n v="0"/>
    <n v="0"/>
    <n v="0"/>
    <n v="0"/>
    <n v="0"/>
    <n v="0"/>
    <n v="0"/>
  </r>
  <r>
    <d v="2013-09-22T00:00:00"/>
    <n v="1176"/>
    <n v="1973"/>
    <x v="0"/>
    <s v="Graduation"/>
    <s v="Married"/>
    <n v="26228"/>
    <n v="1"/>
    <n v="50"/>
    <n v="2"/>
    <n v="6"/>
    <n v="4"/>
    <n v="3"/>
    <n v="1"/>
    <n v="9"/>
    <n v="25"/>
    <n v="1"/>
    <n v="1"/>
    <n v="0"/>
    <n v="2"/>
    <n v="8"/>
    <n v="0"/>
    <n v="0"/>
    <n v="0"/>
    <n v="0"/>
    <n v="0"/>
    <n v="0"/>
    <n v="0"/>
  </r>
  <r>
    <d v="2013-09-20T00:00:00"/>
    <n v="10380"/>
    <n v="1972"/>
    <x v="5"/>
    <s v="Master"/>
    <s v="Married"/>
    <n v="37787"/>
    <n v="1"/>
    <n v="50"/>
    <n v="40"/>
    <n v="1"/>
    <n v="40"/>
    <n v="4"/>
    <n v="3"/>
    <n v="18"/>
    <n v="106"/>
    <n v="1"/>
    <n v="3"/>
    <n v="0"/>
    <n v="3"/>
    <n v="8"/>
    <n v="0"/>
    <n v="0"/>
    <n v="0"/>
    <n v="0"/>
    <n v="0"/>
    <n v="0"/>
    <n v="0"/>
  </r>
  <r>
    <d v="2013-08-11T00:00:00"/>
    <n v="7037"/>
    <n v="1974"/>
    <x v="6"/>
    <s v="PhD"/>
    <s v="Married"/>
    <n v="37087"/>
    <n v="1"/>
    <n v="50"/>
    <n v="194"/>
    <n v="55"/>
    <n v="134"/>
    <n v="15"/>
    <n v="0"/>
    <n v="3"/>
    <n v="401"/>
    <n v="3"/>
    <n v="4"/>
    <n v="2"/>
    <n v="8"/>
    <n v="6"/>
    <n v="0"/>
    <n v="0"/>
    <n v="0"/>
    <n v="0"/>
    <n v="0"/>
    <n v="0"/>
    <n v="0"/>
  </r>
  <r>
    <d v="2013-08-08T00:00:00"/>
    <n v="11096"/>
    <n v="1952"/>
    <x v="0"/>
    <s v="2n Cycle"/>
    <s v="Together"/>
    <n v="57247"/>
    <n v="1"/>
    <n v="50"/>
    <n v="99"/>
    <n v="4"/>
    <n v="32"/>
    <n v="37"/>
    <n v="54"/>
    <n v="6"/>
    <n v="232"/>
    <n v="2"/>
    <n v="2"/>
    <n v="1"/>
    <n v="7"/>
    <n v="2"/>
    <n v="0"/>
    <n v="0"/>
    <n v="0"/>
    <n v="0"/>
    <n v="0"/>
    <n v="0"/>
    <n v="0"/>
  </r>
  <r>
    <d v="2013-05-17T00:00:00"/>
    <n v="6374"/>
    <n v="1954"/>
    <x v="0"/>
    <s v="PhD"/>
    <s v="Married"/>
    <n v="36930"/>
    <n v="1"/>
    <n v="50"/>
    <n v="223"/>
    <n v="2"/>
    <n v="31"/>
    <n v="0"/>
    <n v="2"/>
    <n v="39"/>
    <n v="297"/>
    <n v="5"/>
    <n v="5"/>
    <n v="2"/>
    <n v="4"/>
    <n v="8"/>
    <n v="0"/>
    <n v="0"/>
    <n v="0"/>
    <n v="0"/>
    <n v="0"/>
    <n v="0"/>
    <n v="0"/>
  </r>
  <r>
    <d v="2013-05-13T00:00:00"/>
    <n v="5552"/>
    <n v="1963"/>
    <x v="6"/>
    <s v="Master"/>
    <s v="Divorced"/>
    <n v="48721"/>
    <n v="2"/>
    <n v="50"/>
    <n v="81"/>
    <n v="18"/>
    <n v="113"/>
    <n v="47"/>
    <n v="13"/>
    <n v="21"/>
    <n v="293"/>
    <n v="6"/>
    <n v="4"/>
    <n v="2"/>
    <n v="5"/>
    <n v="6"/>
    <n v="0"/>
    <n v="0"/>
    <n v="0"/>
    <n v="0"/>
    <n v="0"/>
    <n v="0"/>
    <n v="0"/>
  </r>
  <r>
    <d v="2013-04-22T00:00:00"/>
    <n v="2245"/>
    <n v="1969"/>
    <x v="0"/>
    <s v="Master"/>
    <s v="Married"/>
    <n v="43641"/>
    <n v="2"/>
    <n v="50"/>
    <n v="57"/>
    <n v="2"/>
    <n v="51"/>
    <n v="4"/>
    <n v="2"/>
    <n v="23"/>
    <n v="139"/>
    <n v="3"/>
    <n v="2"/>
    <n v="1"/>
    <n v="4"/>
    <n v="6"/>
    <n v="0"/>
    <n v="0"/>
    <n v="0"/>
    <n v="0"/>
    <n v="0"/>
    <n v="0"/>
    <n v="0"/>
  </r>
  <r>
    <d v="2013-04-08T00:00:00"/>
    <n v="6200"/>
    <n v="1951"/>
    <x v="0"/>
    <s v="Graduation"/>
    <s v="Married"/>
    <n v="75903"/>
    <n v="1"/>
    <n v="50"/>
    <n v="340"/>
    <n v="108"/>
    <n v="185"/>
    <n v="130"/>
    <n v="38"/>
    <n v="100"/>
    <n v="901"/>
    <n v="2"/>
    <n v="6"/>
    <n v="6"/>
    <n v="9"/>
    <n v="3"/>
    <n v="0"/>
    <n v="0"/>
    <n v="0"/>
    <n v="0"/>
    <n v="0"/>
    <n v="0"/>
    <n v="0"/>
  </r>
  <r>
    <d v="2013-03-29T00:00:00"/>
    <n v="9904"/>
    <n v="1956"/>
    <x v="1"/>
    <s v="Graduation"/>
    <s v="Married"/>
    <n v="71391"/>
    <n v="1"/>
    <n v="50"/>
    <n v="336"/>
    <n v="123"/>
    <n v="274"/>
    <n v="46"/>
    <n v="123"/>
    <n v="141"/>
    <n v="1043"/>
    <n v="5"/>
    <n v="6"/>
    <n v="5"/>
    <n v="12"/>
    <n v="3"/>
    <n v="0"/>
    <n v="0"/>
    <n v="0"/>
    <n v="0"/>
    <n v="0"/>
    <n v="0"/>
    <n v="0"/>
  </r>
  <r>
    <d v="2013-02-10T00:00:00"/>
    <n v="10031"/>
    <n v="1976"/>
    <x v="6"/>
    <s v="PhD"/>
    <s v="Married"/>
    <n v="16927"/>
    <n v="2"/>
    <n v="50"/>
    <n v="20"/>
    <n v="2"/>
    <n v="23"/>
    <n v="3"/>
    <n v="1"/>
    <n v="4"/>
    <n v="53"/>
    <n v="5"/>
    <n v="3"/>
    <n v="0"/>
    <n v="4"/>
    <n v="8"/>
    <n v="0"/>
    <n v="0"/>
    <n v="0"/>
    <n v="0"/>
    <n v="0"/>
    <n v="0"/>
    <n v="0"/>
  </r>
  <r>
    <d v="2013-01-23T00:00:00"/>
    <n v="6642"/>
    <n v="1961"/>
    <x v="6"/>
    <s v="Graduation"/>
    <s v="Divorced"/>
    <n v="27215"/>
    <n v="3"/>
    <n v="50"/>
    <n v="30"/>
    <n v="5"/>
    <n v="22"/>
    <n v="8"/>
    <n v="9"/>
    <n v="28"/>
    <n v="102"/>
    <n v="4"/>
    <n v="2"/>
    <n v="1"/>
    <n v="4"/>
    <n v="6"/>
    <n v="0"/>
    <n v="0"/>
    <n v="0"/>
    <n v="0"/>
    <n v="0"/>
    <n v="0"/>
    <n v="0"/>
  </r>
  <r>
    <d v="2012-11-09T00:00:00"/>
    <n v="10882"/>
    <n v="1976"/>
    <x v="0"/>
    <s v="Graduation"/>
    <s v="Married"/>
    <n v="53858"/>
    <n v="1"/>
    <n v="50"/>
    <n v="407"/>
    <n v="53"/>
    <n v="221"/>
    <n v="58"/>
    <n v="150"/>
    <n v="26"/>
    <n v="915"/>
    <n v="4"/>
    <n v="4"/>
    <n v="3"/>
    <n v="6"/>
    <n v="4"/>
    <n v="0"/>
    <n v="0"/>
    <n v="0"/>
    <n v="0"/>
    <n v="0"/>
    <n v="0"/>
    <n v="0"/>
  </r>
  <r>
    <d v="2012-11-09T00:00:00"/>
    <n v="5636"/>
    <n v="1963"/>
    <x v="5"/>
    <s v="Graduation"/>
    <s v="Single"/>
    <n v="30983"/>
    <n v="0"/>
    <n v="50"/>
    <n v="51"/>
    <n v="4"/>
    <n v="50"/>
    <n v="12"/>
    <n v="1"/>
    <n v="49"/>
    <n v="167"/>
    <n v="1"/>
    <n v="4"/>
    <n v="0"/>
    <n v="3"/>
    <n v="8"/>
    <n v="0"/>
    <n v="0"/>
    <n v="0"/>
    <n v="0"/>
    <n v="0"/>
    <n v="1"/>
    <n v="0"/>
  </r>
  <r>
    <d v="2012-09-12T00:00:00"/>
    <n v="8692"/>
    <n v="1952"/>
    <x v="0"/>
    <s v="Graduation"/>
    <s v="Together"/>
    <n v="43462"/>
    <n v="2"/>
    <n v="50"/>
    <n v="90"/>
    <n v="17"/>
    <n v="97"/>
    <n v="15"/>
    <n v="6"/>
    <n v="15"/>
    <n v="240"/>
    <n v="6"/>
    <n v="4"/>
    <n v="1"/>
    <n v="5"/>
    <n v="8"/>
    <n v="0"/>
    <n v="0"/>
    <n v="0"/>
    <n v="0"/>
    <n v="0"/>
    <n v="0"/>
    <n v="0"/>
  </r>
  <r>
    <d v="2012-09-02T00:00:00"/>
    <n v="8091"/>
    <n v="1956"/>
    <x v="5"/>
    <s v="Graduation"/>
    <s v="Married"/>
    <n v="63943"/>
    <n v="1"/>
    <n v="50"/>
    <n v="423"/>
    <n v="184"/>
    <n v="368"/>
    <n v="13"/>
    <n v="97"/>
    <n v="21"/>
    <n v="1106"/>
    <n v="1"/>
    <n v="6"/>
    <n v="4"/>
    <n v="6"/>
    <n v="5"/>
    <n v="0"/>
    <n v="0"/>
    <n v="0"/>
    <n v="0"/>
    <n v="0"/>
    <n v="0"/>
    <n v="0"/>
  </r>
  <r>
    <d v="2012-08-17T00:00:00"/>
    <n v="8080"/>
    <n v="1986"/>
    <x v="5"/>
    <s v="Graduation"/>
    <s v="Single"/>
    <n v="26816"/>
    <n v="0"/>
    <n v="50"/>
    <n v="5"/>
    <n v="1"/>
    <n v="6"/>
    <n v="3"/>
    <n v="4"/>
    <n v="3"/>
    <n v="22"/>
    <n v="1"/>
    <n v="0"/>
    <n v="0"/>
    <n v="3"/>
    <n v="4"/>
    <n v="0"/>
    <n v="0"/>
    <n v="0"/>
    <n v="0"/>
    <n v="0"/>
    <n v="0"/>
    <n v="0"/>
  </r>
  <r>
    <d v="2012-08-02T00:00:00"/>
    <n v="8370"/>
    <n v="1976"/>
    <x v="1"/>
    <s v="2n Cycle"/>
    <s v="Together"/>
    <n v="75484"/>
    <n v="1"/>
    <n v="50"/>
    <n v="378"/>
    <n v="97"/>
    <n v="259"/>
    <n v="197"/>
    <n v="194"/>
    <n v="34"/>
    <n v="1159"/>
    <n v="2"/>
    <n v="7"/>
    <n v="3"/>
    <n v="6"/>
    <n v="4"/>
    <n v="0"/>
    <n v="0"/>
    <n v="0"/>
    <n v="0"/>
    <n v="0"/>
    <n v="0"/>
    <n v="0"/>
  </r>
  <r>
    <d v="2014-06-24T00:00:00"/>
    <n v="4550"/>
    <n v="1966"/>
    <x v="0"/>
    <s v="Master"/>
    <s v="Together"/>
    <n v="33564"/>
    <n v="1"/>
    <n v="51"/>
    <n v="61"/>
    <n v="0"/>
    <n v="3"/>
    <n v="0"/>
    <n v="0"/>
    <n v="7"/>
    <n v="71"/>
    <n v="1"/>
    <n v="1"/>
    <n v="1"/>
    <n v="3"/>
    <n v="5"/>
    <n v="0"/>
    <n v="0"/>
    <n v="0"/>
    <n v="0"/>
    <n v="0"/>
    <n v="0"/>
    <n v="0"/>
  </r>
  <r>
    <d v="2014-06-08T00:00:00"/>
    <n v="3381"/>
    <n v="1953"/>
    <x v="1"/>
    <s v="Master"/>
    <s v="Married"/>
    <n v="54348"/>
    <n v="2"/>
    <n v="51"/>
    <n v="70"/>
    <n v="0"/>
    <n v="16"/>
    <n v="0"/>
    <n v="0"/>
    <n v="4"/>
    <n v="90"/>
    <n v="2"/>
    <n v="2"/>
    <n v="0"/>
    <n v="4"/>
    <n v="6"/>
    <n v="0"/>
    <n v="0"/>
    <n v="0"/>
    <n v="0"/>
    <n v="0"/>
    <n v="0"/>
    <n v="0"/>
  </r>
  <r>
    <d v="2014-05-24T00:00:00"/>
    <n v="10556"/>
    <n v="1959"/>
    <x v="0"/>
    <s v="Graduation"/>
    <s v="Married"/>
    <n v="54984"/>
    <n v="1"/>
    <n v="51"/>
    <n v="173"/>
    <n v="13"/>
    <n v="131"/>
    <n v="32"/>
    <n v="3"/>
    <n v="6"/>
    <n v="358"/>
    <n v="4"/>
    <n v="6"/>
    <n v="1"/>
    <n v="6"/>
    <n v="7"/>
    <n v="0"/>
    <n v="0"/>
    <n v="0"/>
    <n v="1"/>
    <n v="0"/>
    <n v="0"/>
    <n v="0"/>
  </r>
  <r>
    <d v="2014-05-11T00:00:00"/>
    <n v="9467"/>
    <n v="1984"/>
    <x v="0"/>
    <s v="Graduation"/>
    <s v="Single"/>
    <n v="34738"/>
    <n v="1"/>
    <n v="51"/>
    <n v="3"/>
    <n v="2"/>
    <n v="10"/>
    <n v="3"/>
    <n v="0"/>
    <n v="2"/>
    <n v="20"/>
    <n v="1"/>
    <n v="1"/>
    <n v="0"/>
    <n v="3"/>
    <n v="6"/>
    <n v="0"/>
    <n v="0"/>
    <n v="0"/>
    <n v="0"/>
    <n v="0"/>
    <n v="0"/>
    <n v="0"/>
  </r>
  <r>
    <d v="2013-10-18T00:00:00"/>
    <n v="2891"/>
    <n v="1963"/>
    <x v="2"/>
    <s v="Graduation"/>
    <s v="Divorced"/>
    <n v="68118"/>
    <n v="1"/>
    <n v="51"/>
    <n v="595"/>
    <n v="23"/>
    <n v="123"/>
    <n v="10"/>
    <n v="23"/>
    <n v="154"/>
    <n v="928"/>
    <n v="2"/>
    <n v="8"/>
    <n v="9"/>
    <n v="4"/>
    <n v="6"/>
    <n v="0"/>
    <n v="0"/>
    <n v="0"/>
    <n v="0"/>
    <n v="0"/>
    <n v="0"/>
    <n v="0"/>
  </r>
  <r>
    <d v="2013-10-18T00:00:00"/>
    <n v="5011"/>
    <n v="1963"/>
    <x v="0"/>
    <s v="Graduation"/>
    <s v="Divorced"/>
    <n v="68118"/>
    <n v="1"/>
    <n v="51"/>
    <n v="595"/>
    <n v="23"/>
    <n v="123"/>
    <n v="10"/>
    <n v="23"/>
    <n v="154"/>
    <n v="928"/>
    <n v="2"/>
    <n v="8"/>
    <n v="9"/>
    <n v="4"/>
    <n v="6"/>
    <n v="0"/>
    <n v="0"/>
    <n v="0"/>
    <n v="0"/>
    <n v="0"/>
    <n v="0"/>
    <n v="0"/>
  </r>
  <r>
    <d v="2013-10-03T00:00:00"/>
    <n v="8140"/>
    <n v="1973"/>
    <x v="3"/>
    <s v="Graduation"/>
    <s v="Together"/>
    <n v="22682"/>
    <n v="1"/>
    <n v="51"/>
    <n v="10"/>
    <n v="14"/>
    <n v="29"/>
    <n v="4"/>
    <n v="2"/>
    <n v="36"/>
    <n v="95"/>
    <n v="3"/>
    <n v="2"/>
    <n v="1"/>
    <n v="4"/>
    <n v="4"/>
    <n v="0"/>
    <n v="0"/>
    <n v="0"/>
    <n v="0"/>
    <n v="0"/>
    <n v="0"/>
    <n v="0"/>
  </r>
  <r>
    <d v="2013-09-17T00:00:00"/>
    <n v="11039"/>
    <n v="1975"/>
    <x v="0"/>
    <s v="Graduation"/>
    <s v="Married"/>
    <n v="51948"/>
    <n v="1"/>
    <n v="51"/>
    <n v="82"/>
    <n v="33"/>
    <n v="54"/>
    <n v="71"/>
    <n v="30"/>
    <n v="41"/>
    <n v="311"/>
    <n v="2"/>
    <n v="5"/>
    <n v="2"/>
    <n v="4"/>
    <n v="5"/>
    <n v="0"/>
    <n v="0"/>
    <n v="0"/>
    <n v="0"/>
    <n v="0"/>
    <n v="0"/>
    <n v="0"/>
  </r>
  <r>
    <d v="2013-09-15T00:00:00"/>
    <n v="78"/>
    <n v="1969"/>
    <x v="0"/>
    <s v="Graduation"/>
    <s v="Married"/>
    <n v="25293"/>
    <n v="1"/>
    <n v="51"/>
    <n v="15"/>
    <n v="0"/>
    <n v="11"/>
    <n v="0"/>
    <n v="2"/>
    <n v="9"/>
    <n v="37"/>
    <n v="1"/>
    <n v="1"/>
    <n v="1"/>
    <n v="2"/>
    <n v="8"/>
    <n v="0"/>
    <n v="0"/>
    <n v="0"/>
    <n v="0"/>
    <n v="0"/>
    <n v="0"/>
    <n v="0"/>
  </r>
  <r>
    <d v="2013-09-15T00:00:00"/>
    <n v="5517"/>
    <n v="1969"/>
    <x v="3"/>
    <s v="Graduation"/>
    <s v="Married"/>
    <n v="25293"/>
    <n v="1"/>
    <n v="51"/>
    <n v="15"/>
    <n v="0"/>
    <n v="11"/>
    <n v="0"/>
    <n v="2"/>
    <n v="9"/>
    <n v="37"/>
    <n v="1"/>
    <n v="1"/>
    <n v="1"/>
    <n v="2"/>
    <n v="8"/>
    <n v="0"/>
    <n v="0"/>
    <n v="0"/>
    <n v="0"/>
    <n v="0"/>
    <n v="0"/>
    <n v="0"/>
  </r>
  <r>
    <d v="2013-08-14T00:00:00"/>
    <n v="5290"/>
    <n v="1964"/>
    <x v="1"/>
    <s v="PhD"/>
    <s v="Married"/>
    <n v="41551"/>
    <n v="2"/>
    <n v="51"/>
    <n v="220"/>
    <n v="0"/>
    <n v="33"/>
    <n v="3"/>
    <n v="0"/>
    <n v="23"/>
    <n v="279"/>
    <n v="5"/>
    <n v="5"/>
    <n v="1"/>
    <n v="5"/>
    <n v="8"/>
    <n v="0"/>
    <n v="0"/>
    <n v="0"/>
    <n v="0"/>
    <n v="0"/>
    <n v="0"/>
    <n v="0"/>
  </r>
  <r>
    <d v="2013-07-20T00:00:00"/>
    <n v="4128"/>
    <n v="1962"/>
    <x v="6"/>
    <s v="PhD"/>
    <s v="Together"/>
    <n v="56067"/>
    <n v="1"/>
    <n v="51"/>
    <n v="517"/>
    <n v="12"/>
    <n v="54"/>
    <n v="16"/>
    <n v="6"/>
    <n v="120"/>
    <n v="725"/>
    <n v="2"/>
    <n v="7"/>
    <n v="4"/>
    <n v="7"/>
    <n v="5"/>
    <n v="0"/>
    <n v="0"/>
    <n v="0"/>
    <n v="0"/>
    <n v="0"/>
    <n v="0"/>
    <n v="0"/>
  </r>
  <r>
    <d v="2013-07-16T00:00:00"/>
    <n v="8534"/>
    <n v="1952"/>
    <x v="0"/>
    <s v="Graduation"/>
    <s v="Married"/>
    <n v="67433"/>
    <n v="2"/>
    <n v="51"/>
    <n v="615"/>
    <n v="28"/>
    <n v="259"/>
    <n v="12"/>
    <n v="48"/>
    <n v="30"/>
    <n v="992"/>
    <n v="4"/>
    <n v="6"/>
    <n v="5"/>
    <n v="13"/>
    <n v="4"/>
    <n v="0"/>
    <n v="1"/>
    <n v="0"/>
    <n v="0"/>
    <n v="0"/>
    <n v="0"/>
    <n v="0"/>
  </r>
  <r>
    <d v="2013-06-30T00:00:00"/>
    <n v="9592"/>
    <n v="1983"/>
    <x v="0"/>
    <s v="Graduation"/>
    <s v="Together"/>
    <n v="22010"/>
    <n v="1"/>
    <n v="51"/>
    <n v="11"/>
    <n v="2"/>
    <n v="9"/>
    <n v="3"/>
    <n v="0"/>
    <n v="8"/>
    <n v="33"/>
    <n v="2"/>
    <n v="2"/>
    <n v="0"/>
    <n v="3"/>
    <n v="8"/>
    <n v="0"/>
    <n v="0"/>
    <n v="0"/>
    <n v="0"/>
    <n v="0"/>
    <n v="0"/>
    <n v="0"/>
  </r>
  <r>
    <d v="2013-06-10T00:00:00"/>
    <n v="8957"/>
    <n v="1952"/>
    <x v="6"/>
    <s v="2n Cycle"/>
    <s v="Single"/>
    <n v="64831"/>
    <n v="2"/>
    <n v="51"/>
    <n v="480"/>
    <n v="86"/>
    <n v="249"/>
    <n v="75"/>
    <n v="86"/>
    <n v="144"/>
    <n v="1120"/>
    <n v="8"/>
    <n v="6"/>
    <n v="3"/>
    <n v="5"/>
    <n v="6"/>
    <n v="0"/>
    <n v="0"/>
    <n v="0"/>
    <n v="0"/>
    <n v="0"/>
    <n v="0"/>
    <n v="0"/>
  </r>
  <r>
    <d v="2013-05-11T00:00:00"/>
    <n v="9308"/>
    <n v="1954"/>
    <x v="6"/>
    <s v="Graduation"/>
    <s v="Married"/>
    <n v="62820"/>
    <n v="0"/>
    <n v="51"/>
    <n v="398"/>
    <n v="61"/>
    <n v="265"/>
    <n v="138"/>
    <n v="61"/>
    <n v="53"/>
    <n v="976"/>
    <n v="1"/>
    <n v="3"/>
    <n v="4"/>
    <n v="6"/>
    <n v="1"/>
    <n v="0"/>
    <n v="0"/>
    <n v="0"/>
    <n v="0"/>
    <n v="0"/>
    <n v="0"/>
    <n v="0"/>
  </r>
  <r>
    <d v="2013-05-11T00:00:00"/>
    <n v="544"/>
    <n v="1954"/>
    <x v="0"/>
    <s v="Graduation"/>
    <s v="Married"/>
    <n v="62820"/>
    <n v="0"/>
    <n v="51"/>
    <n v="398"/>
    <n v="61"/>
    <n v="265"/>
    <n v="138"/>
    <n v="61"/>
    <n v="53"/>
    <n v="976"/>
    <n v="1"/>
    <n v="3"/>
    <n v="4"/>
    <n v="6"/>
    <n v="1"/>
    <n v="0"/>
    <n v="0"/>
    <n v="0"/>
    <n v="0"/>
    <n v="0"/>
    <n v="0"/>
    <n v="0"/>
  </r>
  <r>
    <d v="2013-04-16T00:00:00"/>
    <n v="5989"/>
    <n v="1959"/>
    <x v="1"/>
    <s v="2n Cycle"/>
    <s v="Divorced"/>
    <n v="78353"/>
    <n v="1"/>
    <n v="51"/>
    <n v="752"/>
    <n v="122"/>
    <n v="476"/>
    <n v="39"/>
    <n v="153"/>
    <n v="34"/>
    <n v="1576"/>
    <n v="1"/>
    <n v="10"/>
    <n v="2"/>
    <n v="11"/>
    <n v="8"/>
    <n v="0"/>
    <n v="0"/>
    <n v="0"/>
    <n v="0"/>
    <n v="0"/>
    <n v="0"/>
    <n v="0"/>
  </r>
  <r>
    <d v="2013-03-19T00:00:00"/>
    <n v="635"/>
    <n v="1966"/>
    <x v="0"/>
    <s v="Master"/>
    <s v="Married"/>
    <n v="57183"/>
    <n v="2"/>
    <n v="51"/>
    <n v="464"/>
    <n v="5"/>
    <n v="64"/>
    <n v="7"/>
    <n v="0"/>
    <n v="70"/>
    <n v="610"/>
    <n v="8"/>
    <n v="9"/>
    <n v="1"/>
    <n v="7"/>
    <n v="8"/>
    <n v="0"/>
    <n v="0"/>
    <n v="0"/>
    <n v="0"/>
    <n v="0"/>
    <n v="0"/>
    <n v="0"/>
  </r>
  <r>
    <d v="2013-03-19T00:00:00"/>
    <n v="6673"/>
    <n v="1965"/>
    <x v="2"/>
    <s v="Graduation"/>
    <s v="Single"/>
    <n v="23478"/>
    <n v="0"/>
    <n v="51"/>
    <n v="28"/>
    <n v="6"/>
    <n v="27"/>
    <n v="12"/>
    <n v="17"/>
    <n v="39"/>
    <n v="129"/>
    <n v="1"/>
    <n v="3"/>
    <n v="0"/>
    <n v="3"/>
    <n v="8"/>
    <n v="0"/>
    <n v="0"/>
    <n v="0"/>
    <n v="0"/>
    <n v="0"/>
    <n v="0"/>
    <n v="0"/>
  </r>
  <r>
    <d v="2013-03-07T00:00:00"/>
    <n v="1710"/>
    <n v="1978"/>
    <x v="0"/>
    <s v="Graduation"/>
    <s v="Single"/>
    <n v="30168"/>
    <n v="1"/>
    <n v="51"/>
    <n v="154"/>
    <n v="20"/>
    <n v="66"/>
    <n v="0"/>
    <n v="12"/>
    <n v="27"/>
    <n v="279"/>
    <n v="7"/>
    <n v="6"/>
    <n v="1"/>
    <n v="4"/>
    <n v="9"/>
    <n v="0"/>
    <n v="0"/>
    <n v="0"/>
    <n v="0"/>
    <n v="0"/>
    <n v="0"/>
    <n v="0"/>
  </r>
  <r>
    <d v="2013-01-31T00:00:00"/>
    <n v="523"/>
    <n v="1989"/>
    <x v="0"/>
    <s v="Graduation"/>
    <s v="Married"/>
    <n v="37155"/>
    <n v="1"/>
    <n v="51"/>
    <n v="23"/>
    <n v="0"/>
    <n v="26"/>
    <n v="7"/>
    <n v="15"/>
    <n v="3"/>
    <n v="74"/>
    <n v="1"/>
    <n v="2"/>
    <n v="0"/>
    <n v="4"/>
    <n v="5"/>
    <n v="0"/>
    <n v="0"/>
    <n v="0"/>
    <n v="0"/>
    <n v="0"/>
    <n v="0"/>
    <n v="0"/>
  </r>
  <r>
    <d v="2013-01-12T00:00:00"/>
    <n v="8977"/>
    <n v="1985"/>
    <x v="0"/>
    <s v="Basic"/>
    <s v="Single"/>
    <n v="16581"/>
    <n v="0"/>
    <n v="51"/>
    <n v="1"/>
    <n v="3"/>
    <n v="4"/>
    <n v="2"/>
    <n v="3"/>
    <n v="11"/>
    <n v="24"/>
    <n v="1"/>
    <n v="0"/>
    <n v="0"/>
    <n v="3"/>
    <n v="4"/>
    <n v="0"/>
    <n v="0"/>
    <n v="0"/>
    <n v="0"/>
    <n v="0"/>
    <n v="0"/>
    <n v="0"/>
  </r>
  <r>
    <d v="2012-12-24T00:00:00"/>
    <n v="9736"/>
    <n v="1980"/>
    <x v="2"/>
    <s v="Graduation"/>
    <s v="Married"/>
    <n v="41850"/>
    <n v="2"/>
    <n v="51"/>
    <n v="53"/>
    <n v="5"/>
    <n v="19"/>
    <n v="2"/>
    <n v="13"/>
    <n v="4"/>
    <n v="96"/>
    <n v="3"/>
    <n v="3"/>
    <n v="0"/>
    <n v="3"/>
    <n v="8"/>
    <n v="0"/>
    <n v="0"/>
    <n v="0"/>
    <n v="0"/>
    <n v="0"/>
    <n v="0"/>
    <n v="0"/>
  </r>
  <r>
    <d v="2012-12-22T00:00:00"/>
    <n v="1544"/>
    <n v="1967"/>
    <x v="1"/>
    <s v="Master"/>
    <s v="Divorced"/>
    <n v="81380"/>
    <n v="0"/>
    <n v="51"/>
    <n v="741"/>
    <n v="68"/>
    <n v="689"/>
    <n v="224"/>
    <n v="68"/>
    <n v="103"/>
    <n v="1893"/>
    <n v="1"/>
    <n v="4"/>
    <n v="2"/>
    <n v="10"/>
    <n v="2"/>
    <n v="0"/>
    <n v="0"/>
    <n v="0"/>
    <n v="0"/>
    <n v="0"/>
    <n v="0"/>
    <n v="0"/>
  </r>
  <r>
    <d v="2012-10-27T00:00:00"/>
    <n v="6575"/>
    <n v="1981"/>
    <x v="6"/>
    <s v="Graduation"/>
    <s v="Together"/>
    <n v="56386"/>
    <n v="2"/>
    <n v="51"/>
    <n v="230"/>
    <n v="48"/>
    <n v="214"/>
    <n v="13"/>
    <n v="32"/>
    <n v="75"/>
    <n v="612"/>
    <n v="8"/>
    <n v="9"/>
    <n v="1"/>
    <n v="7"/>
    <n v="9"/>
    <n v="0"/>
    <n v="0"/>
    <n v="0"/>
    <n v="0"/>
    <n v="0"/>
    <n v="0"/>
    <n v="0"/>
  </r>
  <r>
    <d v="2012-10-18T00:00:00"/>
    <n v="6147"/>
    <n v="1971"/>
    <x v="4"/>
    <s v="Graduation"/>
    <s v="Divorced"/>
    <n v="25818"/>
    <n v="1"/>
    <n v="51"/>
    <n v="5"/>
    <n v="2"/>
    <n v="8"/>
    <n v="2"/>
    <n v="2"/>
    <n v="9"/>
    <n v="28"/>
    <n v="1"/>
    <n v="0"/>
    <n v="1"/>
    <n v="2"/>
    <n v="7"/>
    <n v="0"/>
    <n v="0"/>
    <n v="0"/>
    <n v="0"/>
    <n v="0"/>
    <n v="0"/>
    <n v="0"/>
  </r>
  <r>
    <d v="2012-08-31T00:00:00"/>
    <n v="6354"/>
    <n v="1984"/>
    <x v="0"/>
    <s v="Graduation"/>
    <s v="Together"/>
    <n v="15345"/>
    <n v="1"/>
    <n v="51"/>
    <n v="5"/>
    <n v="2"/>
    <n v="16"/>
    <n v="3"/>
    <n v="2"/>
    <n v="19"/>
    <n v="47"/>
    <n v="2"/>
    <n v="1"/>
    <n v="1"/>
    <n v="2"/>
    <n v="8"/>
    <n v="0"/>
    <n v="0"/>
    <n v="0"/>
    <n v="0"/>
    <n v="0"/>
    <n v="1"/>
    <n v="0"/>
  </r>
  <r>
    <d v="2014-06-18T00:00:00"/>
    <n v="4769"/>
    <n v="1977"/>
    <x v="0"/>
    <s v="Master"/>
    <s v="Together"/>
    <n v="57954"/>
    <n v="2"/>
    <n v="52"/>
    <n v="456"/>
    <n v="4"/>
    <n v="24"/>
    <n v="0"/>
    <n v="0"/>
    <n v="9"/>
    <n v="493"/>
    <n v="7"/>
    <n v="8"/>
    <n v="2"/>
    <n v="6"/>
    <n v="7"/>
    <n v="0"/>
    <n v="1"/>
    <n v="0"/>
    <n v="0"/>
    <n v="0"/>
    <n v="0"/>
    <n v="0"/>
  </r>
  <r>
    <d v="2014-05-25T00:00:00"/>
    <n v="7540"/>
    <n v="1952"/>
    <x v="0"/>
    <s v="Graduation"/>
    <s v="Married"/>
    <n v="50300"/>
    <n v="1"/>
    <n v="52"/>
    <n v="143"/>
    <n v="15"/>
    <n v="60"/>
    <n v="24"/>
    <n v="23"/>
    <n v="5"/>
    <n v="270"/>
    <n v="2"/>
    <n v="2"/>
    <n v="1"/>
    <n v="8"/>
    <n v="2"/>
    <n v="0"/>
    <n v="0"/>
    <n v="0"/>
    <n v="0"/>
    <n v="0"/>
    <n v="0"/>
    <n v="0"/>
  </r>
  <r>
    <d v="2014-05-10T00:00:00"/>
    <n v="5247"/>
    <n v="1955"/>
    <x v="0"/>
    <s v="PhD"/>
    <s v="Married"/>
    <n v="38725"/>
    <n v="2"/>
    <n v="52"/>
    <n v="31"/>
    <n v="0"/>
    <n v="6"/>
    <n v="2"/>
    <n v="1"/>
    <n v="5"/>
    <n v="45"/>
    <n v="2"/>
    <n v="1"/>
    <n v="0"/>
    <n v="4"/>
    <n v="4"/>
    <n v="0"/>
    <n v="0"/>
    <n v="0"/>
    <n v="0"/>
    <n v="0"/>
    <n v="0"/>
    <n v="0"/>
  </r>
  <r>
    <d v="2014-05-04T00:00:00"/>
    <n v="5987"/>
    <n v="1989"/>
    <x v="0"/>
    <s v="2n Cycle"/>
    <s v="Together"/>
    <n v="10404"/>
    <n v="1"/>
    <n v="52"/>
    <n v="2"/>
    <n v="2"/>
    <n v="11"/>
    <n v="10"/>
    <n v="6"/>
    <n v="12"/>
    <n v="43"/>
    <n v="2"/>
    <n v="1"/>
    <n v="0"/>
    <n v="4"/>
    <n v="5"/>
    <n v="0"/>
    <n v="0"/>
    <n v="0"/>
    <n v="0"/>
    <n v="0"/>
    <n v="0"/>
    <n v="0"/>
  </r>
  <r>
    <d v="2014-04-30T00:00:00"/>
    <n v="9960"/>
    <n v="1991"/>
    <x v="6"/>
    <s v="Basic"/>
    <s v="Single"/>
    <n v="26868"/>
    <n v="1"/>
    <n v="52"/>
    <n v="0"/>
    <n v="0"/>
    <n v="1"/>
    <n v="8"/>
    <n v="3"/>
    <n v="2"/>
    <n v="14"/>
    <n v="1"/>
    <n v="1"/>
    <n v="0"/>
    <n v="2"/>
    <n v="7"/>
    <n v="0"/>
    <n v="0"/>
    <n v="0"/>
    <n v="0"/>
    <n v="0"/>
    <n v="0"/>
    <n v="0"/>
  </r>
  <r>
    <d v="2014-03-10T00:00:00"/>
    <n v="10972"/>
    <n v="1949"/>
    <x v="0"/>
    <s v="Graduation"/>
    <s v="Widow"/>
    <n v="72298"/>
    <n v="0"/>
    <n v="52"/>
    <n v="625"/>
    <n v="35"/>
    <n v="169"/>
    <n v="58"/>
    <n v="17"/>
    <n v="35"/>
    <n v="939"/>
    <n v="1"/>
    <n v="4"/>
    <n v="3"/>
    <n v="6"/>
    <n v="1"/>
    <n v="0"/>
    <n v="1"/>
    <n v="1"/>
    <n v="0"/>
    <n v="0"/>
    <n v="0"/>
    <n v="0"/>
  </r>
  <r>
    <d v="2014-01-21T00:00:00"/>
    <n v="1399"/>
    <n v="1958"/>
    <x v="0"/>
    <s v="Graduation"/>
    <s v="Married"/>
    <n v="72905"/>
    <n v="0"/>
    <n v="52"/>
    <n v="407"/>
    <n v="114"/>
    <n v="445"/>
    <n v="181"/>
    <n v="165"/>
    <n v="203"/>
    <n v="1515"/>
    <n v="1"/>
    <n v="3"/>
    <n v="7"/>
    <n v="9"/>
    <n v="1"/>
    <n v="0"/>
    <n v="0"/>
    <n v="0"/>
    <n v="1"/>
    <n v="0"/>
    <n v="0"/>
    <n v="0"/>
  </r>
  <r>
    <d v="2013-11-07T00:00:00"/>
    <n v="2698"/>
    <n v="1976"/>
    <x v="2"/>
    <s v="Graduation"/>
    <s v="Single"/>
    <n v="47025"/>
    <n v="1"/>
    <n v="52"/>
    <n v="254"/>
    <n v="7"/>
    <n v="108"/>
    <n v="20"/>
    <n v="0"/>
    <n v="26"/>
    <n v="415"/>
    <n v="3"/>
    <n v="6"/>
    <n v="3"/>
    <n v="5"/>
    <n v="6"/>
    <n v="0"/>
    <n v="0"/>
    <n v="0"/>
    <n v="0"/>
    <n v="0"/>
    <n v="0"/>
    <n v="0"/>
  </r>
  <r>
    <d v="2013-10-27T00:00:00"/>
    <n v="6340"/>
    <n v="1985"/>
    <x v="6"/>
    <s v="Graduation"/>
    <s v="Single"/>
    <n v="29938"/>
    <n v="1"/>
    <n v="52"/>
    <n v="3"/>
    <n v="3"/>
    <n v="7"/>
    <n v="0"/>
    <n v="2"/>
    <n v="11"/>
    <n v="26"/>
    <n v="2"/>
    <n v="1"/>
    <n v="0"/>
    <n v="3"/>
    <n v="6"/>
    <n v="0"/>
    <n v="0"/>
    <n v="0"/>
    <n v="0"/>
    <n v="0"/>
    <n v="0"/>
    <n v="0"/>
  </r>
  <r>
    <d v="2013-10-08T00:00:00"/>
    <n v="4107"/>
    <n v="1948"/>
    <x v="0"/>
    <s v="PhD"/>
    <s v="Together"/>
    <n v="46681"/>
    <n v="2"/>
    <n v="52"/>
    <n v="269"/>
    <n v="15"/>
    <n v="69"/>
    <n v="15"/>
    <n v="19"/>
    <n v="38"/>
    <n v="425"/>
    <n v="2"/>
    <n v="4"/>
    <n v="6"/>
    <n v="4"/>
    <n v="5"/>
    <n v="0"/>
    <n v="0"/>
    <n v="0"/>
    <n v="0"/>
    <n v="0"/>
    <n v="0"/>
    <n v="0"/>
  </r>
  <r>
    <d v="2013-10-08T00:00:00"/>
    <n v="10906"/>
    <n v="1948"/>
    <x v="6"/>
    <s v="PhD"/>
    <s v="Together"/>
    <n v="46681"/>
    <n v="2"/>
    <n v="52"/>
    <n v="269"/>
    <n v="15"/>
    <n v="69"/>
    <n v="15"/>
    <n v="19"/>
    <n v="38"/>
    <n v="425"/>
    <n v="2"/>
    <n v="4"/>
    <n v="6"/>
    <n v="4"/>
    <n v="5"/>
    <n v="0"/>
    <n v="0"/>
    <n v="0"/>
    <n v="0"/>
    <n v="0"/>
    <n v="0"/>
    <n v="0"/>
  </r>
  <r>
    <d v="2013-08-29T00:00:00"/>
    <n v="2557"/>
    <n v="1970"/>
    <x v="0"/>
    <s v="Master"/>
    <s v="Single"/>
    <n v="29548"/>
    <n v="1"/>
    <n v="52"/>
    <n v="7"/>
    <n v="1"/>
    <n v="6"/>
    <n v="3"/>
    <n v="1"/>
    <n v="11"/>
    <n v="29"/>
    <n v="1"/>
    <n v="1"/>
    <n v="1"/>
    <n v="2"/>
    <n v="4"/>
    <n v="1"/>
    <n v="0"/>
    <n v="0"/>
    <n v="0"/>
    <n v="0"/>
    <n v="0"/>
    <n v="0"/>
  </r>
  <r>
    <d v="2013-05-26T00:00:00"/>
    <n v="8786"/>
    <n v="1956"/>
    <x v="4"/>
    <s v="Master"/>
    <s v="Married"/>
    <n v="62058"/>
    <n v="1"/>
    <n v="52"/>
    <n v="301"/>
    <n v="7"/>
    <n v="74"/>
    <n v="10"/>
    <n v="0"/>
    <n v="58"/>
    <n v="450"/>
    <n v="4"/>
    <n v="6"/>
    <n v="1"/>
    <n v="7"/>
    <n v="6"/>
    <n v="0"/>
    <n v="0"/>
    <n v="0"/>
    <n v="0"/>
    <n v="0"/>
    <n v="0"/>
    <n v="0"/>
  </r>
  <r>
    <d v="2013-05-18T00:00:00"/>
    <n v="7187"/>
    <n v="1969"/>
    <x v="3"/>
    <s v="Master"/>
    <s v="Together"/>
    <n v="53790.45"/>
    <n v="2"/>
    <n v="52"/>
    <n v="375"/>
    <n v="42"/>
    <n v="48"/>
    <n v="94"/>
    <n v="66"/>
    <n v="96"/>
    <n v="721"/>
    <n v="7"/>
    <n v="4"/>
    <n v="10"/>
    <n v="4"/>
    <n v="3"/>
    <n v="0"/>
    <n v="0"/>
    <n v="0"/>
    <n v="0"/>
    <n v="0"/>
    <n v="0"/>
    <n v="0"/>
  </r>
  <r>
    <d v="2013-05-10T00:00:00"/>
    <n v="6119"/>
    <n v="1963"/>
    <x v="0"/>
    <s v="PhD"/>
    <s v="Single"/>
    <n v="36736"/>
    <n v="2"/>
    <n v="52"/>
    <n v="10"/>
    <n v="0"/>
    <n v="3"/>
    <n v="0"/>
    <n v="0"/>
    <n v="4"/>
    <n v="17"/>
    <n v="1"/>
    <n v="1"/>
    <n v="0"/>
    <n v="2"/>
    <n v="6"/>
    <n v="0"/>
    <n v="0"/>
    <n v="0"/>
    <n v="0"/>
    <n v="0"/>
    <n v="0"/>
    <n v="0"/>
  </r>
  <r>
    <d v="2013-03-22T00:00:00"/>
    <n v="2980"/>
    <n v="1952"/>
    <x v="1"/>
    <s v="Master"/>
    <s v="Single"/>
    <n v="8820"/>
    <n v="2"/>
    <n v="52"/>
    <n v="12"/>
    <n v="0"/>
    <n v="13"/>
    <n v="4"/>
    <n v="2"/>
    <n v="4"/>
    <n v="35"/>
    <n v="4"/>
    <n v="3"/>
    <n v="0"/>
    <n v="3"/>
    <n v="8"/>
    <n v="0"/>
    <n v="0"/>
    <n v="0"/>
    <n v="0"/>
    <n v="0"/>
    <n v="0"/>
    <n v="0"/>
  </r>
  <r>
    <d v="2012-12-07T00:00:00"/>
    <n v="3850"/>
    <n v="1963"/>
    <x v="5"/>
    <s v="Basic"/>
    <s v="Together"/>
    <n v="14918"/>
    <n v="1"/>
    <n v="52"/>
    <n v="3"/>
    <n v="3"/>
    <n v="3"/>
    <n v="15"/>
    <n v="4"/>
    <n v="15"/>
    <n v="43"/>
    <n v="1"/>
    <n v="1"/>
    <n v="0"/>
    <n v="3"/>
    <n v="6"/>
    <n v="0"/>
    <n v="0"/>
    <n v="0"/>
    <n v="0"/>
    <n v="0"/>
    <n v="0"/>
    <n v="0"/>
  </r>
  <r>
    <d v="2012-12-05T00:00:00"/>
    <n v="1077"/>
    <n v="1974"/>
    <x v="0"/>
    <s v="Graduation"/>
    <s v="Together"/>
    <n v="56715"/>
    <n v="0"/>
    <n v="52"/>
    <n v="258"/>
    <n v="105"/>
    <n v="239"/>
    <n v="237"/>
    <n v="172"/>
    <n v="9"/>
    <n v="1020"/>
    <n v="1"/>
    <n v="7"/>
    <n v="3"/>
    <n v="4"/>
    <n v="4"/>
    <n v="0"/>
    <n v="0"/>
    <n v="0"/>
    <n v="0"/>
    <n v="0"/>
    <n v="0"/>
    <n v="0"/>
  </r>
  <r>
    <d v="2012-09-09T00:00:00"/>
    <n v="9733"/>
    <n v="1978"/>
    <x v="5"/>
    <s v="Basic"/>
    <s v="Together"/>
    <n v="24882"/>
    <n v="1"/>
    <n v="52"/>
    <n v="1"/>
    <n v="4"/>
    <n v="10"/>
    <n v="29"/>
    <n v="0"/>
    <n v="36"/>
    <n v="80"/>
    <n v="1"/>
    <n v="1"/>
    <n v="1"/>
    <n v="2"/>
    <n v="6"/>
    <n v="1"/>
    <n v="0"/>
    <n v="0"/>
    <n v="0"/>
    <n v="0"/>
    <n v="0"/>
    <n v="0"/>
  </r>
  <r>
    <d v="2012-09-09T00:00:00"/>
    <n v="8462"/>
    <n v="1978"/>
    <x v="0"/>
    <s v="Basic"/>
    <s v="Together"/>
    <n v="24882"/>
    <n v="1"/>
    <n v="52"/>
    <n v="1"/>
    <n v="4"/>
    <n v="10"/>
    <n v="29"/>
    <n v="0"/>
    <n v="36"/>
    <n v="80"/>
    <n v="1"/>
    <n v="1"/>
    <n v="1"/>
    <n v="2"/>
    <n v="6"/>
    <n v="1"/>
    <n v="0"/>
    <n v="0"/>
    <n v="0"/>
    <n v="0"/>
    <n v="0"/>
    <n v="0"/>
  </r>
  <r>
    <d v="2012-08-19T00:00:00"/>
    <n v="4764"/>
    <n v="1952"/>
    <x v="6"/>
    <s v="Master"/>
    <s v="Together"/>
    <n v="40442"/>
    <n v="2"/>
    <n v="52"/>
    <n v="45"/>
    <n v="12"/>
    <n v="52"/>
    <n v="25"/>
    <n v="22"/>
    <n v="13"/>
    <n v="169"/>
    <n v="4"/>
    <n v="3"/>
    <n v="1"/>
    <n v="4"/>
    <n v="7"/>
    <n v="0"/>
    <n v="0"/>
    <n v="0"/>
    <n v="0"/>
    <n v="0"/>
    <n v="1"/>
    <n v="0"/>
  </r>
  <r>
    <d v="2012-08-03T00:00:00"/>
    <n v="2223"/>
    <n v="1965"/>
    <x v="0"/>
    <s v="2n Cycle"/>
    <s v="Divorced"/>
    <n v="64176"/>
    <n v="1"/>
    <n v="52"/>
    <n v="1215"/>
    <n v="33"/>
    <n v="249"/>
    <n v="64"/>
    <n v="116"/>
    <n v="149"/>
    <n v="1826"/>
    <n v="8"/>
    <n v="8"/>
    <n v="9"/>
    <n v="8"/>
    <n v="6"/>
    <n v="0"/>
    <n v="0"/>
    <n v="0"/>
    <n v="0"/>
    <n v="0"/>
    <n v="0"/>
    <n v="0"/>
  </r>
  <r>
    <d v="2014-06-04T00:00:00"/>
    <n v="7788"/>
    <n v="1983"/>
    <x v="0"/>
    <s v="PhD"/>
    <s v="Married"/>
    <n v="23536"/>
    <n v="1"/>
    <n v="53"/>
    <n v="6"/>
    <n v="0"/>
    <n v="3"/>
    <n v="0"/>
    <n v="0"/>
    <n v="1"/>
    <n v="10"/>
    <n v="1"/>
    <n v="0"/>
    <n v="0"/>
    <n v="3"/>
    <n v="3"/>
    <n v="0"/>
    <n v="0"/>
    <n v="0"/>
    <n v="0"/>
    <n v="0"/>
    <n v="0"/>
    <n v="0"/>
  </r>
  <r>
    <d v="2014-04-16T00:00:00"/>
    <n v="5827"/>
    <n v="1958"/>
    <x v="6"/>
    <s v="Graduation"/>
    <s v="Divorced"/>
    <n v="35246"/>
    <n v="2"/>
    <n v="53"/>
    <n v="36"/>
    <n v="0"/>
    <n v="12"/>
    <n v="2"/>
    <n v="2"/>
    <n v="10"/>
    <n v="62"/>
    <n v="4"/>
    <n v="3"/>
    <n v="1"/>
    <n v="3"/>
    <n v="5"/>
    <n v="0"/>
    <n v="0"/>
    <n v="0"/>
    <n v="0"/>
    <n v="0"/>
    <n v="0"/>
    <n v="0"/>
  </r>
  <r>
    <d v="2014-02-24T00:00:00"/>
    <n v="2958"/>
    <n v="1978"/>
    <x v="0"/>
    <s v="Graduation"/>
    <s v="Married"/>
    <n v="28442"/>
    <n v="2"/>
    <n v="53"/>
    <n v="19"/>
    <n v="3"/>
    <n v="10"/>
    <n v="11"/>
    <n v="8"/>
    <n v="6"/>
    <n v="57"/>
    <n v="3"/>
    <n v="2"/>
    <n v="1"/>
    <n v="4"/>
    <n v="4"/>
    <n v="0"/>
    <n v="0"/>
    <n v="0"/>
    <n v="0"/>
    <n v="0"/>
    <n v="0"/>
    <n v="0"/>
  </r>
  <r>
    <d v="2014-01-21T00:00:00"/>
    <n v="4954"/>
    <n v="1956"/>
    <x v="0"/>
    <s v="Graduation"/>
    <s v="Married"/>
    <n v="48195"/>
    <n v="2"/>
    <n v="53"/>
    <n v="106"/>
    <n v="27"/>
    <n v="68"/>
    <n v="52"/>
    <n v="7"/>
    <n v="5"/>
    <n v="265"/>
    <n v="6"/>
    <n v="4"/>
    <n v="2"/>
    <n v="5"/>
    <n v="6"/>
    <n v="0"/>
    <n v="0"/>
    <n v="0"/>
    <n v="0"/>
    <n v="0"/>
    <n v="0"/>
    <n v="0"/>
  </r>
  <r>
    <d v="2013-12-30T00:00:00"/>
    <n v="3139"/>
    <n v="1982"/>
    <x v="6"/>
    <s v="2n Cycle"/>
    <s v="Single"/>
    <n v="74116"/>
    <n v="0"/>
    <n v="53"/>
    <n v="871"/>
    <n v="111"/>
    <n v="704"/>
    <n v="145"/>
    <n v="55"/>
    <n v="166"/>
    <n v="2052"/>
    <n v="1"/>
    <n v="4"/>
    <n v="4"/>
    <n v="10"/>
    <n v="2"/>
    <n v="0"/>
    <n v="1"/>
    <n v="0"/>
    <n v="0"/>
    <n v="0"/>
    <n v="0"/>
    <n v="0"/>
  </r>
  <r>
    <d v="2013-12-11T00:00:00"/>
    <n v="9952"/>
    <n v="1947"/>
    <x v="6"/>
    <s v="Master"/>
    <s v="Together"/>
    <n v="78093"/>
    <n v="0"/>
    <n v="53"/>
    <n v="368"/>
    <n v="32"/>
    <n v="639"/>
    <n v="13"/>
    <n v="43"/>
    <n v="10"/>
    <n v="1105"/>
    <n v="1"/>
    <n v="4"/>
    <n v="7"/>
    <n v="5"/>
    <n v="1"/>
    <n v="0"/>
    <n v="0"/>
    <n v="0"/>
    <n v="0"/>
    <n v="0"/>
    <n v="0"/>
    <n v="0"/>
  </r>
  <r>
    <d v="2013-11-15T00:00:00"/>
    <n v="8180"/>
    <n v="1952"/>
    <x v="2"/>
    <s v="Master"/>
    <s v="Divorced"/>
    <n v="59354"/>
    <n v="2"/>
    <n v="53"/>
    <n v="233"/>
    <n v="2"/>
    <n v="53"/>
    <n v="3"/>
    <n v="5"/>
    <n v="14"/>
    <n v="310"/>
    <n v="3"/>
    <n v="6"/>
    <n v="1"/>
    <n v="5"/>
    <n v="6"/>
    <n v="0"/>
    <n v="0"/>
    <n v="0"/>
    <n v="0"/>
    <n v="0"/>
    <n v="0"/>
    <n v="0"/>
  </r>
  <r>
    <d v="2013-10-25T00:00:00"/>
    <n v="3276"/>
    <n v="1976"/>
    <x v="6"/>
    <s v="2n Cycle"/>
    <s v="Together"/>
    <n v="36301"/>
    <n v="1"/>
    <n v="53"/>
    <n v="11"/>
    <n v="12"/>
    <n v="35"/>
    <n v="3"/>
    <n v="5"/>
    <n v="12"/>
    <n v="78"/>
    <n v="1"/>
    <n v="3"/>
    <n v="0"/>
    <n v="3"/>
    <n v="7"/>
    <n v="0"/>
    <n v="0"/>
    <n v="0"/>
    <n v="0"/>
    <n v="0"/>
    <n v="0"/>
    <n v="0"/>
  </r>
  <r>
    <d v="2013-10-01T00:00:00"/>
    <n v="4994"/>
    <n v="1943"/>
    <x v="0"/>
    <s v="Master"/>
    <s v="Single"/>
    <n v="77598"/>
    <n v="0"/>
    <n v="53"/>
    <n v="1193"/>
    <n v="33"/>
    <n v="281"/>
    <n v="129"/>
    <n v="66"/>
    <n v="33"/>
    <n v="1735"/>
    <n v="1"/>
    <n v="7"/>
    <n v="5"/>
    <n v="13"/>
    <n v="3"/>
    <n v="0"/>
    <n v="0"/>
    <n v="1"/>
    <n v="0"/>
    <n v="0"/>
    <n v="0"/>
    <n v="0"/>
  </r>
  <r>
    <d v="2013-05-23T00:00:00"/>
    <n v="3598"/>
    <n v="1972"/>
    <x v="0"/>
    <s v="Graduation"/>
    <s v="Married"/>
    <n v="62710"/>
    <n v="1"/>
    <n v="53"/>
    <n v="441"/>
    <n v="35"/>
    <n v="83"/>
    <n v="7"/>
    <n v="29"/>
    <n v="11"/>
    <n v="606"/>
    <n v="4"/>
    <n v="4"/>
    <n v="2"/>
    <n v="12"/>
    <n v="4"/>
    <n v="0"/>
    <n v="0"/>
    <n v="0"/>
    <n v="0"/>
    <n v="0"/>
    <n v="0"/>
    <n v="0"/>
  </r>
  <r>
    <d v="2013-05-22T00:00:00"/>
    <n v="945"/>
    <n v="1965"/>
    <x v="0"/>
    <s v="Graduation"/>
    <s v="Together"/>
    <n v="36317"/>
    <n v="1"/>
    <n v="53"/>
    <n v="87"/>
    <n v="3"/>
    <n v="25"/>
    <n v="3"/>
    <n v="2"/>
    <n v="13"/>
    <n v="133"/>
    <n v="2"/>
    <n v="3"/>
    <n v="0"/>
    <n v="4"/>
    <n v="7"/>
    <n v="0"/>
    <n v="0"/>
    <n v="0"/>
    <n v="0"/>
    <n v="0"/>
    <n v="0"/>
    <n v="0"/>
  </r>
  <r>
    <d v="2013-05-11T00:00:00"/>
    <n v="5048"/>
    <n v="1971"/>
    <x v="6"/>
    <s v="PhD"/>
    <s v="Single"/>
    <n v="42767"/>
    <n v="2"/>
    <n v="53"/>
    <n v="20"/>
    <n v="6"/>
    <n v="43"/>
    <n v="19"/>
    <n v="5"/>
    <n v="38"/>
    <n v="131"/>
    <n v="1"/>
    <n v="3"/>
    <n v="1"/>
    <n v="2"/>
    <n v="8"/>
    <n v="0"/>
    <n v="0"/>
    <n v="0"/>
    <n v="0"/>
    <n v="0"/>
    <n v="0"/>
    <n v="0"/>
  </r>
  <r>
    <d v="2013-04-05T00:00:00"/>
    <n v="6214"/>
    <n v="1982"/>
    <x v="0"/>
    <s v="Master"/>
    <s v="Married"/>
    <n v="43815"/>
    <n v="1"/>
    <n v="53"/>
    <n v="14"/>
    <n v="10"/>
    <n v="29"/>
    <n v="4"/>
    <n v="7"/>
    <n v="15"/>
    <n v="79"/>
    <n v="1"/>
    <n v="2"/>
    <n v="0"/>
    <n v="3"/>
    <n v="6"/>
    <n v="0"/>
    <n v="0"/>
    <n v="0"/>
    <n v="0"/>
    <n v="0"/>
    <n v="0"/>
    <n v="0"/>
  </r>
  <r>
    <d v="2013-02-15T00:00:00"/>
    <n v="6230"/>
    <n v="1971"/>
    <x v="0"/>
    <s v="Graduation"/>
    <s v="Divorced"/>
    <n v="44421"/>
    <n v="2"/>
    <n v="53"/>
    <n v="110"/>
    <n v="5"/>
    <n v="59"/>
    <n v="7"/>
    <n v="1"/>
    <n v="7"/>
    <n v="189"/>
    <n v="5"/>
    <n v="5"/>
    <n v="0"/>
    <n v="4"/>
    <n v="8"/>
    <n v="0"/>
    <n v="0"/>
    <n v="0"/>
    <n v="0"/>
    <n v="0"/>
    <n v="0"/>
    <n v="0"/>
  </r>
  <r>
    <d v="2013-02-01T00:00:00"/>
    <n v="2968"/>
    <n v="1943"/>
    <x v="3"/>
    <s v="PhD"/>
    <s v="Divorced"/>
    <n v="48948"/>
    <n v="0"/>
    <n v="53"/>
    <n v="437"/>
    <n v="8"/>
    <n v="206"/>
    <n v="160"/>
    <n v="49"/>
    <n v="42"/>
    <n v="902"/>
    <n v="2"/>
    <n v="7"/>
    <n v="10"/>
    <n v="5"/>
    <n v="6"/>
    <n v="1"/>
    <n v="0"/>
    <n v="0"/>
    <n v="0"/>
    <n v="0"/>
    <n v="1"/>
    <n v="0"/>
  </r>
  <r>
    <d v="2013-02-01T00:00:00"/>
    <n v="8800"/>
    <n v="1943"/>
    <x v="6"/>
    <s v="PhD"/>
    <s v="Divorced"/>
    <n v="48948"/>
    <n v="0"/>
    <n v="53"/>
    <n v="437"/>
    <n v="8"/>
    <n v="206"/>
    <n v="160"/>
    <n v="49"/>
    <n v="42"/>
    <n v="902"/>
    <n v="2"/>
    <n v="7"/>
    <n v="10"/>
    <n v="5"/>
    <n v="6"/>
    <n v="1"/>
    <n v="0"/>
    <n v="0"/>
    <n v="0"/>
    <n v="0"/>
    <n v="1"/>
    <n v="0"/>
  </r>
  <r>
    <d v="2012-09-28T00:00:00"/>
    <n v="1907"/>
    <n v="1950"/>
    <x v="0"/>
    <s v="Master"/>
    <s v="Divorced"/>
    <n v="63120"/>
    <n v="1"/>
    <n v="53"/>
    <n v="965"/>
    <n v="69"/>
    <n v="279"/>
    <n v="54"/>
    <n v="41"/>
    <n v="69"/>
    <n v="1477"/>
    <n v="5"/>
    <n v="8"/>
    <n v="4"/>
    <n v="9"/>
    <n v="7"/>
    <n v="0"/>
    <n v="0"/>
    <n v="0"/>
    <n v="0"/>
    <n v="0"/>
    <n v="1"/>
    <n v="0"/>
  </r>
  <r>
    <d v="2012-09-27T00:00:00"/>
    <n v="10478"/>
    <n v="1950"/>
    <x v="6"/>
    <s v="PhD"/>
    <s v="Married"/>
    <n v="55517"/>
    <n v="2"/>
    <n v="53"/>
    <n v="483"/>
    <n v="0"/>
    <n v="108"/>
    <n v="0"/>
    <n v="6"/>
    <n v="36"/>
    <n v="633"/>
    <n v="5"/>
    <n v="11"/>
    <n v="1"/>
    <n v="6"/>
    <n v="9"/>
    <n v="0"/>
    <n v="0"/>
    <n v="0"/>
    <n v="0"/>
    <n v="0"/>
    <n v="1"/>
    <n v="0"/>
  </r>
  <r>
    <d v="2012-08-13T00:00:00"/>
    <n v="4188"/>
    <n v="1957"/>
    <x v="3"/>
    <s v="Graduation"/>
    <s v="Single"/>
    <n v="36864"/>
    <n v="1"/>
    <n v="53"/>
    <n v="204"/>
    <n v="5"/>
    <n v="39"/>
    <n v="17"/>
    <n v="0"/>
    <n v="89"/>
    <n v="354"/>
    <n v="3"/>
    <n v="5"/>
    <n v="2"/>
    <n v="4"/>
    <n v="8"/>
    <n v="0"/>
    <n v="0"/>
    <n v="0"/>
    <n v="0"/>
    <n v="0"/>
    <n v="1"/>
    <n v="0"/>
  </r>
  <r>
    <d v="2012-08-12T00:00:00"/>
    <n v="8720"/>
    <n v="1978"/>
    <x v="5"/>
    <s v="2n Cycle"/>
    <s v="Together"/>
    <n v="53790.45"/>
    <n v="0"/>
    <n v="53"/>
    <n v="32"/>
    <n v="2"/>
    <n v="1607"/>
    <n v="12"/>
    <n v="4"/>
    <n v="22"/>
    <n v="1679"/>
    <n v="0"/>
    <n v="0"/>
    <n v="0"/>
    <n v="1"/>
    <n v="0"/>
    <n v="0"/>
    <n v="1"/>
    <n v="0"/>
    <n v="0"/>
    <n v="0"/>
    <n v="0"/>
    <n v="0"/>
  </r>
  <r>
    <d v="2014-06-07T00:00:00"/>
    <n v="2225"/>
    <n v="1977"/>
    <x v="3"/>
    <s v="Graduation"/>
    <s v="Divorced"/>
    <n v="82582"/>
    <n v="0"/>
    <n v="54"/>
    <n v="510"/>
    <n v="120"/>
    <n v="550"/>
    <n v="156"/>
    <n v="40"/>
    <n v="241"/>
    <n v="1617"/>
    <n v="1"/>
    <n v="4"/>
    <n v="9"/>
    <n v="7"/>
    <n v="1"/>
    <n v="1"/>
    <n v="0"/>
    <n v="0"/>
    <n v="1"/>
    <n v="0"/>
    <n v="1"/>
    <n v="0"/>
  </r>
  <r>
    <d v="2014-06-02T00:00:00"/>
    <n v="4790"/>
    <n v="1958"/>
    <x v="0"/>
    <s v="Graduation"/>
    <s v="Divorced"/>
    <n v="79803"/>
    <n v="1"/>
    <n v="54"/>
    <n v="574"/>
    <n v="8"/>
    <n v="216"/>
    <n v="21"/>
    <n v="16"/>
    <n v="33"/>
    <n v="868"/>
    <n v="1"/>
    <n v="4"/>
    <n v="3"/>
    <n v="5"/>
    <n v="1"/>
    <n v="0"/>
    <n v="0"/>
    <n v="0"/>
    <n v="0"/>
    <n v="0"/>
    <n v="0"/>
    <n v="0"/>
  </r>
  <r>
    <d v="2014-04-05T00:00:00"/>
    <n v="1131"/>
    <n v="1967"/>
    <x v="6"/>
    <s v="PhD"/>
    <s v="Single"/>
    <n v="52569"/>
    <n v="1"/>
    <n v="54"/>
    <n v="85"/>
    <n v="0"/>
    <n v="3"/>
    <n v="0"/>
    <n v="0"/>
    <n v="7"/>
    <n v="95"/>
    <n v="1"/>
    <n v="2"/>
    <n v="0"/>
    <n v="4"/>
    <n v="3"/>
    <n v="0"/>
    <n v="0"/>
    <n v="0"/>
    <n v="0"/>
    <n v="0"/>
    <n v="0"/>
    <n v="0"/>
  </r>
  <r>
    <d v="2014-04-05T00:00:00"/>
    <n v="202"/>
    <n v="1948"/>
    <x v="5"/>
    <s v="PhD"/>
    <s v="Widow"/>
    <n v="82032"/>
    <n v="0"/>
    <n v="54"/>
    <n v="332"/>
    <n v="194"/>
    <n v="377"/>
    <n v="149"/>
    <n v="125"/>
    <n v="57"/>
    <n v="1234"/>
    <n v="0"/>
    <n v="4"/>
    <n v="6"/>
    <n v="7"/>
    <n v="1"/>
    <n v="0"/>
    <n v="0"/>
    <n v="0"/>
    <n v="0"/>
    <n v="0"/>
    <n v="0"/>
    <n v="0"/>
  </r>
  <r>
    <d v="2014-04-05T00:00:00"/>
    <n v="9589"/>
    <n v="1948"/>
    <x v="5"/>
    <s v="PhD"/>
    <s v="Widow"/>
    <n v="82032"/>
    <n v="0"/>
    <n v="54"/>
    <n v="332"/>
    <n v="194"/>
    <n v="377"/>
    <n v="149"/>
    <n v="125"/>
    <n v="57"/>
    <n v="1234"/>
    <n v="0"/>
    <n v="4"/>
    <n v="6"/>
    <n v="7"/>
    <n v="1"/>
    <n v="0"/>
    <n v="0"/>
    <n v="0"/>
    <n v="0"/>
    <n v="0"/>
    <n v="0"/>
    <n v="0"/>
  </r>
  <r>
    <d v="2014-03-29T00:00:00"/>
    <n v="3900"/>
    <n v="1972"/>
    <x v="1"/>
    <s v="Graduation"/>
    <s v="Married"/>
    <n v="65685"/>
    <n v="1"/>
    <n v="54"/>
    <n v="642"/>
    <n v="14"/>
    <n v="49"/>
    <n v="0"/>
    <n v="7"/>
    <n v="57"/>
    <n v="769"/>
    <n v="1"/>
    <n v="9"/>
    <n v="2"/>
    <n v="9"/>
    <n v="5"/>
    <n v="0"/>
    <n v="0"/>
    <n v="0"/>
    <n v="0"/>
    <n v="0"/>
    <n v="0"/>
    <n v="0"/>
  </r>
  <r>
    <d v="2014-03-29T00:00:00"/>
    <n v="9958"/>
    <n v="1972"/>
    <x v="3"/>
    <s v="Graduation"/>
    <s v="Married"/>
    <n v="65685"/>
    <n v="1"/>
    <n v="54"/>
    <n v="642"/>
    <n v="14"/>
    <n v="49"/>
    <n v="0"/>
    <n v="7"/>
    <n v="57"/>
    <n v="769"/>
    <n v="1"/>
    <n v="9"/>
    <n v="2"/>
    <n v="9"/>
    <n v="5"/>
    <n v="0"/>
    <n v="0"/>
    <n v="0"/>
    <n v="0"/>
    <n v="0"/>
    <n v="0"/>
    <n v="0"/>
  </r>
  <r>
    <d v="2014-02-16T00:00:00"/>
    <n v="8955"/>
    <n v="1957"/>
    <x v="0"/>
    <s v="PhD"/>
    <s v="Together"/>
    <n v="40451"/>
    <n v="2"/>
    <n v="54"/>
    <n v="35"/>
    <n v="0"/>
    <n v="4"/>
    <n v="0"/>
    <n v="0"/>
    <n v="10"/>
    <n v="49"/>
    <n v="1"/>
    <n v="1"/>
    <n v="1"/>
    <n v="2"/>
    <n v="5"/>
    <n v="1"/>
    <n v="0"/>
    <n v="0"/>
    <n v="0"/>
    <n v="0"/>
    <n v="0"/>
    <n v="0"/>
  </r>
  <r>
    <d v="2014-02-13T00:00:00"/>
    <n v="10033"/>
    <n v="1973"/>
    <x v="4"/>
    <s v="2n Cycle"/>
    <s v="Divorced"/>
    <n v="31163"/>
    <n v="1"/>
    <n v="54"/>
    <n v="2"/>
    <n v="3"/>
    <n v="10"/>
    <n v="11"/>
    <n v="2"/>
    <n v="10"/>
    <n v="38"/>
    <n v="1"/>
    <n v="1"/>
    <n v="0"/>
    <n v="3"/>
    <n v="6"/>
    <n v="0"/>
    <n v="0"/>
    <n v="0"/>
    <n v="0"/>
    <n v="0"/>
    <n v="0"/>
    <n v="0"/>
  </r>
  <r>
    <d v="2014-02-13T00:00:00"/>
    <n v="5751"/>
    <n v="1973"/>
    <x v="1"/>
    <s v="2n Cycle"/>
    <s v="Divorced"/>
    <n v="31163"/>
    <n v="1"/>
    <n v="54"/>
    <n v="2"/>
    <n v="3"/>
    <n v="10"/>
    <n v="11"/>
    <n v="2"/>
    <n v="10"/>
    <n v="38"/>
    <n v="1"/>
    <n v="1"/>
    <n v="0"/>
    <n v="3"/>
    <n v="6"/>
    <n v="0"/>
    <n v="0"/>
    <n v="0"/>
    <n v="0"/>
    <n v="0"/>
    <n v="0"/>
    <n v="0"/>
  </r>
  <r>
    <d v="2014-01-03T00:00:00"/>
    <n v="3308"/>
    <n v="1952"/>
    <x v="6"/>
    <s v="Graduation"/>
    <s v="Married"/>
    <n v="35704"/>
    <n v="2"/>
    <n v="54"/>
    <n v="30"/>
    <n v="9"/>
    <n v="12"/>
    <n v="2"/>
    <n v="11"/>
    <n v="30"/>
    <n v="94"/>
    <n v="3"/>
    <n v="2"/>
    <n v="0"/>
    <n v="4"/>
    <n v="4"/>
    <n v="0"/>
    <n v="0"/>
    <n v="0"/>
    <n v="0"/>
    <n v="0"/>
    <n v="0"/>
    <n v="0"/>
  </r>
  <r>
    <d v="2013-12-26T00:00:00"/>
    <n v="7297"/>
    <n v="1973"/>
    <x v="6"/>
    <s v="Graduation"/>
    <s v="Single"/>
    <n v="7500"/>
    <n v="1"/>
    <n v="54"/>
    <n v="5"/>
    <n v="3"/>
    <n v="10"/>
    <n v="12"/>
    <n v="7"/>
    <n v="20"/>
    <n v="57"/>
    <n v="4"/>
    <n v="3"/>
    <n v="1"/>
    <n v="3"/>
    <n v="7"/>
    <n v="0"/>
    <n v="0"/>
    <n v="0"/>
    <n v="0"/>
    <n v="0"/>
    <n v="0"/>
    <n v="0"/>
  </r>
  <r>
    <d v="2013-12-09T00:00:00"/>
    <n v="8008"/>
    <n v="1983"/>
    <x v="0"/>
    <s v="Graduation"/>
    <s v="Together"/>
    <n v="36075"/>
    <n v="1"/>
    <n v="54"/>
    <n v="46"/>
    <n v="0"/>
    <n v="30"/>
    <n v="12"/>
    <n v="1"/>
    <n v="30"/>
    <n v="119"/>
    <n v="1"/>
    <n v="2"/>
    <n v="0"/>
    <n v="4"/>
    <n v="6"/>
    <n v="0"/>
    <n v="0"/>
    <n v="0"/>
    <n v="0"/>
    <n v="0"/>
    <n v="0"/>
    <n v="0"/>
  </r>
  <r>
    <d v="2013-10-25T00:00:00"/>
    <n v="1232"/>
    <n v="1982"/>
    <x v="4"/>
    <s v="PhD"/>
    <s v="Together"/>
    <n v="70038"/>
    <n v="0"/>
    <n v="54"/>
    <n v="587"/>
    <n v="54"/>
    <n v="348"/>
    <n v="71"/>
    <n v="54"/>
    <n v="130"/>
    <n v="1244"/>
    <n v="1"/>
    <n v="4"/>
    <n v="4"/>
    <n v="8"/>
    <n v="2"/>
    <n v="0"/>
    <n v="0"/>
    <n v="0"/>
    <n v="0"/>
    <n v="0"/>
    <n v="0"/>
    <n v="0"/>
  </r>
  <r>
    <d v="2013-10-25T00:00:00"/>
    <n v="2345"/>
    <n v="1982"/>
    <x v="3"/>
    <s v="PhD"/>
    <s v="Together"/>
    <n v="70038"/>
    <n v="0"/>
    <n v="54"/>
    <n v="587"/>
    <n v="54"/>
    <n v="348"/>
    <n v="71"/>
    <n v="54"/>
    <n v="130"/>
    <n v="1244"/>
    <n v="1"/>
    <n v="4"/>
    <n v="4"/>
    <n v="8"/>
    <n v="2"/>
    <n v="0"/>
    <n v="0"/>
    <n v="0"/>
    <n v="0"/>
    <n v="0"/>
    <n v="0"/>
    <n v="0"/>
  </r>
  <r>
    <d v="2013-10-24T00:00:00"/>
    <n v="1628"/>
    <n v="1971"/>
    <x v="6"/>
    <s v="Graduation"/>
    <s v="Together"/>
    <n v="71796"/>
    <n v="0"/>
    <n v="54"/>
    <n v="354"/>
    <n v="21"/>
    <n v="311"/>
    <n v="167"/>
    <n v="75"/>
    <n v="32"/>
    <n v="960"/>
    <n v="1"/>
    <n v="9"/>
    <n v="3"/>
    <n v="4"/>
    <n v="4"/>
    <n v="0"/>
    <n v="0"/>
    <n v="0"/>
    <n v="0"/>
    <n v="0"/>
    <n v="0"/>
    <n v="0"/>
  </r>
  <r>
    <d v="2013-10-20T00:00:00"/>
    <n v="5081"/>
    <n v="1967"/>
    <x v="0"/>
    <s v="2n Cycle"/>
    <s v="Together"/>
    <n v="47821"/>
    <n v="2"/>
    <n v="54"/>
    <n v="9"/>
    <n v="0"/>
    <n v="16"/>
    <n v="6"/>
    <n v="6"/>
    <n v="10"/>
    <n v="47"/>
    <n v="1"/>
    <n v="1"/>
    <n v="0"/>
    <n v="3"/>
    <n v="8"/>
    <n v="0"/>
    <n v="0"/>
    <n v="0"/>
    <n v="0"/>
    <n v="0"/>
    <n v="0"/>
    <n v="0"/>
  </r>
  <r>
    <d v="2013-09-25T00:00:00"/>
    <n v="839"/>
    <n v="1975"/>
    <x v="0"/>
    <s v="PhD"/>
    <s v="Married"/>
    <n v="45503"/>
    <n v="1"/>
    <n v="54"/>
    <n v="97"/>
    <n v="4"/>
    <n v="44"/>
    <n v="6"/>
    <n v="1"/>
    <n v="18"/>
    <n v="170"/>
    <n v="1"/>
    <n v="3"/>
    <n v="1"/>
    <n v="4"/>
    <n v="5"/>
    <n v="0"/>
    <n v="0"/>
    <n v="0"/>
    <n v="0"/>
    <n v="0"/>
    <n v="0"/>
    <n v="0"/>
  </r>
  <r>
    <d v="2013-08-21T00:00:00"/>
    <n v="3706"/>
    <n v="1978"/>
    <x v="0"/>
    <s v="Graduation"/>
    <s v="Single"/>
    <n v="28647"/>
    <n v="1"/>
    <n v="54"/>
    <n v="19"/>
    <n v="8"/>
    <n v="29"/>
    <n v="0"/>
    <n v="12"/>
    <n v="26"/>
    <n v="94"/>
    <n v="1"/>
    <n v="2"/>
    <n v="2"/>
    <n v="2"/>
    <n v="7"/>
    <n v="1"/>
    <n v="0"/>
    <n v="0"/>
    <n v="0"/>
    <n v="0"/>
    <n v="1"/>
    <n v="0"/>
  </r>
  <r>
    <d v="2013-08-11T00:00:00"/>
    <n v="5154"/>
    <n v="1972"/>
    <x v="0"/>
    <s v="Master"/>
    <s v="Divorced"/>
    <n v="37760"/>
    <n v="1"/>
    <n v="54"/>
    <n v="26"/>
    <n v="3"/>
    <n v="13"/>
    <n v="2"/>
    <n v="10"/>
    <n v="0"/>
    <n v="54"/>
    <n v="1"/>
    <n v="2"/>
    <n v="0"/>
    <n v="3"/>
    <n v="6"/>
    <n v="0"/>
    <n v="0"/>
    <n v="0"/>
    <n v="0"/>
    <n v="0"/>
    <n v="0"/>
    <n v="0"/>
  </r>
  <r>
    <d v="2013-06-08T00:00:00"/>
    <n v="8584"/>
    <n v="1952"/>
    <x v="0"/>
    <s v="PhD"/>
    <s v="Together"/>
    <n v="85431"/>
    <n v="0"/>
    <n v="54"/>
    <n v="376"/>
    <n v="53"/>
    <n v="462"/>
    <n v="168"/>
    <n v="53"/>
    <n v="53"/>
    <n v="1165"/>
    <n v="1"/>
    <n v="2"/>
    <n v="7"/>
    <n v="7"/>
    <n v="0"/>
    <n v="0"/>
    <n v="0"/>
    <n v="0"/>
    <n v="0"/>
    <n v="0"/>
    <n v="0"/>
    <n v="0"/>
  </r>
  <r>
    <d v="2013-06-03T00:00:00"/>
    <n v="6583"/>
    <n v="1955"/>
    <x v="0"/>
    <s v="2n Cycle"/>
    <s v="Married"/>
    <n v="72635"/>
    <n v="0"/>
    <n v="54"/>
    <n v="390"/>
    <n v="22"/>
    <n v="323"/>
    <n v="104"/>
    <n v="35"/>
    <n v="107"/>
    <n v="981"/>
    <n v="1"/>
    <n v="6"/>
    <n v="8"/>
    <n v="6"/>
    <n v="3"/>
    <n v="0"/>
    <n v="0"/>
    <n v="0"/>
    <n v="1"/>
    <n v="0"/>
    <n v="0"/>
    <n v="0"/>
  </r>
  <r>
    <d v="2013-06-03T00:00:00"/>
    <n v="3433"/>
    <n v="1955"/>
    <x v="0"/>
    <s v="2n Cycle"/>
    <s v="Married"/>
    <n v="72635"/>
    <n v="0"/>
    <n v="54"/>
    <n v="390"/>
    <n v="22"/>
    <n v="323"/>
    <n v="104"/>
    <n v="35"/>
    <n v="107"/>
    <n v="981"/>
    <n v="1"/>
    <n v="6"/>
    <n v="8"/>
    <n v="6"/>
    <n v="3"/>
    <n v="0"/>
    <n v="0"/>
    <n v="0"/>
    <n v="1"/>
    <n v="0"/>
    <n v="0"/>
    <n v="0"/>
  </r>
  <r>
    <d v="2013-05-29T00:00:00"/>
    <n v="10486"/>
    <n v="1948"/>
    <x v="0"/>
    <s v="Graduation"/>
    <s v="Married"/>
    <n v="77142"/>
    <n v="0"/>
    <n v="54"/>
    <n v="476"/>
    <n v="75"/>
    <n v="162"/>
    <n v="29"/>
    <n v="151"/>
    <n v="97"/>
    <n v="990"/>
    <n v="1"/>
    <n v="4"/>
    <n v="4"/>
    <n v="8"/>
    <n v="2"/>
    <n v="0"/>
    <n v="0"/>
    <n v="0"/>
    <n v="0"/>
    <n v="0"/>
    <n v="0"/>
    <n v="0"/>
  </r>
  <r>
    <d v="2013-05-06T00:00:00"/>
    <n v="8687"/>
    <n v="1978"/>
    <x v="5"/>
    <s v="Graduation"/>
    <s v="Together"/>
    <n v="53172"/>
    <n v="1"/>
    <n v="54"/>
    <n v="121"/>
    <n v="62"/>
    <n v="90"/>
    <n v="68"/>
    <n v="20"/>
    <n v="125"/>
    <n v="486"/>
    <n v="3"/>
    <n v="2"/>
    <n v="3"/>
    <n v="8"/>
    <n v="3"/>
    <n v="0"/>
    <n v="0"/>
    <n v="0"/>
    <n v="0"/>
    <n v="0"/>
    <n v="0"/>
    <n v="0"/>
  </r>
  <r>
    <d v="2013-03-31T00:00:00"/>
    <n v="7842"/>
    <n v="1968"/>
    <x v="0"/>
    <s v="Graduation"/>
    <s v="Single"/>
    <n v="36065"/>
    <n v="2"/>
    <n v="54"/>
    <n v="18"/>
    <n v="7"/>
    <n v="34"/>
    <n v="10"/>
    <n v="2"/>
    <n v="3"/>
    <n v="74"/>
    <n v="3"/>
    <n v="3"/>
    <n v="0"/>
    <n v="3"/>
    <n v="8"/>
    <n v="0"/>
    <n v="0"/>
    <n v="0"/>
    <n v="0"/>
    <n v="0"/>
    <n v="0"/>
    <n v="0"/>
  </r>
  <r>
    <d v="2013-03-02T00:00:00"/>
    <n v="3749"/>
    <n v="1973"/>
    <x v="1"/>
    <s v="Graduation"/>
    <s v="Together"/>
    <n v="73926"/>
    <n v="0"/>
    <n v="54"/>
    <n v="627"/>
    <n v="91"/>
    <n v="597"/>
    <n v="159"/>
    <n v="91"/>
    <n v="15"/>
    <n v="1580"/>
    <n v="1"/>
    <n v="6"/>
    <n v="5"/>
    <n v="12"/>
    <n v="3"/>
    <n v="0"/>
    <n v="0"/>
    <n v="0"/>
    <n v="0"/>
    <n v="0"/>
    <n v="0"/>
    <n v="0"/>
  </r>
  <r>
    <d v="2013-01-02T00:00:00"/>
    <n v="1331"/>
    <n v="1977"/>
    <x v="3"/>
    <s v="Graduation"/>
    <s v="Single"/>
    <n v="35790"/>
    <n v="1"/>
    <n v="54"/>
    <n v="12"/>
    <n v="6"/>
    <n v="20"/>
    <n v="30"/>
    <n v="1"/>
    <n v="3"/>
    <n v="72"/>
    <n v="2"/>
    <n v="2"/>
    <n v="0"/>
    <n v="3"/>
    <n v="7"/>
    <n v="0"/>
    <n v="0"/>
    <n v="0"/>
    <n v="0"/>
    <n v="0"/>
    <n v="0"/>
    <n v="0"/>
  </r>
  <r>
    <d v="2012-12-18T00:00:00"/>
    <n v="5995"/>
    <n v="1962"/>
    <x v="0"/>
    <s v="Graduation"/>
    <s v="Divorced"/>
    <n v="39552"/>
    <n v="2"/>
    <n v="54"/>
    <n v="165"/>
    <n v="3"/>
    <n v="147"/>
    <n v="4"/>
    <n v="24"/>
    <n v="41"/>
    <n v="384"/>
    <n v="7"/>
    <n v="6"/>
    <n v="2"/>
    <n v="5"/>
    <n v="8"/>
    <n v="0"/>
    <n v="0"/>
    <n v="0"/>
    <n v="0"/>
    <n v="0"/>
    <n v="1"/>
    <n v="0"/>
  </r>
  <r>
    <d v="2012-11-04T00:00:00"/>
    <n v="8985"/>
    <n v="1964"/>
    <x v="0"/>
    <s v="2n Cycle"/>
    <s v="Together"/>
    <n v="68316"/>
    <n v="1"/>
    <n v="54"/>
    <n v="806"/>
    <n v="80"/>
    <n v="161"/>
    <n v="120"/>
    <n v="11"/>
    <n v="33"/>
    <n v="1211"/>
    <n v="5"/>
    <n v="10"/>
    <n v="7"/>
    <n v="10"/>
    <n v="6"/>
    <n v="0"/>
    <n v="0"/>
    <n v="0"/>
    <n v="0"/>
    <n v="0"/>
    <n v="0"/>
    <n v="0"/>
  </r>
  <r>
    <d v="2012-11-02T00:00:00"/>
    <n v="2798"/>
    <n v="1977"/>
    <x v="6"/>
    <s v="PhD"/>
    <s v="Together"/>
    <n v="102160"/>
    <n v="0"/>
    <n v="54"/>
    <n v="763"/>
    <n v="29"/>
    <n v="138"/>
    <n v="76"/>
    <n v="176"/>
    <n v="58"/>
    <n v="1240"/>
    <n v="0"/>
    <n v="7"/>
    <n v="9"/>
    <n v="10"/>
    <n v="4"/>
    <n v="0"/>
    <n v="1"/>
    <n v="1"/>
    <n v="1"/>
    <n v="0"/>
    <n v="1"/>
    <n v="0"/>
  </r>
  <r>
    <d v="2012-09-08T00:00:00"/>
    <n v="7108"/>
    <n v="1965"/>
    <x v="6"/>
    <s v="Master"/>
    <s v="Widow"/>
    <n v="51390"/>
    <n v="2"/>
    <n v="54"/>
    <n v="205"/>
    <n v="20"/>
    <n v="47"/>
    <n v="23"/>
    <n v="2"/>
    <n v="56"/>
    <n v="353"/>
    <n v="6"/>
    <n v="5"/>
    <n v="2"/>
    <n v="5"/>
    <n v="5"/>
    <n v="0"/>
    <n v="0"/>
    <n v="0"/>
    <n v="0"/>
    <n v="0"/>
    <n v="0"/>
    <n v="0"/>
  </r>
  <r>
    <d v="2014-06-23T00:00:00"/>
    <n v="2781"/>
    <n v="1981"/>
    <x v="6"/>
    <s v="Graduation"/>
    <s v="Single"/>
    <n v="72066"/>
    <n v="0"/>
    <n v="55"/>
    <n v="1003"/>
    <n v="34"/>
    <n v="536"/>
    <n v="134"/>
    <n v="51"/>
    <n v="34"/>
    <n v="1792"/>
    <n v="1"/>
    <n v="4"/>
    <n v="6"/>
    <n v="6"/>
    <n v="2"/>
    <n v="0"/>
    <n v="0"/>
    <n v="1"/>
    <n v="1"/>
    <n v="0"/>
    <n v="1"/>
    <n v="0"/>
  </r>
  <r>
    <d v="2014-06-11T00:00:00"/>
    <n v="3623"/>
    <n v="1976"/>
    <x v="5"/>
    <s v="Graduation"/>
    <s v="Together"/>
    <n v="21675"/>
    <n v="1"/>
    <n v="55"/>
    <n v="4"/>
    <n v="0"/>
    <n v="16"/>
    <n v="17"/>
    <n v="4"/>
    <n v="4"/>
    <n v="45"/>
    <n v="3"/>
    <n v="4"/>
    <n v="0"/>
    <n v="3"/>
    <n v="7"/>
    <n v="0"/>
    <n v="0"/>
    <n v="0"/>
    <n v="0"/>
    <n v="0"/>
    <n v="0"/>
    <n v="0"/>
  </r>
  <r>
    <d v="2014-06-09T00:00:00"/>
    <n v="194"/>
    <n v="1965"/>
    <x v="0"/>
    <s v="Graduation"/>
    <s v="Married"/>
    <n v="48006"/>
    <n v="2"/>
    <n v="55"/>
    <n v="23"/>
    <n v="0"/>
    <n v="11"/>
    <n v="3"/>
    <n v="2"/>
    <n v="2"/>
    <n v="41"/>
    <n v="1"/>
    <n v="1"/>
    <n v="0"/>
    <n v="3"/>
    <n v="6"/>
    <n v="0"/>
    <n v="0"/>
    <n v="0"/>
    <n v="0"/>
    <n v="0"/>
    <n v="0"/>
    <n v="0"/>
  </r>
  <r>
    <d v="2014-05-24T00:00:00"/>
    <n v="10833"/>
    <n v="1975"/>
    <x v="0"/>
    <s v="Graduation"/>
    <s v="Married"/>
    <n v="65106"/>
    <n v="1"/>
    <n v="55"/>
    <n v="790"/>
    <n v="19"/>
    <n v="133"/>
    <n v="12"/>
    <n v="0"/>
    <n v="19"/>
    <n v="973"/>
    <n v="3"/>
    <n v="8"/>
    <n v="3"/>
    <n v="13"/>
    <n v="6"/>
    <n v="0"/>
    <n v="1"/>
    <n v="0"/>
    <n v="0"/>
    <n v="0"/>
    <n v="0"/>
    <n v="0"/>
  </r>
  <r>
    <d v="2014-04-20T00:00:00"/>
    <n v="2315"/>
    <n v="1960"/>
    <x v="0"/>
    <s v="Graduation"/>
    <s v="Divorced"/>
    <n v="58401"/>
    <n v="1"/>
    <n v="55"/>
    <n v="10"/>
    <n v="0"/>
    <n v="11"/>
    <n v="17"/>
    <n v="29"/>
    <n v="29"/>
    <n v="96"/>
    <n v="1"/>
    <n v="1"/>
    <n v="2"/>
    <n v="2"/>
    <n v="4"/>
    <n v="0"/>
    <n v="0"/>
    <n v="0"/>
    <n v="0"/>
    <n v="0"/>
    <n v="0"/>
    <n v="0"/>
  </r>
  <r>
    <d v="2014-04-06T00:00:00"/>
    <n v="6336"/>
    <n v="1960"/>
    <x v="6"/>
    <s v="Graduation"/>
    <s v="Married"/>
    <n v="29315"/>
    <n v="2"/>
    <n v="55"/>
    <n v="13"/>
    <n v="2"/>
    <n v="14"/>
    <n v="8"/>
    <n v="7"/>
    <n v="4"/>
    <n v="48"/>
    <n v="4"/>
    <n v="2"/>
    <n v="0"/>
    <n v="4"/>
    <n v="6"/>
    <n v="0"/>
    <n v="0"/>
    <n v="0"/>
    <n v="0"/>
    <n v="0"/>
    <n v="0"/>
    <n v="0"/>
  </r>
  <r>
    <d v="2013-08-29T00:00:00"/>
    <n v="10738"/>
    <n v="1951"/>
    <x v="3"/>
    <s v="Master"/>
    <s v="Single"/>
    <n v="49389"/>
    <n v="2"/>
    <n v="55"/>
    <n v="40"/>
    <n v="0"/>
    <n v="19"/>
    <n v="2"/>
    <n v="1"/>
    <n v="3"/>
    <n v="65"/>
    <n v="1"/>
    <n v="2"/>
    <n v="0"/>
    <n v="3"/>
    <n v="7"/>
    <n v="0"/>
    <n v="0"/>
    <n v="0"/>
    <n v="0"/>
    <n v="0"/>
    <n v="0"/>
    <n v="0"/>
  </r>
  <r>
    <d v="2013-08-20T00:00:00"/>
    <n v="8286"/>
    <n v="1965"/>
    <x v="6"/>
    <s v="PhD"/>
    <s v="Together"/>
    <n v="51717"/>
    <n v="1"/>
    <n v="55"/>
    <n v="98"/>
    <n v="1"/>
    <n v="17"/>
    <n v="0"/>
    <n v="1"/>
    <n v="5"/>
    <n v="122"/>
    <n v="1"/>
    <n v="3"/>
    <n v="0"/>
    <n v="4"/>
    <n v="7"/>
    <n v="0"/>
    <n v="1"/>
    <n v="0"/>
    <n v="0"/>
    <n v="0"/>
    <n v="0"/>
    <n v="0"/>
  </r>
  <r>
    <d v="2013-07-12T00:00:00"/>
    <n v="2166"/>
    <n v="1960"/>
    <x v="6"/>
    <s v="2n Cycle"/>
    <s v="Widow"/>
    <n v="46779"/>
    <n v="2"/>
    <n v="55"/>
    <n v="12"/>
    <n v="1"/>
    <n v="3"/>
    <n v="0"/>
    <n v="0"/>
    <n v="7"/>
    <n v="23"/>
    <n v="1"/>
    <n v="0"/>
    <n v="1"/>
    <n v="2"/>
    <n v="4"/>
    <n v="0"/>
    <n v="0"/>
    <n v="0"/>
    <n v="0"/>
    <n v="0"/>
    <n v="0"/>
    <n v="0"/>
  </r>
  <r>
    <d v="2013-06-14T00:00:00"/>
    <n v="10691"/>
    <n v="1960"/>
    <x v="0"/>
    <s v="Master"/>
    <s v="Married"/>
    <n v="28520"/>
    <n v="2"/>
    <n v="55"/>
    <n v="11"/>
    <n v="0"/>
    <n v="10"/>
    <n v="0"/>
    <n v="2"/>
    <n v="20"/>
    <n v="43"/>
    <n v="1"/>
    <n v="1"/>
    <n v="1"/>
    <n v="2"/>
    <n v="6"/>
    <n v="0"/>
    <n v="0"/>
    <n v="0"/>
    <n v="0"/>
    <n v="0"/>
    <n v="0"/>
    <n v="0"/>
  </r>
  <r>
    <d v="2013-01-19T00:00:00"/>
    <n v="9739"/>
    <n v="1963"/>
    <x v="0"/>
    <s v="Graduation"/>
    <s v="Single"/>
    <n v="34377"/>
    <n v="1"/>
    <n v="55"/>
    <n v="62"/>
    <n v="0"/>
    <n v="22"/>
    <n v="3"/>
    <n v="1"/>
    <n v="26"/>
    <n v="114"/>
    <n v="2"/>
    <n v="2"/>
    <n v="2"/>
    <n v="2"/>
    <n v="7"/>
    <n v="0"/>
    <n v="0"/>
    <n v="0"/>
    <n v="0"/>
    <n v="0"/>
    <n v="0"/>
    <n v="0"/>
  </r>
  <r>
    <d v="2013-01-19T00:00:00"/>
    <n v="1829"/>
    <n v="1961"/>
    <x v="0"/>
    <s v="PhD"/>
    <s v="Divorced"/>
    <n v="54959"/>
    <n v="1"/>
    <n v="55"/>
    <n v="1148"/>
    <n v="0"/>
    <n v="60"/>
    <n v="0"/>
    <n v="0"/>
    <n v="24"/>
    <n v="1232"/>
    <n v="3"/>
    <n v="9"/>
    <n v="5"/>
    <n v="4"/>
    <n v="7"/>
    <n v="0"/>
    <n v="1"/>
    <n v="0"/>
    <n v="0"/>
    <n v="0"/>
    <n v="1"/>
    <n v="0"/>
  </r>
  <r>
    <d v="2012-11-19T00:00:00"/>
    <n v="6260"/>
    <n v="1955"/>
    <x v="3"/>
    <s v="Master"/>
    <s v="Together"/>
    <n v="82384"/>
    <n v="0"/>
    <n v="55"/>
    <n v="984"/>
    <n v="51"/>
    <n v="432"/>
    <n v="180"/>
    <n v="120"/>
    <n v="190"/>
    <n v="1957"/>
    <n v="1"/>
    <n v="3"/>
    <n v="10"/>
    <n v="13"/>
    <n v="1"/>
    <n v="0"/>
    <n v="0"/>
    <n v="1"/>
    <n v="0"/>
    <n v="0"/>
    <n v="1"/>
    <n v="0"/>
  </r>
  <r>
    <d v="2012-10-22T00:00:00"/>
    <n v="10448"/>
    <n v="1956"/>
    <x v="0"/>
    <s v="Graduation"/>
    <s v="Single"/>
    <n v="46998"/>
    <n v="1"/>
    <n v="55"/>
    <n v="172"/>
    <n v="41"/>
    <n v="86"/>
    <n v="45"/>
    <n v="6"/>
    <n v="27"/>
    <n v="377"/>
    <n v="5"/>
    <n v="5"/>
    <n v="3"/>
    <n v="5"/>
    <n v="7"/>
    <n v="1"/>
    <n v="0"/>
    <n v="0"/>
    <n v="0"/>
    <n v="0"/>
    <n v="0"/>
    <n v="0"/>
  </r>
  <r>
    <d v="2012-09-26T00:00:00"/>
    <n v="1343"/>
    <n v="1968"/>
    <x v="2"/>
    <s v="Graduation"/>
    <s v="Together"/>
    <n v="58554"/>
    <n v="2"/>
    <n v="55"/>
    <n v="368"/>
    <n v="24"/>
    <n v="68"/>
    <n v="38"/>
    <n v="0"/>
    <n v="88"/>
    <n v="586"/>
    <n v="6"/>
    <n v="8"/>
    <n v="2"/>
    <n v="6"/>
    <n v="7"/>
    <n v="0"/>
    <n v="0"/>
    <n v="0"/>
    <n v="0"/>
    <n v="0"/>
    <n v="0"/>
    <n v="0"/>
  </r>
  <r>
    <d v="2012-09-26T00:00:00"/>
    <n v="4749"/>
    <n v="1968"/>
    <x v="5"/>
    <s v="Graduation"/>
    <s v="Together"/>
    <n v="58554"/>
    <n v="2"/>
    <n v="55"/>
    <n v="368"/>
    <n v="24"/>
    <n v="68"/>
    <n v="38"/>
    <n v="0"/>
    <n v="88"/>
    <n v="586"/>
    <n v="6"/>
    <n v="8"/>
    <n v="2"/>
    <n v="6"/>
    <n v="7"/>
    <n v="0"/>
    <n v="0"/>
    <n v="0"/>
    <n v="0"/>
    <n v="0"/>
    <n v="0"/>
    <n v="0"/>
  </r>
  <r>
    <d v="2012-09-22T00:00:00"/>
    <n v="531"/>
    <n v="1954"/>
    <x v="0"/>
    <s v="PhD"/>
    <s v="Divorced"/>
    <n v="57333"/>
    <n v="1"/>
    <n v="55"/>
    <n v="941"/>
    <n v="14"/>
    <n v="397"/>
    <n v="76"/>
    <n v="58"/>
    <n v="176"/>
    <n v="1662"/>
    <n v="11"/>
    <n v="8"/>
    <n v="5"/>
    <n v="9"/>
    <n v="6"/>
    <n v="0"/>
    <n v="0"/>
    <n v="0"/>
    <n v="0"/>
    <n v="0"/>
    <n v="1"/>
    <n v="0"/>
  </r>
  <r>
    <d v="2012-08-22T00:00:00"/>
    <n v="6905"/>
    <n v="1994"/>
    <x v="0"/>
    <s v="Graduation"/>
    <s v="Together"/>
    <n v="80685"/>
    <n v="0"/>
    <n v="55"/>
    <n v="241"/>
    <n v="45"/>
    <n v="604"/>
    <n v="34"/>
    <n v="26"/>
    <n v="54"/>
    <n v="1004"/>
    <n v="1"/>
    <n v="6"/>
    <n v="4"/>
    <n v="10"/>
    <n v="2"/>
    <n v="0"/>
    <n v="0"/>
    <n v="0"/>
    <n v="0"/>
    <n v="0"/>
    <n v="0"/>
    <n v="0"/>
  </r>
  <r>
    <d v="2012-08-16T00:00:00"/>
    <n v="1045"/>
    <n v="1965"/>
    <x v="0"/>
    <s v="Graduation"/>
    <s v="Together"/>
    <n v="52117"/>
    <n v="1"/>
    <n v="55"/>
    <n v="112"/>
    <n v="10"/>
    <n v="107"/>
    <n v="30"/>
    <n v="0"/>
    <n v="20"/>
    <n v="279"/>
    <n v="2"/>
    <n v="5"/>
    <n v="2"/>
    <n v="4"/>
    <n v="7"/>
    <n v="0"/>
    <n v="0"/>
    <n v="0"/>
    <n v="0"/>
    <n v="0"/>
    <n v="0"/>
    <n v="0"/>
  </r>
  <r>
    <d v="2012-08-11T00:00:00"/>
    <n v="4012"/>
    <n v="1972"/>
    <x v="4"/>
    <s v="PhD"/>
    <s v="Together"/>
    <n v="62220"/>
    <n v="1"/>
    <n v="55"/>
    <n v="799"/>
    <n v="12"/>
    <n v="375"/>
    <n v="16"/>
    <n v="12"/>
    <n v="12"/>
    <n v="1226"/>
    <n v="5"/>
    <n v="7"/>
    <n v="6"/>
    <n v="5"/>
    <n v="6"/>
    <n v="0"/>
    <n v="0"/>
    <n v="0"/>
    <n v="0"/>
    <n v="0"/>
    <n v="1"/>
    <n v="0"/>
  </r>
  <r>
    <d v="2014-06-10T00:00:00"/>
    <n v="5529"/>
    <n v="1946"/>
    <x v="1"/>
    <s v="PhD"/>
    <s v="Together"/>
    <n v="64014"/>
    <n v="3"/>
    <n v="56"/>
    <n v="406"/>
    <n v="0"/>
    <n v="30"/>
    <n v="0"/>
    <n v="0"/>
    <n v="8"/>
    <n v="444"/>
    <n v="7"/>
    <n v="8"/>
    <n v="2"/>
    <n v="5"/>
    <n v="7"/>
    <n v="0"/>
    <n v="0"/>
    <n v="0"/>
    <n v="1"/>
    <n v="0"/>
    <n v="0"/>
    <n v="0"/>
  </r>
  <r>
    <d v="2014-06-10T00:00:00"/>
    <n v="4001"/>
    <n v="1946"/>
    <x v="6"/>
    <s v="PhD"/>
    <s v="Together"/>
    <n v="64014"/>
    <n v="3"/>
    <n v="56"/>
    <n v="406"/>
    <n v="0"/>
    <n v="30"/>
    <n v="0"/>
    <n v="0"/>
    <n v="8"/>
    <n v="444"/>
    <n v="7"/>
    <n v="8"/>
    <n v="2"/>
    <n v="5"/>
    <n v="7"/>
    <n v="0"/>
    <n v="0"/>
    <n v="0"/>
    <n v="1"/>
    <n v="0"/>
    <n v="0"/>
    <n v="0"/>
  </r>
  <r>
    <d v="2014-05-05T00:00:00"/>
    <n v="10420"/>
    <n v="1955"/>
    <x v="2"/>
    <s v="Master"/>
    <s v="Divorced"/>
    <n v="46390"/>
    <n v="1"/>
    <n v="56"/>
    <n v="95"/>
    <n v="14"/>
    <n v="64"/>
    <n v="2"/>
    <n v="9"/>
    <n v="38"/>
    <n v="222"/>
    <n v="1"/>
    <n v="4"/>
    <n v="2"/>
    <n v="3"/>
    <n v="7"/>
    <n v="0"/>
    <n v="0"/>
    <n v="0"/>
    <n v="0"/>
    <n v="0"/>
    <n v="0"/>
    <n v="0"/>
  </r>
  <r>
    <d v="2014-05-02T00:00:00"/>
    <n v="7723"/>
    <n v="1979"/>
    <x v="4"/>
    <s v="Graduation"/>
    <s v="Together"/>
    <n v="75507"/>
    <n v="0"/>
    <n v="56"/>
    <n v="709"/>
    <n v="93"/>
    <n v="374"/>
    <n v="104"/>
    <n v="80"/>
    <n v="80"/>
    <n v="1440"/>
    <n v="1"/>
    <n v="8"/>
    <n v="6"/>
    <n v="6"/>
    <n v="3"/>
    <n v="0"/>
    <n v="0"/>
    <n v="0"/>
    <n v="0"/>
    <n v="0"/>
    <n v="0"/>
    <n v="0"/>
  </r>
  <r>
    <d v="2014-05-02T00:00:00"/>
    <n v="2963"/>
    <n v="1979"/>
    <x v="3"/>
    <s v="Graduation"/>
    <s v="Together"/>
    <n v="75507"/>
    <n v="0"/>
    <n v="56"/>
    <n v="709"/>
    <n v="93"/>
    <n v="374"/>
    <n v="104"/>
    <n v="80"/>
    <n v="80"/>
    <n v="1440"/>
    <n v="1"/>
    <n v="8"/>
    <n v="6"/>
    <n v="6"/>
    <n v="3"/>
    <n v="0"/>
    <n v="0"/>
    <n v="0"/>
    <n v="0"/>
    <n v="0"/>
    <n v="0"/>
    <n v="0"/>
  </r>
  <r>
    <d v="2014-04-19T00:00:00"/>
    <n v="10634"/>
    <n v="1951"/>
    <x v="0"/>
    <s v="Master"/>
    <s v="Married"/>
    <n v="59412"/>
    <n v="0"/>
    <n v="56"/>
    <n v="90"/>
    <n v="67"/>
    <n v="165"/>
    <n v="30"/>
    <n v="43"/>
    <n v="11"/>
    <n v="406"/>
    <n v="1"/>
    <n v="4"/>
    <n v="2"/>
    <n v="8"/>
    <n v="3"/>
    <n v="0"/>
    <n v="0"/>
    <n v="0"/>
    <n v="0"/>
    <n v="0"/>
    <n v="0"/>
    <n v="0"/>
  </r>
  <r>
    <d v="2014-04-18T00:00:00"/>
    <n v="5180"/>
    <n v="1968"/>
    <x v="0"/>
    <s v="PhD"/>
    <s v="Divorced"/>
    <n v="50616"/>
    <n v="1"/>
    <n v="56"/>
    <n v="128"/>
    <n v="0"/>
    <n v="16"/>
    <n v="0"/>
    <n v="1"/>
    <n v="4"/>
    <n v="149"/>
    <n v="2"/>
    <n v="4"/>
    <n v="0"/>
    <n v="4"/>
    <n v="7"/>
    <n v="0"/>
    <n v="0"/>
    <n v="0"/>
    <n v="0"/>
    <n v="0"/>
    <n v="0"/>
    <n v="0"/>
  </r>
  <r>
    <d v="2014-03-23T00:00:00"/>
    <n v="6866"/>
    <n v="1969"/>
    <x v="6"/>
    <s v="Master"/>
    <s v="Together"/>
    <n v="35924"/>
    <n v="2"/>
    <n v="56"/>
    <n v="8"/>
    <n v="0"/>
    <n v="14"/>
    <n v="2"/>
    <n v="3"/>
    <n v="7"/>
    <n v="34"/>
    <n v="1"/>
    <n v="1"/>
    <n v="0"/>
    <n v="3"/>
    <n v="5"/>
    <n v="0"/>
    <n v="0"/>
    <n v="0"/>
    <n v="0"/>
    <n v="0"/>
    <n v="0"/>
    <n v="0"/>
  </r>
  <r>
    <d v="2014-02-16T00:00:00"/>
    <n v="1328"/>
    <n v="1982"/>
    <x v="6"/>
    <s v="2n Cycle"/>
    <s v="Married"/>
    <n v="57937"/>
    <n v="1"/>
    <n v="56"/>
    <n v="261"/>
    <n v="42"/>
    <n v="144"/>
    <n v="55"/>
    <n v="48"/>
    <n v="133"/>
    <n v="683"/>
    <n v="3"/>
    <n v="4"/>
    <n v="4"/>
    <n v="9"/>
    <n v="3"/>
    <n v="0"/>
    <n v="0"/>
    <n v="0"/>
    <n v="0"/>
    <n v="0"/>
    <n v="0"/>
    <n v="0"/>
  </r>
  <r>
    <d v="2014-02-06T00:00:00"/>
    <n v="1139"/>
    <n v="1984"/>
    <x v="0"/>
    <s v="PhD"/>
    <s v="Married"/>
    <n v="73356"/>
    <n v="0"/>
    <n v="56"/>
    <n v="1050"/>
    <n v="14"/>
    <n v="322"/>
    <n v="0"/>
    <n v="14"/>
    <n v="112"/>
    <n v="1512"/>
    <n v="1"/>
    <n v="5"/>
    <n v="11"/>
    <n v="5"/>
    <n v="2"/>
    <n v="1"/>
    <n v="0"/>
    <n v="1"/>
    <n v="1"/>
    <n v="0"/>
    <n v="1"/>
    <n v="0"/>
  </r>
  <r>
    <d v="2014-01-21T00:00:00"/>
    <n v="4961"/>
    <n v="1974"/>
    <x v="0"/>
    <s v="Master"/>
    <s v="Together"/>
    <n v="21255"/>
    <n v="1"/>
    <n v="56"/>
    <n v="29"/>
    <n v="0"/>
    <n v="25"/>
    <n v="2"/>
    <n v="2"/>
    <n v="3"/>
    <n v="61"/>
    <n v="4"/>
    <n v="2"/>
    <n v="1"/>
    <n v="4"/>
    <n v="4"/>
    <n v="0"/>
    <n v="0"/>
    <n v="0"/>
    <n v="0"/>
    <n v="0"/>
    <n v="0"/>
    <n v="0"/>
  </r>
  <r>
    <d v="2013-12-12T00:00:00"/>
    <n v="5177"/>
    <n v="1974"/>
    <x v="6"/>
    <s v="Master"/>
    <s v="Married"/>
    <n v="58494"/>
    <n v="1"/>
    <n v="56"/>
    <n v="298"/>
    <n v="7"/>
    <n v="68"/>
    <n v="4"/>
    <n v="0"/>
    <n v="19"/>
    <n v="396"/>
    <n v="2"/>
    <n v="6"/>
    <n v="2"/>
    <n v="6"/>
    <n v="6"/>
    <n v="0"/>
    <n v="0"/>
    <n v="0"/>
    <n v="0"/>
    <n v="0"/>
    <n v="0"/>
    <n v="0"/>
  </r>
  <r>
    <d v="2013-11-14T00:00:00"/>
    <n v="2075"/>
    <n v="1969"/>
    <x v="6"/>
    <s v="Graduation"/>
    <s v="Married"/>
    <n v="72460"/>
    <n v="0"/>
    <n v="56"/>
    <n v="377"/>
    <n v="10"/>
    <n v="540"/>
    <n v="80"/>
    <n v="30"/>
    <n v="10"/>
    <n v="1047"/>
    <n v="1"/>
    <n v="3"/>
    <n v="5"/>
    <n v="7"/>
    <n v="1"/>
    <n v="0"/>
    <n v="0"/>
    <n v="0"/>
    <n v="0"/>
    <n v="0"/>
    <n v="0"/>
    <n v="0"/>
  </r>
  <r>
    <d v="2013-10-06T00:00:00"/>
    <n v="3428"/>
    <n v="1991"/>
    <x v="0"/>
    <s v="PhD"/>
    <s v="Together"/>
    <n v="68682"/>
    <n v="0"/>
    <n v="56"/>
    <n v="919"/>
    <n v="0"/>
    <n v="505"/>
    <n v="99"/>
    <n v="30"/>
    <n v="45"/>
    <n v="1598"/>
    <n v="1"/>
    <n v="4"/>
    <n v="9"/>
    <n v="10"/>
    <n v="2"/>
    <n v="0"/>
    <n v="0"/>
    <n v="0"/>
    <n v="0"/>
    <n v="0"/>
    <n v="0"/>
    <n v="0"/>
  </r>
  <r>
    <d v="2013-10-06T00:00:00"/>
    <n v="4500"/>
    <n v="1991"/>
    <x v="0"/>
    <s v="PhD"/>
    <s v="Together"/>
    <n v="68682"/>
    <n v="0"/>
    <n v="56"/>
    <n v="919"/>
    <n v="0"/>
    <n v="505"/>
    <n v="99"/>
    <n v="30"/>
    <n v="45"/>
    <n v="1598"/>
    <n v="1"/>
    <n v="4"/>
    <n v="9"/>
    <n v="10"/>
    <n v="2"/>
    <n v="0"/>
    <n v="0"/>
    <n v="0"/>
    <n v="0"/>
    <n v="0"/>
    <n v="0"/>
    <n v="0"/>
  </r>
  <r>
    <d v="2013-10-02T00:00:00"/>
    <n v="7369"/>
    <n v="1981"/>
    <x v="0"/>
    <s v="Master"/>
    <s v="Married"/>
    <n v="36959"/>
    <n v="1"/>
    <n v="56"/>
    <n v="25"/>
    <n v="6"/>
    <n v="25"/>
    <n v="6"/>
    <n v="0"/>
    <n v="0"/>
    <n v="62"/>
    <n v="2"/>
    <n v="2"/>
    <n v="0"/>
    <n v="3"/>
    <n v="8"/>
    <n v="0"/>
    <n v="0"/>
    <n v="0"/>
    <n v="0"/>
    <n v="0"/>
    <n v="0"/>
    <n v="0"/>
  </r>
  <r>
    <d v="2013-08-18T00:00:00"/>
    <n v="4381"/>
    <n v="1971"/>
    <x v="0"/>
    <s v="PhD"/>
    <s v="Married"/>
    <n v="46463"/>
    <n v="2"/>
    <n v="56"/>
    <n v="163"/>
    <n v="2"/>
    <n v="40"/>
    <n v="8"/>
    <n v="11"/>
    <n v="11"/>
    <n v="235"/>
    <n v="7"/>
    <n v="3"/>
    <n v="1"/>
    <n v="6"/>
    <n v="6"/>
    <n v="0"/>
    <n v="0"/>
    <n v="0"/>
    <n v="0"/>
    <n v="0"/>
    <n v="0"/>
    <n v="0"/>
  </r>
  <r>
    <d v="2013-08-07T00:00:00"/>
    <n v="9964"/>
    <n v="1979"/>
    <x v="0"/>
    <s v="Graduation"/>
    <s v="Single"/>
    <n v="61825"/>
    <n v="1"/>
    <n v="56"/>
    <n v="162"/>
    <n v="50"/>
    <n v="100"/>
    <n v="55"/>
    <n v="30"/>
    <n v="27"/>
    <n v="424"/>
    <n v="1"/>
    <n v="4"/>
    <n v="2"/>
    <n v="8"/>
    <n v="4"/>
    <n v="0"/>
    <n v="0"/>
    <n v="0"/>
    <n v="0"/>
    <n v="0"/>
    <n v="0"/>
    <n v="0"/>
  </r>
  <r>
    <d v="2013-08-07T00:00:00"/>
    <n v="1630"/>
    <n v="1979"/>
    <x v="0"/>
    <s v="Graduation"/>
    <s v="Single"/>
    <n v="61825"/>
    <n v="1"/>
    <n v="56"/>
    <n v="162"/>
    <n v="50"/>
    <n v="100"/>
    <n v="55"/>
    <n v="30"/>
    <n v="27"/>
    <n v="424"/>
    <n v="1"/>
    <n v="4"/>
    <n v="2"/>
    <n v="8"/>
    <n v="4"/>
    <n v="0"/>
    <n v="0"/>
    <n v="0"/>
    <n v="0"/>
    <n v="0"/>
    <n v="0"/>
    <n v="0"/>
  </r>
  <r>
    <d v="2013-07-04T00:00:00"/>
    <n v="5012"/>
    <n v="1989"/>
    <x v="0"/>
    <s v="Graduation"/>
    <s v="Married"/>
    <n v="28691"/>
    <n v="1"/>
    <n v="56"/>
    <n v="5"/>
    <n v="4"/>
    <n v="13"/>
    <n v="8"/>
    <n v="0"/>
    <n v="4"/>
    <n v="34"/>
    <n v="1"/>
    <n v="1"/>
    <n v="0"/>
    <n v="3"/>
    <n v="8"/>
    <n v="0"/>
    <n v="0"/>
    <n v="0"/>
    <n v="0"/>
    <n v="0"/>
    <n v="0"/>
    <n v="0"/>
  </r>
  <r>
    <d v="2013-07-04T00:00:00"/>
    <n v="6918"/>
    <n v="1989"/>
    <x v="0"/>
    <s v="Graduation"/>
    <s v="Married"/>
    <n v="28691"/>
    <n v="1"/>
    <n v="56"/>
    <n v="5"/>
    <n v="4"/>
    <n v="13"/>
    <n v="8"/>
    <n v="0"/>
    <n v="4"/>
    <n v="34"/>
    <n v="1"/>
    <n v="1"/>
    <n v="0"/>
    <n v="3"/>
    <n v="8"/>
    <n v="0"/>
    <n v="0"/>
    <n v="0"/>
    <n v="0"/>
    <n v="0"/>
    <n v="0"/>
    <n v="0"/>
  </r>
  <r>
    <d v="2013-06-04T00:00:00"/>
    <n v="7822"/>
    <n v="1976"/>
    <x v="0"/>
    <s v="Graduation"/>
    <s v="Together"/>
    <n v="54058"/>
    <n v="1"/>
    <n v="56"/>
    <n v="198"/>
    <n v="18"/>
    <n v="252"/>
    <n v="32"/>
    <n v="108"/>
    <n v="54"/>
    <n v="662"/>
    <n v="2"/>
    <n v="4"/>
    <n v="6"/>
    <n v="8"/>
    <n v="3"/>
    <n v="0"/>
    <n v="0"/>
    <n v="0"/>
    <n v="0"/>
    <n v="0"/>
    <n v="0"/>
    <n v="0"/>
  </r>
  <r>
    <d v="2013-06-03T00:00:00"/>
    <n v="10156"/>
    <n v="1975"/>
    <x v="0"/>
    <s v="Graduation"/>
    <s v="Single"/>
    <n v="84196"/>
    <n v="1"/>
    <n v="56"/>
    <n v="215"/>
    <n v="63"/>
    <n v="507"/>
    <n v="231"/>
    <n v="31"/>
    <n v="190"/>
    <n v="1237"/>
    <n v="1"/>
    <n v="8"/>
    <n v="4"/>
    <n v="7"/>
    <n v="3"/>
    <n v="0"/>
    <n v="0"/>
    <n v="0"/>
    <n v="0"/>
    <n v="0"/>
    <n v="0"/>
    <n v="0"/>
  </r>
  <r>
    <d v="2013-05-11T00:00:00"/>
    <n v="3033"/>
    <n v="1963"/>
    <x v="3"/>
    <s v="Master"/>
    <s v="Together"/>
    <n v="38620"/>
    <n v="0"/>
    <n v="56"/>
    <n v="112"/>
    <n v="17"/>
    <n v="44"/>
    <n v="34"/>
    <n v="22"/>
    <n v="89"/>
    <n v="318"/>
    <n v="1"/>
    <n v="2"/>
    <n v="5"/>
    <n v="3"/>
    <n v="3"/>
    <n v="0"/>
    <n v="0"/>
    <n v="0"/>
    <n v="0"/>
    <n v="0"/>
    <n v="0"/>
    <n v="0"/>
  </r>
  <r>
    <d v="2013-05-11T00:00:00"/>
    <n v="4119"/>
    <n v="1963"/>
    <x v="4"/>
    <s v="Master"/>
    <s v="Together"/>
    <n v="38620"/>
    <n v="0"/>
    <n v="56"/>
    <n v="112"/>
    <n v="17"/>
    <n v="44"/>
    <n v="34"/>
    <n v="22"/>
    <n v="89"/>
    <n v="318"/>
    <n v="1"/>
    <n v="2"/>
    <n v="5"/>
    <n v="3"/>
    <n v="3"/>
    <n v="0"/>
    <n v="0"/>
    <n v="0"/>
    <n v="0"/>
    <n v="0"/>
    <n v="0"/>
    <n v="0"/>
  </r>
  <r>
    <d v="2013-04-13T00:00:00"/>
    <n v="11110"/>
    <n v="1973"/>
    <x v="5"/>
    <s v="Graduation"/>
    <s v="Single"/>
    <n v="3502"/>
    <n v="1"/>
    <n v="56"/>
    <n v="2"/>
    <n v="1"/>
    <n v="1"/>
    <n v="0"/>
    <n v="0"/>
    <n v="1"/>
    <n v="5"/>
    <n v="0"/>
    <n v="0"/>
    <n v="0"/>
    <n v="0"/>
    <n v="14"/>
    <n v="0"/>
    <n v="0"/>
    <n v="0"/>
    <n v="0"/>
    <n v="0"/>
    <n v="0"/>
    <n v="0"/>
  </r>
  <r>
    <d v="2013-03-22T00:00:00"/>
    <n v="332"/>
    <n v="1957"/>
    <x v="0"/>
    <s v="Graduation"/>
    <s v="Married"/>
    <n v="47743"/>
    <n v="1"/>
    <n v="56"/>
    <n v="198"/>
    <n v="2"/>
    <n v="43"/>
    <n v="0"/>
    <n v="12"/>
    <n v="20"/>
    <n v="275"/>
    <n v="3"/>
    <n v="4"/>
    <n v="1"/>
    <n v="6"/>
    <n v="6"/>
    <n v="0"/>
    <n v="1"/>
    <n v="0"/>
    <n v="0"/>
    <n v="0"/>
    <n v="0"/>
    <n v="0"/>
  </r>
  <r>
    <d v="2013-03-03T00:00:00"/>
    <n v="737"/>
    <n v="1949"/>
    <x v="0"/>
    <s v="PhD"/>
    <s v="Married"/>
    <n v="80360"/>
    <n v="0"/>
    <n v="56"/>
    <n v="1493"/>
    <n v="86"/>
    <n v="454"/>
    <n v="112"/>
    <n v="43"/>
    <n v="43"/>
    <n v="2231"/>
    <n v="2"/>
    <n v="4"/>
    <n v="4"/>
    <n v="5"/>
    <n v="2"/>
    <n v="0"/>
    <n v="1"/>
    <n v="1"/>
    <n v="1"/>
    <n v="0"/>
    <n v="0"/>
    <n v="0"/>
  </r>
  <r>
    <d v="2013-02-26T00:00:00"/>
    <n v="10319"/>
    <n v="1971"/>
    <x v="0"/>
    <s v="Graduation"/>
    <s v="Married"/>
    <n v="66303"/>
    <n v="1"/>
    <n v="56"/>
    <n v="1090"/>
    <n v="12"/>
    <n v="96"/>
    <n v="16"/>
    <n v="12"/>
    <n v="60"/>
    <n v="1286"/>
    <n v="4"/>
    <n v="3"/>
    <n v="4"/>
    <n v="11"/>
    <n v="8"/>
    <n v="0"/>
    <n v="1"/>
    <n v="0"/>
    <n v="0"/>
    <n v="0"/>
    <n v="0"/>
    <n v="0"/>
  </r>
  <r>
    <d v="2013-02-02T00:00:00"/>
    <n v="2683"/>
    <n v="1969"/>
    <x v="1"/>
    <s v="Graduation"/>
    <s v="Married"/>
    <n v="52413"/>
    <n v="2"/>
    <n v="56"/>
    <n v="295"/>
    <n v="106"/>
    <n v="271"/>
    <n v="75"/>
    <n v="98"/>
    <n v="65"/>
    <n v="910"/>
    <n v="4"/>
    <n v="6"/>
    <n v="4"/>
    <n v="12"/>
    <n v="6"/>
    <n v="0"/>
    <n v="0"/>
    <n v="0"/>
    <n v="0"/>
    <n v="0"/>
    <n v="0"/>
    <n v="0"/>
  </r>
  <r>
    <d v="2013-01-17T00:00:00"/>
    <n v="3445"/>
    <n v="1956"/>
    <x v="6"/>
    <s v="Graduation"/>
    <s v="Single"/>
    <n v="60714"/>
    <n v="0"/>
    <n v="56"/>
    <n v="216"/>
    <n v="162"/>
    <n v="224"/>
    <n v="101"/>
    <n v="92"/>
    <n v="162"/>
    <n v="957"/>
    <n v="2"/>
    <n v="7"/>
    <n v="4"/>
    <n v="10"/>
    <n v="5"/>
    <n v="0"/>
    <n v="0"/>
    <n v="0"/>
    <n v="0"/>
    <n v="0"/>
    <n v="1"/>
    <n v="0"/>
  </r>
  <r>
    <d v="2012-12-05T00:00:00"/>
    <n v="10913"/>
    <n v="1984"/>
    <x v="0"/>
    <s v="Master"/>
    <s v="Single"/>
    <n v="31385"/>
    <n v="1"/>
    <n v="56"/>
    <n v="3"/>
    <n v="2"/>
    <n v="12"/>
    <n v="0"/>
    <n v="1"/>
    <n v="9"/>
    <n v="27"/>
    <n v="1"/>
    <n v="1"/>
    <n v="0"/>
    <n v="2"/>
    <n v="8"/>
    <n v="1"/>
    <n v="0"/>
    <n v="0"/>
    <n v="0"/>
    <n v="0"/>
    <n v="1"/>
    <n v="0"/>
  </r>
  <r>
    <d v="2012-09-18T00:00:00"/>
    <n v="4427"/>
    <n v="1995"/>
    <x v="0"/>
    <s v="2n Cycle"/>
    <s v="Single"/>
    <n v="83257"/>
    <n v="0"/>
    <n v="56"/>
    <n v="536"/>
    <n v="27"/>
    <n v="590"/>
    <n v="38"/>
    <n v="107"/>
    <n v="67"/>
    <n v="1365"/>
    <n v="1"/>
    <n v="5"/>
    <n v="10"/>
    <n v="12"/>
    <n v="6"/>
    <n v="1"/>
    <n v="0"/>
    <n v="1"/>
    <n v="0"/>
    <n v="0"/>
    <n v="1"/>
    <n v="1"/>
  </r>
  <r>
    <d v="2012-09-12T00:00:00"/>
    <n v="8717"/>
    <n v="1975"/>
    <x v="5"/>
    <s v="PhD"/>
    <s v="Married"/>
    <n v="80427"/>
    <n v="1"/>
    <n v="56"/>
    <n v="1149"/>
    <n v="71"/>
    <n v="449"/>
    <n v="69"/>
    <n v="71"/>
    <n v="26"/>
    <n v="1835"/>
    <n v="1"/>
    <n v="11"/>
    <n v="8"/>
    <n v="8"/>
    <n v="5"/>
    <n v="0"/>
    <n v="0"/>
    <n v="0"/>
    <n v="0"/>
    <n v="0"/>
    <n v="0"/>
    <n v="0"/>
  </r>
  <r>
    <d v="2012-08-30T00:00:00"/>
    <n v="2066"/>
    <n v="1949"/>
    <x v="0"/>
    <s v="Graduation"/>
    <s v="Together"/>
    <n v="38823"/>
    <n v="1"/>
    <n v="56"/>
    <n v="70"/>
    <n v="0"/>
    <n v="11"/>
    <n v="2"/>
    <n v="8"/>
    <n v="23"/>
    <n v="114"/>
    <n v="1"/>
    <n v="2"/>
    <n v="1"/>
    <n v="3"/>
    <n v="6"/>
    <n v="0"/>
    <n v="0"/>
    <n v="0"/>
    <n v="0"/>
    <n v="0"/>
    <n v="0"/>
    <n v="0"/>
  </r>
  <r>
    <d v="2012-08-17T00:00:00"/>
    <n v="3340"/>
    <n v="1977"/>
    <x v="1"/>
    <s v="Graduation"/>
    <s v="Married"/>
    <n v="42014"/>
    <n v="1"/>
    <n v="56"/>
    <n v="244"/>
    <n v="15"/>
    <n v="108"/>
    <n v="4"/>
    <n v="15"/>
    <n v="50"/>
    <n v="436"/>
    <n v="6"/>
    <n v="7"/>
    <n v="1"/>
    <n v="6"/>
    <n v="8"/>
    <n v="0"/>
    <n v="0"/>
    <n v="0"/>
    <n v="0"/>
    <n v="0"/>
    <n v="1"/>
    <n v="0"/>
  </r>
  <r>
    <d v="2012-08-17T00:00:00"/>
    <n v="8685"/>
    <n v="1977"/>
    <x v="6"/>
    <s v="Graduation"/>
    <s v="Married"/>
    <n v="42014"/>
    <n v="1"/>
    <n v="56"/>
    <n v="244"/>
    <n v="15"/>
    <n v="108"/>
    <n v="4"/>
    <n v="15"/>
    <n v="50"/>
    <n v="436"/>
    <n v="6"/>
    <n v="7"/>
    <n v="1"/>
    <n v="6"/>
    <n v="8"/>
    <n v="0"/>
    <n v="0"/>
    <n v="0"/>
    <n v="0"/>
    <n v="0"/>
    <n v="1"/>
    <n v="0"/>
  </r>
  <r>
    <d v="2014-05-13T00:00:00"/>
    <n v="4149"/>
    <n v="1948"/>
    <x v="0"/>
    <s v="PhD"/>
    <s v="Together"/>
    <n v="76140"/>
    <n v="0"/>
    <n v="57"/>
    <n v="586"/>
    <n v="66"/>
    <n v="653"/>
    <n v="17"/>
    <n v="0"/>
    <n v="26"/>
    <n v="1348"/>
    <n v="1"/>
    <n v="5"/>
    <n v="9"/>
    <n v="6"/>
    <n v="2"/>
    <n v="0"/>
    <n v="0"/>
    <n v="0"/>
    <n v="0"/>
    <n v="0"/>
    <n v="0"/>
    <n v="0"/>
  </r>
  <r>
    <d v="2014-04-29T00:00:00"/>
    <n v="8726"/>
    <n v="1964"/>
    <x v="1"/>
    <s v="2n Cycle"/>
    <s v="Divorced"/>
    <n v="41713"/>
    <n v="2"/>
    <n v="57"/>
    <n v="77"/>
    <n v="8"/>
    <n v="44"/>
    <n v="10"/>
    <n v="10"/>
    <n v="25"/>
    <n v="174"/>
    <n v="5"/>
    <n v="3"/>
    <n v="1"/>
    <n v="4"/>
    <n v="6"/>
    <n v="0"/>
    <n v="0"/>
    <n v="0"/>
    <n v="0"/>
    <n v="0"/>
    <n v="0"/>
    <n v="0"/>
  </r>
  <r>
    <d v="2014-02-02T00:00:00"/>
    <n v="2295"/>
    <n v="1954"/>
    <x v="6"/>
    <s v="PhD"/>
    <s v="Married"/>
    <n v="62670"/>
    <n v="1"/>
    <n v="57"/>
    <n v="539"/>
    <n v="30"/>
    <n v="92"/>
    <n v="80"/>
    <n v="46"/>
    <n v="38"/>
    <n v="825"/>
    <n v="1"/>
    <n v="5"/>
    <n v="3"/>
    <n v="13"/>
    <n v="3"/>
    <n v="0"/>
    <n v="0"/>
    <n v="0"/>
    <n v="0"/>
    <n v="0"/>
    <n v="0"/>
    <n v="0"/>
  </r>
  <r>
    <d v="2014-01-19T00:00:00"/>
    <n v="3283"/>
    <n v="1972"/>
    <x v="0"/>
    <s v="2n Cycle"/>
    <s v="Married"/>
    <n v="70932"/>
    <n v="1"/>
    <n v="57"/>
    <n v="200"/>
    <n v="193"/>
    <n v="100"/>
    <n v="46"/>
    <n v="185"/>
    <n v="185"/>
    <n v="909"/>
    <n v="2"/>
    <n v="6"/>
    <n v="2"/>
    <n v="12"/>
    <n v="3"/>
    <n v="0"/>
    <n v="0"/>
    <n v="0"/>
    <n v="0"/>
    <n v="0"/>
    <n v="0"/>
    <n v="0"/>
  </r>
  <r>
    <d v="2013-12-12T00:00:00"/>
    <n v="1915"/>
    <n v="1951"/>
    <x v="4"/>
    <s v="PhD"/>
    <s v="Married"/>
    <n v="78939"/>
    <n v="0"/>
    <n v="57"/>
    <n v="794"/>
    <n v="115"/>
    <n v="243"/>
    <n v="150"/>
    <n v="0"/>
    <n v="205"/>
    <n v="1507"/>
    <n v="1"/>
    <n v="8"/>
    <n v="5"/>
    <n v="6"/>
    <n v="3"/>
    <n v="0"/>
    <n v="0"/>
    <n v="0"/>
    <n v="0"/>
    <n v="0"/>
    <n v="0"/>
    <n v="0"/>
  </r>
  <r>
    <d v="2013-08-30T00:00:00"/>
    <n v="800"/>
    <n v="1960"/>
    <x v="6"/>
    <s v="Graduation"/>
    <s v="Together"/>
    <n v="44512"/>
    <n v="2"/>
    <n v="57"/>
    <n v="23"/>
    <n v="1"/>
    <n v="6"/>
    <n v="0"/>
    <n v="0"/>
    <n v="2"/>
    <n v="32"/>
    <n v="2"/>
    <n v="1"/>
    <n v="0"/>
    <n v="3"/>
    <n v="4"/>
    <n v="0"/>
    <n v="0"/>
    <n v="0"/>
    <n v="0"/>
    <n v="0"/>
    <n v="0"/>
    <n v="0"/>
  </r>
  <r>
    <d v="2013-08-09T00:00:00"/>
    <n v="9166"/>
    <n v="1968"/>
    <x v="0"/>
    <s v="Graduation"/>
    <s v="Married"/>
    <n v="63967"/>
    <n v="1"/>
    <n v="57"/>
    <n v="387"/>
    <n v="84"/>
    <n v="141"/>
    <n v="73"/>
    <n v="35"/>
    <n v="162"/>
    <n v="882"/>
    <n v="3"/>
    <n v="4"/>
    <n v="4"/>
    <n v="12"/>
    <n v="2"/>
    <n v="0"/>
    <n v="0"/>
    <n v="0"/>
    <n v="0"/>
    <n v="0"/>
    <n v="0"/>
    <n v="0"/>
  </r>
  <r>
    <d v="2013-07-29T00:00:00"/>
    <n v="5147"/>
    <n v="1948"/>
    <x v="0"/>
    <s v="Graduation"/>
    <s v="Single"/>
    <n v="90842"/>
    <n v="0"/>
    <n v="57"/>
    <n v="774"/>
    <n v="70"/>
    <n v="118"/>
    <n v="182"/>
    <n v="187"/>
    <n v="93"/>
    <n v="1424"/>
    <n v="1"/>
    <n v="4"/>
    <n v="9"/>
    <n v="13"/>
    <n v="1"/>
    <n v="0"/>
    <n v="0"/>
    <n v="0"/>
    <n v="0"/>
    <n v="0"/>
    <n v="0"/>
    <n v="0"/>
  </r>
  <r>
    <d v="2013-07-22T00:00:00"/>
    <n v="13"/>
    <n v="1947"/>
    <x v="6"/>
    <s v="PhD"/>
    <s v="Widow"/>
    <n v="25358"/>
    <n v="1"/>
    <n v="57"/>
    <n v="19"/>
    <n v="0"/>
    <n v="5"/>
    <n v="0"/>
    <n v="0"/>
    <n v="8"/>
    <n v="32"/>
    <n v="2"/>
    <n v="1"/>
    <n v="0"/>
    <n v="3"/>
    <n v="6"/>
    <n v="0"/>
    <n v="0"/>
    <n v="0"/>
    <n v="0"/>
    <n v="0"/>
    <n v="0"/>
    <n v="0"/>
  </r>
  <r>
    <d v="2013-06-17T00:00:00"/>
    <n v="8557"/>
    <n v="1982"/>
    <x v="3"/>
    <s v="Graduation"/>
    <s v="Single"/>
    <n v="53790.45"/>
    <n v="1"/>
    <n v="57"/>
    <n v="11"/>
    <n v="3"/>
    <n v="22"/>
    <n v="2"/>
    <n v="2"/>
    <n v="6"/>
    <n v="46"/>
    <n v="2"/>
    <n v="2"/>
    <n v="0"/>
    <n v="3"/>
    <n v="6"/>
    <n v="0"/>
    <n v="0"/>
    <n v="0"/>
    <n v="0"/>
    <n v="0"/>
    <n v="0"/>
    <n v="0"/>
  </r>
  <r>
    <d v="2013-06-17T00:00:00"/>
    <n v="8724"/>
    <n v="1982"/>
    <x v="0"/>
    <s v="Graduation"/>
    <s v="Single"/>
    <n v="28567"/>
    <n v="1"/>
    <n v="57"/>
    <n v="11"/>
    <n v="3"/>
    <n v="22"/>
    <n v="2"/>
    <n v="2"/>
    <n v="6"/>
    <n v="46"/>
    <n v="2"/>
    <n v="2"/>
    <n v="0"/>
    <n v="3"/>
    <n v="6"/>
    <n v="0"/>
    <n v="0"/>
    <n v="0"/>
    <n v="0"/>
    <n v="0"/>
    <n v="0"/>
    <n v="0"/>
  </r>
  <r>
    <d v="2013-06-12T00:00:00"/>
    <n v="9381"/>
    <n v="1978"/>
    <x v="3"/>
    <s v="Graduation"/>
    <s v="Married"/>
    <n v="66373"/>
    <n v="2"/>
    <n v="57"/>
    <n v="328"/>
    <n v="9"/>
    <n v="124"/>
    <n v="12"/>
    <n v="24"/>
    <n v="109"/>
    <n v="606"/>
    <n v="7"/>
    <n v="4"/>
    <n v="2"/>
    <n v="10"/>
    <n v="3"/>
    <n v="0"/>
    <n v="0"/>
    <n v="0"/>
    <n v="0"/>
    <n v="0"/>
    <n v="0"/>
    <n v="0"/>
  </r>
  <r>
    <d v="2013-06-12T00:00:00"/>
    <n v="9384"/>
    <n v="1978"/>
    <x v="3"/>
    <s v="Graduation"/>
    <s v="Married"/>
    <n v="66373"/>
    <n v="2"/>
    <n v="57"/>
    <n v="328"/>
    <n v="9"/>
    <n v="124"/>
    <n v="12"/>
    <n v="24"/>
    <n v="109"/>
    <n v="606"/>
    <n v="7"/>
    <n v="4"/>
    <n v="2"/>
    <n v="10"/>
    <n v="3"/>
    <n v="0"/>
    <n v="0"/>
    <n v="0"/>
    <n v="0"/>
    <n v="0"/>
    <n v="0"/>
    <n v="0"/>
  </r>
  <r>
    <d v="2013-05-12T00:00:00"/>
    <n v="3560"/>
    <n v="1952"/>
    <x v="4"/>
    <s v="Graduation"/>
    <s v="Together"/>
    <n v="83844"/>
    <n v="0"/>
    <n v="57"/>
    <n v="901"/>
    <n v="31"/>
    <n v="345"/>
    <n v="75"/>
    <n v="31"/>
    <n v="191"/>
    <n v="1574"/>
    <n v="1"/>
    <n v="4"/>
    <n v="4"/>
    <n v="11"/>
    <n v="1"/>
    <n v="0"/>
    <n v="0"/>
    <n v="1"/>
    <n v="0"/>
    <n v="0"/>
    <n v="0"/>
    <n v="0"/>
  </r>
  <r>
    <d v="2013-05-12T00:00:00"/>
    <n v="241"/>
    <n v="1952"/>
    <x v="0"/>
    <s v="Graduation"/>
    <s v="Together"/>
    <n v="83844"/>
    <n v="0"/>
    <n v="57"/>
    <n v="901"/>
    <n v="31"/>
    <n v="345"/>
    <n v="75"/>
    <n v="31"/>
    <n v="191"/>
    <n v="1574"/>
    <n v="1"/>
    <n v="4"/>
    <n v="4"/>
    <n v="11"/>
    <n v="1"/>
    <n v="0"/>
    <n v="0"/>
    <n v="1"/>
    <n v="0"/>
    <n v="0"/>
    <n v="0"/>
    <n v="0"/>
  </r>
  <r>
    <d v="2013-05-12T00:00:00"/>
    <n v="7521"/>
    <n v="1952"/>
    <x v="1"/>
    <s v="Graduation"/>
    <s v="Together"/>
    <n v="83844"/>
    <n v="0"/>
    <n v="57"/>
    <n v="901"/>
    <n v="31"/>
    <n v="345"/>
    <n v="75"/>
    <n v="31"/>
    <n v="191"/>
    <n v="1574"/>
    <n v="1"/>
    <n v="4"/>
    <n v="4"/>
    <n v="11"/>
    <n v="1"/>
    <n v="0"/>
    <n v="0"/>
    <n v="1"/>
    <n v="0"/>
    <n v="0"/>
    <n v="0"/>
    <n v="0"/>
  </r>
  <r>
    <d v="2013-05-08T00:00:00"/>
    <n v="9799"/>
    <n v="1968"/>
    <x v="0"/>
    <s v="PhD"/>
    <s v="Divorced"/>
    <n v="83664"/>
    <n v="2"/>
    <n v="57"/>
    <n v="866"/>
    <n v="21"/>
    <n v="151"/>
    <n v="28"/>
    <n v="21"/>
    <n v="86"/>
    <n v="1173"/>
    <n v="3"/>
    <n v="2"/>
    <n v="2"/>
    <n v="12"/>
    <n v="5"/>
    <n v="0"/>
    <n v="0"/>
    <n v="0"/>
    <n v="0"/>
    <n v="0"/>
    <n v="0"/>
    <n v="0"/>
  </r>
  <r>
    <d v="2013-04-15T00:00:00"/>
    <n v="5123"/>
    <n v="1951"/>
    <x v="0"/>
    <s v="Master"/>
    <s v="Married"/>
    <n v="27450"/>
    <n v="0"/>
    <n v="57"/>
    <n v="37"/>
    <n v="12"/>
    <n v="23"/>
    <n v="8"/>
    <n v="11"/>
    <n v="52"/>
    <n v="143"/>
    <n v="1"/>
    <n v="2"/>
    <n v="1"/>
    <n v="3"/>
    <n v="7"/>
    <n v="0"/>
    <n v="0"/>
    <n v="0"/>
    <n v="0"/>
    <n v="0"/>
    <n v="0"/>
    <n v="0"/>
  </r>
  <r>
    <d v="2013-03-01T00:00:00"/>
    <n v="448"/>
    <n v="1978"/>
    <x v="0"/>
    <s v="PhD"/>
    <s v="Single"/>
    <n v="54880"/>
    <n v="1"/>
    <n v="57"/>
    <n v="308"/>
    <n v="85"/>
    <n v="137"/>
    <n v="102"/>
    <n v="45"/>
    <n v="118"/>
    <n v="795"/>
    <n v="2"/>
    <n v="6"/>
    <n v="2"/>
    <n v="11"/>
    <n v="5"/>
    <n v="0"/>
    <n v="0"/>
    <n v="0"/>
    <n v="0"/>
    <n v="0"/>
    <n v="0"/>
    <n v="0"/>
  </r>
  <r>
    <d v="2013-02-16T00:00:00"/>
    <n v="4837"/>
    <n v="1965"/>
    <x v="0"/>
    <s v="PhD"/>
    <s v="Married"/>
    <n v="71322"/>
    <n v="1"/>
    <n v="57"/>
    <n v="753"/>
    <n v="43"/>
    <n v="226"/>
    <n v="69"/>
    <n v="10"/>
    <n v="204"/>
    <n v="1305"/>
    <n v="2"/>
    <n v="8"/>
    <n v="5"/>
    <n v="13"/>
    <n v="4"/>
    <n v="0"/>
    <n v="0"/>
    <n v="0"/>
    <n v="0"/>
    <n v="0"/>
    <n v="0"/>
    <n v="0"/>
  </r>
  <r>
    <d v="2012-12-22T00:00:00"/>
    <n v="9365"/>
    <n v="1976"/>
    <x v="0"/>
    <s v="PhD"/>
    <s v="Single"/>
    <n v="60000"/>
    <n v="1"/>
    <n v="57"/>
    <n v="1048"/>
    <n v="0"/>
    <n v="217"/>
    <n v="0"/>
    <n v="0"/>
    <n v="12"/>
    <n v="1277"/>
    <n v="5"/>
    <n v="11"/>
    <n v="3"/>
    <n v="5"/>
    <n v="6"/>
    <n v="0"/>
    <n v="0"/>
    <n v="0"/>
    <n v="0"/>
    <n v="0"/>
    <n v="0"/>
    <n v="0"/>
  </r>
  <r>
    <d v="2012-10-29T00:00:00"/>
    <n v="8932"/>
    <n v="1969"/>
    <x v="6"/>
    <s v="Master"/>
    <s v="Together"/>
    <n v="65176"/>
    <n v="1"/>
    <n v="57"/>
    <n v="960"/>
    <n v="28"/>
    <n v="183"/>
    <n v="220"/>
    <n v="70"/>
    <n v="70"/>
    <n v="1531"/>
    <n v="4"/>
    <n v="9"/>
    <n v="6"/>
    <n v="6"/>
    <n v="6"/>
    <n v="0"/>
    <n v="0"/>
    <n v="0"/>
    <n v="0"/>
    <n v="0"/>
    <n v="0"/>
    <n v="0"/>
  </r>
  <r>
    <d v="2012-10-09T00:00:00"/>
    <n v="7055"/>
    <n v="1952"/>
    <x v="1"/>
    <s v="PhD"/>
    <s v="Together"/>
    <n v="61010"/>
    <n v="1"/>
    <n v="57"/>
    <n v="888"/>
    <n v="0"/>
    <n v="57"/>
    <n v="0"/>
    <n v="0"/>
    <n v="76"/>
    <n v="1021"/>
    <n v="2"/>
    <n v="8"/>
    <n v="5"/>
    <n v="11"/>
    <n v="5"/>
    <n v="0"/>
    <n v="0"/>
    <n v="0"/>
    <n v="0"/>
    <n v="0"/>
    <n v="0"/>
    <n v="0"/>
  </r>
  <r>
    <d v="2012-08-17T00:00:00"/>
    <n v="3537"/>
    <n v="1981"/>
    <x v="0"/>
    <s v="Graduation"/>
    <s v="Together"/>
    <n v="31089"/>
    <n v="1"/>
    <n v="57"/>
    <n v="31"/>
    <n v="3"/>
    <n v="31"/>
    <n v="2"/>
    <n v="8"/>
    <n v="4"/>
    <n v="79"/>
    <n v="3"/>
    <n v="3"/>
    <n v="0"/>
    <n v="4"/>
    <n v="8"/>
    <n v="0"/>
    <n v="0"/>
    <n v="0"/>
    <n v="0"/>
    <n v="0"/>
    <n v="0"/>
    <n v="0"/>
  </r>
  <r>
    <d v="2014-05-18T00:00:00"/>
    <n v="9081"/>
    <n v="1988"/>
    <x v="0"/>
    <s v="Graduation"/>
    <s v="Single"/>
    <n v="20518"/>
    <n v="1"/>
    <n v="58"/>
    <n v="4"/>
    <n v="1"/>
    <n v="6"/>
    <n v="4"/>
    <n v="1"/>
    <n v="9"/>
    <n v="25"/>
    <n v="1"/>
    <n v="1"/>
    <n v="1"/>
    <n v="2"/>
    <n v="5"/>
    <n v="0"/>
    <n v="0"/>
    <n v="0"/>
    <n v="0"/>
    <n v="0"/>
    <n v="0"/>
    <n v="0"/>
  </r>
  <r>
    <d v="2014-05-04T00:00:00"/>
    <n v="4988"/>
    <n v="1948"/>
    <x v="6"/>
    <s v="PhD"/>
    <s v="Married"/>
    <n v="34469"/>
    <n v="2"/>
    <n v="58"/>
    <n v="19"/>
    <n v="6"/>
    <n v="20"/>
    <n v="0"/>
    <n v="5"/>
    <n v="12"/>
    <n v="62"/>
    <n v="3"/>
    <n v="1"/>
    <n v="1"/>
    <n v="4"/>
    <n v="4"/>
    <n v="0"/>
    <n v="0"/>
    <n v="0"/>
    <n v="0"/>
    <n v="0"/>
    <n v="0"/>
    <n v="0"/>
  </r>
  <r>
    <d v="2014-04-30T00:00:00"/>
    <n v="1050"/>
    <n v="1952"/>
    <x v="4"/>
    <s v="Graduation"/>
    <s v="Married"/>
    <n v="28332"/>
    <n v="0"/>
    <n v="58"/>
    <n v="14"/>
    <n v="10"/>
    <n v="13"/>
    <n v="4"/>
    <n v="15"/>
    <n v="9"/>
    <n v="65"/>
    <n v="1"/>
    <n v="2"/>
    <n v="1"/>
    <n v="4"/>
    <n v="2"/>
    <n v="0"/>
    <n v="0"/>
    <n v="0"/>
    <n v="0"/>
    <n v="0"/>
    <n v="0"/>
    <n v="0"/>
  </r>
  <r>
    <d v="2014-04-21T00:00:00"/>
    <n v="5610"/>
    <n v="1965"/>
    <x v="5"/>
    <s v="Graduation"/>
    <s v="Together"/>
    <n v="33456"/>
    <n v="2"/>
    <n v="58"/>
    <n v="7"/>
    <n v="3"/>
    <n v="10"/>
    <n v="8"/>
    <n v="1"/>
    <n v="7"/>
    <n v="36"/>
    <n v="2"/>
    <n v="1"/>
    <n v="0"/>
    <n v="3"/>
    <n v="7"/>
    <n v="0"/>
    <n v="0"/>
    <n v="0"/>
    <n v="0"/>
    <n v="0"/>
    <n v="0"/>
    <n v="0"/>
  </r>
  <r>
    <d v="2014-01-27T00:00:00"/>
    <n v="3526"/>
    <n v="1968"/>
    <x v="0"/>
    <s v="PhD"/>
    <s v="Married"/>
    <n v="38443"/>
    <n v="2"/>
    <n v="58"/>
    <n v="32"/>
    <n v="0"/>
    <n v="5"/>
    <n v="0"/>
    <n v="0"/>
    <n v="1"/>
    <n v="38"/>
    <n v="2"/>
    <n v="1"/>
    <n v="0"/>
    <n v="3"/>
    <n v="7"/>
    <n v="0"/>
    <n v="0"/>
    <n v="0"/>
    <n v="0"/>
    <n v="0"/>
    <n v="0"/>
    <n v="0"/>
  </r>
  <r>
    <d v="2014-01-17T00:00:00"/>
    <n v="5136"/>
    <n v="1973"/>
    <x v="1"/>
    <s v="Graduation"/>
    <s v="Single"/>
    <n v="65333"/>
    <n v="1"/>
    <n v="58"/>
    <n v="654"/>
    <n v="7"/>
    <n v="92"/>
    <n v="0"/>
    <n v="15"/>
    <n v="30"/>
    <n v="798"/>
    <n v="7"/>
    <n v="9"/>
    <n v="4"/>
    <n v="8"/>
    <n v="6"/>
    <n v="0"/>
    <n v="1"/>
    <n v="1"/>
    <n v="0"/>
    <n v="0"/>
    <n v="0"/>
    <n v="0"/>
  </r>
  <r>
    <d v="2013-11-10T00:00:00"/>
    <n v="1411"/>
    <n v="1952"/>
    <x v="0"/>
    <s v="Graduation"/>
    <s v="Divorced"/>
    <n v="82623"/>
    <n v="0"/>
    <n v="58"/>
    <n v="204"/>
    <n v="34"/>
    <n v="204"/>
    <n v="172"/>
    <n v="153"/>
    <n v="173"/>
    <n v="940"/>
    <n v="1"/>
    <n v="2"/>
    <n v="9"/>
    <n v="4"/>
    <n v="1"/>
    <n v="0"/>
    <n v="0"/>
    <n v="0"/>
    <n v="0"/>
    <n v="0"/>
    <n v="0"/>
    <n v="0"/>
  </r>
  <r>
    <d v="2013-11-06T00:00:00"/>
    <n v="701"/>
    <n v="1971"/>
    <x v="0"/>
    <s v="Graduation"/>
    <s v="Married"/>
    <n v="73691"/>
    <n v="1"/>
    <n v="58"/>
    <n v="707"/>
    <n v="21"/>
    <n v="250"/>
    <n v="85"/>
    <n v="43"/>
    <n v="73"/>
    <n v="1179"/>
    <n v="2"/>
    <n v="6"/>
    <n v="2"/>
    <n v="8"/>
    <n v="2"/>
    <n v="1"/>
    <n v="0"/>
    <n v="0"/>
    <n v="0"/>
    <n v="0"/>
    <n v="0"/>
    <n v="0"/>
  </r>
  <r>
    <d v="2013-08-24T00:00:00"/>
    <n v="6203"/>
    <n v="1947"/>
    <x v="0"/>
    <s v="Graduation"/>
    <s v="Together"/>
    <n v="74485"/>
    <n v="0"/>
    <n v="58"/>
    <n v="499"/>
    <n v="149"/>
    <n v="815"/>
    <n v="173"/>
    <n v="49"/>
    <n v="49"/>
    <n v="1734"/>
    <n v="1"/>
    <n v="6"/>
    <n v="7"/>
    <n v="12"/>
    <n v="3"/>
    <n v="0"/>
    <n v="0"/>
    <n v="0"/>
    <n v="0"/>
    <n v="0"/>
    <n v="0"/>
    <n v="0"/>
  </r>
  <r>
    <d v="2013-04-15T00:00:00"/>
    <n v="7192"/>
    <n v="1955"/>
    <x v="0"/>
    <s v="Graduation"/>
    <s v="Together"/>
    <n v="65748"/>
    <n v="1"/>
    <n v="58"/>
    <n v="172"/>
    <n v="73"/>
    <n v="93"/>
    <n v="95"/>
    <n v="78"/>
    <n v="34"/>
    <n v="545"/>
    <n v="2"/>
    <n v="2"/>
    <n v="4"/>
    <n v="10"/>
    <n v="1"/>
    <n v="0"/>
    <n v="0"/>
    <n v="0"/>
    <n v="0"/>
    <n v="0"/>
    <n v="0"/>
    <n v="1"/>
  </r>
  <r>
    <d v="2013-03-20T00:00:00"/>
    <n v="5181"/>
    <n v="1982"/>
    <x v="0"/>
    <s v="Basic"/>
    <s v="Single"/>
    <n v="24367"/>
    <n v="1"/>
    <n v="58"/>
    <n v="2"/>
    <n v="4"/>
    <n v="2"/>
    <n v="0"/>
    <n v="11"/>
    <n v="5"/>
    <n v="24"/>
    <n v="1"/>
    <n v="1"/>
    <n v="0"/>
    <n v="2"/>
    <n v="9"/>
    <n v="0"/>
    <n v="0"/>
    <n v="0"/>
    <n v="0"/>
    <n v="0"/>
    <n v="0"/>
    <n v="0"/>
  </r>
  <r>
    <d v="2013-01-17T00:00:00"/>
    <n v="9220"/>
    <n v="1971"/>
    <x v="0"/>
    <s v="Graduation"/>
    <s v="Single"/>
    <n v="91700"/>
    <n v="0"/>
    <n v="58"/>
    <n v="576"/>
    <n v="172"/>
    <n v="961"/>
    <n v="125"/>
    <n v="115"/>
    <n v="19"/>
    <n v="1968"/>
    <n v="1"/>
    <n v="8"/>
    <n v="6"/>
    <n v="5"/>
    <n v="3"/>
    <n v="0"/>
    <n v="0"/>
    <n v="0"/>
    <n v="0"/>
    <n v="0"/>
    <n v="1"/>
    <n v="0"/>
  </r>
  <r>
    <d v="2012-12-19T00:00:00"/>
    <n v="7734"/>
    <n v="1993"/>
    <x v="3"/>
    <s v="Graduation"/>
    <s v="Single"/>
    <n v="79244"/>
    <n v="0"/>
    <n v="58"/>
    <n v="471"/>
    <n v="102"/>
    <n v="125"/>
    <n v="212"/>
    <n v="61"/>
    <n v="245"/>
    <n v="1216"/>
    <n v="1"/>
    <n v="4"/>
    <n v="10"/>
    <n v="7"/>
    <n v="1"/>
    <n v="0"/>
    <n v="0"/>
    <n v="1"/>
    <n v="1"/>
    <n v="0"/>
    <n v="1"/>
    <n v="0"/>
  </r>
  <r>
    <d v="2012-11-07T00:00:00"/>
    <n v="10446"/>
    <n v="1957"/>
    <x v="1"/>
    <s v="PhD"/>
    <s v="Married"/>
    <n v="82017"/>
    <n v="0"/>
    <n v="58"/>
    <n v="184"/>
    <n v="23"/>
    <n v="446"/>
    <n v="30"/>
    <n v="23"/>
    <n v="23"/>
    <n v="729"/>
    <n v="1"/>
    <n v="5"/>
    <n v="4"/>
    <n v="7"/>
    <n v="2"/>
    <n v="0"/>
    <n v="1"/>
    <n v="1"/>
    <n v="1"/>
    <n v="0"/>
    <n v="1"/>
    <n v="0"/>
  </r>
  <r>
    <d v="2012-09-04T00:00:00"/>
    <n v="5524"/>
    <n v="1957"/>
    <x v="2"/>
    <s v="Graduation"/>
    <s v="Single"/>
    <n v="58138"/>
    <n v="0"/>
    <n v="58"/>
    <n v="635"/>
    <n v="88"/>
    <n v="546"/>
    <n v="172"/>
    <n v="88"/>
    <n v="88"/>
    <n v="1617"/>
    <n v="3"/>
    <n v="8"/>
    <n v="10"/>
    <n v="4"/>
    <n v="7"/>
    <n v="0"/>
    <n v="0"/>
    <n v="0"/>
    <n v="0"/>
    <n v="0"/>
    <n v="1"/>
    <n v="0"/>
  </r>
  <r>
    <d v="2014-04-24T00:00:00"/>
    <n v="3830"/>
    <n v="1953"/>
    <x v="1"/>
    <s v="Master"/>
    <s v="Married"/>
    <n v="59354"/>
    <n v="2"/>
    <n v="59"/>
    <n v="295"/>
    <n v="21"/>
    <n v="78"/>
    <n v="39"/>
    <n v="13"/>
    <n v="13"/>
    <n v="459"/>
    <n v="1"/>
    <n v="4"/>
    <n v="4"/>
    <n v="7"/>
    <n v="3"/>
    <n v="0"/>
    <n v="0"/>
    <n v="0"/>
    <n v="0"/>
    <n v="0"/>
    <n v="0"/>
    <n v="0"/>
  </r>
  <r>
    <d v="2014-03-12T00:00:00"/>
    <n v="5186"/>
    <n v="1955"/>
    <x v="1"/>
    <s v="PhD"/>
    <s v="Married"/>
    <n v="58482"/>
    <n v="1"/>
    <n v="59"/>
    <n v="576"/>
    <n v="7"/>
    <n v="115"/>
    <n v="19"/>
    <n v="7"/>
    <n v="7"/>
    <n v="731"/>
    <n v="2"/>
    <n v="7"/>
    <n v="4"/>
    <n v="9"/>
    <n v="6"/>
    <n v="0"/>
    <n v="1"/>
    <n v="0"/>
    <n v="0"/>
    <n v="0"/>
    <n v="0"/>
    <n v="0"/>
  </r>
  <r>
    <d v="2014-01-17T00:00:00"/>
    <n v="8514"/>
    <n v="1976"/>
    <x v="0"/>
    <s v="Graduation"/>
    <s v="Together"/>
    <n v="29478"/>
    <n v="1"/>
    <n v="59"/>
    <n v="8"/>
    <n v="0"/>
    <n v="7"/>
    <n v="3"/>
    <n v="1"/>
    <n v="1"/>
    <n v="20"/>
    <n v="1"/>
    <n v="1"/>
    <n v="0"/>
    <n v="3"/>
    <n v="6"/>
    <n v="0"/>
    <n v="0"/>
    <n v="0"/>
    <n v="0"/>
    <n v="0"/>
    <n v="0"/>
    <n v="0"/>
  </r>
  <r>
    <d v="2013-10-22T00:00:00"/>
    <n v="7165"/>
    <n v="1972"/>
    <x v="0"/>
    <s v="Graduation"/>
    <s v="Together"/>
    <n v="64474"/>
    <n v="1"/>
    <n v="59"/>
    <n v="381"/>
    <n v="35"/>
    <n v="172"/>
    <n v="56"/>
    <n v="86"/>
    <n v="93"/>
    <n v="823"/>
    <n v="2"/>
    <n v="8"/>
    <n v="2"/>
    <n v="10"/>
    <n v="5"/>
    <n v="0"/>
    <n v="0"/>
    <n v="0"/>
    <n v="0"/>
    <n v="0"/>
    <n v="0"/>
    <n v="0"/>
  </r>
  <r>
    <d v="2013-09-16T00:00:00"/>
    <n v="10236"/>
    <n v="1975"/>
    <x v="6"/>
    <s v="Master"/>
    <s v="Single"/>
    <n v="31160"/>
    <n v="1"/>
    <n v="59"/>
    <n v="16"/>
    <n v="3"/>
    <n v="25"/>
    <n v="6"/>
    <n v="1"/>
    <n v="13"/>
    <n v="64"/>
    <n v="2"/>
    <n v="2"/>
    <n v="0"/>
    <n v="3"/>
    <n v="8"/>
    <n v="0"/>
    <n v="0"/>
    <n v="0"/>
    <n v="0"/>
    <n v="0"/>
    <n v="0"/>
    <n v="0"/>
  </r>
  <r>
    <d v="2013-07-29T00:00:00"/>
    <n v="2392"/>
    <n v="1972"/>
    <x v="0"/>
    <s v="Graduation"/>
    <s v="Married"/>
    <n v="40321"/>
    <n v="2"/>
    <n v="59"/>
    <n v="44"/>
    <n v="4"/>
    <n v="21"/>
    <n v="6"/>
    <n v="0"/>
    <n v="27"/>
    <n v="102"/>
    <n v="2"/>
    <n v="3"/>
    <n v="0"/>
    <n v="3"/>
    <n v="7"/>
    <n v="0"/>
    <n v="0"/>
    <n v="0"/>
    <n v="0"/>
    <n v="0"/>
    <n v="0"/>
    <n v="0"/>
  </r>
  <r>
    <d v="2013-07-29T00:00:00"/>
    <n v="1920"/>
    <n v="1972"/>
    <x v="0"/>
    <s v="Graduation"/>
    <s v="Married"/>
    <n v="40321"/>
    <n v="2"/>
    <n v="59"/>
    <n v="44"/>
    <n v="4"/>
    <n v="21"/>
    <n v="6"/>
    <n v="0"/>
    <n v="27"/>
    <n v="102"/>
    <n v="2"/>
    <n v="3"/>
    <n v="0"/>
    <n v="3"/>
    <n v="7"/>
    <n v="0"/>
    <n v="0"/>
    <n v="0"/>
    <n v="0"/>
    <n v="0"/>
    <n v="0"/>
    <n v="0"/>
  </r>
  <r>
    <d v="2013-07-14T00:00:00"/>
    <n v="3673"/>
    <n v="1971"/>
    <x v="6"/>
    <s v="Graduation"/>
    <s v="Single"/>
    <n v="55239"/>
    <n v="1"/>
    <n v="59"/>
    <n v="371"/>
    <n v="17"/>
    <n v="238"/>
    <n v="23"/>
    <n v="24"/>
    <n v="106"/>
    <n v="779"/>
    <n v="3"/>
    <n v="7"/>
    <n v="5"/>
    <n v="11"/>
    <n v="5"/>
    <n v="0"/>
    <n v="0"/>
    <n v="0"/>
    <n v="0"/>
    <n v="0"/>
    <n v="0"/>
    <n v="0"/>
  </r>
  <r>
    <d v="2013-07-06T00:00:00"/>
    <n v="1453"/>
    <n v="1943"/>
    <x v="0"/>
    <s v="PhD"/>
    <s v="Widow"/>
    <n v="57513"/>
    <n v="0"/>
    <n v="59"/>
    <n v="735"/>
    <n v="40"/>
    <n v="183"/>
    <n v="52"/>
    <n v="20"/>
    <n v="30"/>
    <n v="1060"/>
    <n v="2"/>
    <n v="9"/>
    <n v="3"/>
    <n v="13"/>
    <n v="6"/>
    <n v="0"/>
    <n v="0"/>
    <n v="0"/>
    <n v="0"/>
    <n v="0"/>
    <n v="0"/>
    <n v="0"/>
  </r>
  <r>
    <d v="2013-04-20T00:00:00"/>
    <n v="4518"/>
    <n v="1979"/>
    <x v="1"/>
    <s v="Graduation"/>
    <s v="Together"/>
    <n v="85693"/>
    <n v="1"/>
    <n v="59"/>
    <n v="386"/>
    <n v="172"/>
    <n v="183"/>
    <n v="185"/>
    <n v="132"/>
    <n v="111"/>
    <n v="1169"/>
    <n v="2"/>
    <n v="9"/>
    <n v="5"/>
    <n v="11"/>
    <n v="5"/>
    <n v="0"/>
    <n v="0"/>
    <n v="0"/>
    <n v="0"/>
    <n v="0"/>
    <n v="0"/>
    <n v="0"/>
  </r>
  <r>
    <d v="2013-01-16T00:00:00"/>
    <n v="8969"/>
    <n v="1977"/>
    <x v="6"/>
    <s v="Graduation"/>
    <s v="Married"/>
    <n v="71855"/>
    <n v="1"/>
    <n v="59"/>
    <n v="548"/>
    <n v="31"/>
    <n v="422"/>
    <n v="0"/>
    <n v="112"/>
    <n v="28"/>
    <n v="1141"/>
    <n v="4"/>
    <n v="5"/>
    <n v="5"/>
    <n v="11"/>
    <n v="3"/>
    <n v="0"/>
    <n v="0"/>
    <n v="0"/>
    <n v="0"/>
    <n v="0"/>
    <n v="0"/>
    <n v="0"/>
  </r>
  <r>
    <d v="2012-11-13T00:00:00"/>
    <n v="387"/>
    <n v="1976"/>
    <x v="2"/>
    <s v="Basic"/>
    <s v="Married"/>
    <n v="7500"/>
    <n v="0"/>
    <n v="59"/>
    <n v="6"/>
    <n v="16"/>
    <n v="11"/>
    <n v="11"/>
    <n v="1"/>
    <n v="16"/>
    <n v="61"/>
    <n v="1"/>
    <n v="2"/>
    <n v="0"/>
    <n v="3"/>
    <n v="8"/>
    <n v="0"/>
    <n v="0"/>
    <n v="0"/>
    <n v="0"/>
    <n v="0"/>
    <n v="0"/>
    <n v="0"/>
  </r>
  <r>
    <d v="2012-10-16T00:00:00"/>
    <n v="1079"/>
    <n v="1971"/>
    <x v="5"/>
    <s v="PhD"/>
    <s v="Married"/>
    <n v="71969"/>
    <n v="1"/>
    <n v="59"/>
    <n v="1000"/>
    <n v="0"/>
    <n v="76"/>
    <n v="0"/>
    <n v="0"/>
    <n v="10"/>
    <n v="1086"/>
    <n v="3"/>
    <n v="3"/>
    <n v="4"/>
    <n v="9"/>
    <n v="8"/>
    <n v="0"/>
    <n v="1"/>
    <n v="0"/>
    <n v="0"/>
    <n v="0"/>
    <n v="0"/>
    <n v="0"/>
  </r>
  <r>
    <d v="2012-10-13T00:00:00"/>
    <n v="164"/>
    <n v="1977"/>
    <x v="0"/>
    <s v="PhD"/>
    <s v="Married"/>
    <n v="28973"/>
    <n v="0"/>
    <n v="59"/>
    <n v="206"/>
    <n v="0"/>
    <n v="46"/>
    <n v="3"/>
    <n v="2"/>
    <n v="12"/>
    <n v="269"/>
    <n v="2"/>
    <n v="5"/>
    <n v="1"/>
    <n v="5"/>
    <n v="8"/>
    <n v="0"/>
    <n v="0"/>
    <n v="0"/>
    <n v="0"/>
    <n v="0"/>
    <n v="0"/>
    <n v="0"/>
  </r>
  <r>
    <d v="2014-05-12T00:00:00"/>
    <n v="3434"/>
    <n v="1951"/>
    <x v="0"/>
    <s v="Graduation"/>
    <s v="Single"/>
    <n v="80872"/>
    <n v="0"/>
    <n v="60"/>
    <n v="483"/>
    <n v="72"/>
    <n v="567"/>
    <n v="94"/>
    <n v="12"/>
    <n v="108"/>
    <n v="1336"/>
    <n v="1"/>
    <n v="4"/>
    <n v="4"/>
    <n v="10"/>
    <n v="1"/>
    <n v="0"/>
    <n v="0"/>
    <n v="0"/>
    <n v="0"/>
    <n v="0"/>
    <n v="0"/>
    <n v="0"/>
  </r>
  <r>
    <d v="2014-05-11T00:00:00"/>
    <n v="5721"/>
    <n v="1956"/>
    <x v="1"/>
    <s v="PhD"/>
    <s v="Married"/>
    <n v="84117"/>
    <n v="0"/>
    <n v="60"/>
    <n v="611"/>
    <n v="76"/>
    <n v="749"/>
    <n v="59"/>
    <n v="45"/>
    <n v="26"/>
    <n v="1566"/>
    <n v="1"/>
    <n v="7"/>
    <n v="10"/>
    <n v="6"/>
    <n v="2"/>
    <n v="0"/>
    <n v="0"/>
    <n v="1"/>
    <n v="0"/>
    <n v="0"/>
    <n v="0"/>
    <n v="0"/>
  </r>
  <r>
    <d v="2014-03-30T00:00:00"/>
    <n v="8418"/>
    <n v="1958"/>
    <x v="4"/>
    <s v="2n Cycle"/>
    <s v="Single"/>
    <n v="38741"/>
    <n v="2"/>
    <n v="60"/>
    <n v="7"/>
    <n v="10"/>
    <n v="17"/>
    <n v="8"/>
    <n v="6"/>
    <n v="13"/>
    <n v="61"/>
    <n v="2"/>
    <n v="2"/>
    <n v="0"/>
    <n v="3"/>
    <n v="7"/>
    <n v="0"/>
    <n v="0"/>
    <n v="0"/>
    <n v="0"/>
    <n v="0"/>
    <n v="0"/>
    <n v="0"/>
  </r>
  <r>
    <d v="2013-12-30T00:00:00"/>
    <n v="5300"/>
    <n v="1973"/>
    <x v="0"/>
    <s v="Master"/>
    <s v="Married"/>
    <n v="38961"/>
    <n v="1"/>
    <n v="60"/>
    <n v="19"/>
    <n v="7"/>
    <n v="19"/>
    <n v="0"/>
    <n v="1"/>
    <n v="24"/>
    <n v="70"/>
    <n v="1"/>
    <n v="2"/>
    <n v="1"/>
    <n v="2"/>
    <n v="7"/>
    <n v="0"/>
    <n v="0"/>
    <n v="0"/>
    <n v="0"/>
    <n v="0"/>
    <n v="0"/>
    <n v="0"/>
  </r>
  <r>
    <d v="2013-12-09T00:00:00"/>
    <n v="10424"/>
    <n v="1968"/>
    <x v="6"/>
    <s v="Graduation"/>
    <s v="Single"/>
    <n v="75922"/>
    <n v="0"/>
    <n v="60"/>
    <n v="265"/>
    <n v="138"/>
    <n v="553"/>
    <n v="224"/>
    <n v="23"/>
    <n v="92"/>
    <n v="1295"/>
    <n v="1"/>
    <n v="4"/>
    <n v="4"/>
    <n v="9"/>
    <n v="1"/>
    <n v="0"/>
    <n v="0"/>
    <n v="0"/>
    <n v="0"/>
    <n v="0"/>
    <n v="0"/>
    <n v="0"/>
  </r>
  <r>
    <d v="2013-10-11T00:00:00"/>
    <n v="11171"/>
    <n v="1965"/>
    <x v="3"/>
    <s v="Master"/>
    <s v="Married"/>
    <n v="56962"/>
    <n v="3"/>
    <n v="60"/>
    <n v="292"/>
    <n v="3"/>
    <n v="77"/>
    <n v="10"/>
    <n v="3"/>
    <n v="26"/>
    <n v="411"/>
    <n v="7"/>
    <n v="6"/>
    <n v="3"/>
    <n v="5"/>
    <n v="7"/>
    <n v="0"/>
    <n v="0"/>
    <n v="0"/>
    <n v="0"/>
    <n v="0"/>
    <n v="0"/>
    <n v="0"/>
  </r>
  <r>
    <d v="2013-10-11T00:00:00"/>
    <n v="1600"/>
    <n v="1965"/>
    <x v="6"/>
    <s v="Master"/>
    <s v="Married"/>
    <n v="56962"/>
    <n v="3"/>
    <n v="60"/>
    <n v="292"/>
    <n v="3"/>
    <n v="77"/>
    <n v="10"/>
    <n v="3"/>
    <n v="26"/>
    <n v="411"/>
    <n v="7"/>
    <n v="6"/>
    <n v="3"/>
    <n v="5"/>
    <n v="7"/>
    <n v="0"/>
    <n v="0"/>
    <n v="0"/>
    <n v="0"/>
    <n v="0"/>
    <n v="0"/>
    <n v="0"/>
  </r>
  <r>
    <d v="2013-09-22T00:00:00"/>
    <n v="7851"/>
    <n v="1949"/>
    <x v="0"/>
    <s v="Graduation"/>
    <s v="Widow"/>
    <n v="70165"/>
    <n v="0"/>
    <n v="60"/>
    <n v="161"/>
    <n v="0"/>
    <n v="253"/>
    <n v="199"/>
    <n v="191"/>
    <n v="122"/>
    <n v="926"/>
    <n v="1"/>
    <n v="3"/>
    <n v="7"/>
    <n v="11"/>
    <n v="1"/>
    <n v="0"/>
    <n v="0"/>
    <n v="0"/>
    <n v="0"/>
    <n v="0"/>
    <n v="0"/>
    <n v="0"/>
  </r>
  <r>
    <d v="2013-09-11T00:00:00"/>
    <n v="10701"/>
    <n v="1973"/>
    <x v="2"/>
    <s v="Graduation"/>
    <s v="Married"/>
    <n v="65308"/>
    <n v="0"/>
    <n v="60"/>
    <n v="713"/>
    <n v="0"/>
    <n v="264"/>
    <n v="120"/>
    <n v="80"/>
    <n v="34"/>
    <n v="1211"/>
    <n v="1"/>
    <n v="7"/>
    <n v="8"/>
    <n v="12"/>
    <n v="4"/>
    <n v="0"/>
    <n v="0"/>
    <n v="1"/>
    <n v="1"/>
    <n v="0"/>
    <n v="0"/>
    <n v="0"/>
  </r>
  <r>
    <d v="2013-09-07T00:00:00"/>
    <n v="891"/>
    <n v="1951"/>
    <x v="0"/>
    <s v="Master"/>
    <s v="Together"/>
    <n v="29298"/>
    <n v="2"/>
    <n v="60"/>
    <n v="6"/>
    <n v="0"/>
    <n v="2"/>
    <n v="2"/>
    <n v="0"/>
    <n v="1"/>
    <n v="11"/>
    <n v="1"/>
    <n v="1"/>
    <n v="0"/>
    <n v="2"/>
    <n v="5"/>
    <n v="0"/>
    <n v="0"/>
    <n v="0"/>
    <n v="0"/>
    <n v="0"/>
    <n v="0"/>
    <n v="0"/>
  </r>
  <r>
    <d v="2013-08-20T00:00:00"/>
    <n v="6912"/>
    <n v="1967"/>
    <x v="0"/>
    <s v="PhD"/>
    <s v="Married"/>
    <n v="63246"/>
    <n v="2"/>
    <n v="60"/>
    <n v="593"/>
    <n v="30"/>
    <n v="91"/>
    <n v="29"/>
    <n v="22"/>
    <n v="7"/>
    <n v="772"/>
    <n v="1"/>
    <n v="6"/>
    <n v="3"/>
    <n v="12"/>
    <n v="4"/>
    <n v="0"/>
    <n v="0"/>
    <n v="0"/>
    <n v="0"/>
    <n v="0"/>
    <n v="0"/>
    <n v="0"/>
  </r>
  <r>
    <d v="2013-07-18T00:00:00"/>
    <n v="5967"/>
    <n v="1952"/>
    <x v="4"/>
    <s v="Graduation"/>
    <s v="Together"/>
    <n v="33402"/>
    <n v="2"/>
    <n v="60"/>
    <n v="26"/>
    <n v="2"/>
    <n v="19"/>
    <n v="10"/>
    <n v="5"/>
    <n v="8"/>
    <n v="70"/>
    <n v="3"/>
    <n v="2"/>
    <n v="1"/>
    <n v="3"/>
    <n v="8"/>
    <n v="0"/>
    <n v="0"/>
    <n v="0"/>
    <n v="0"/>
    <n v="0"/>
    <n v="0"/>
    <n v="0"/>
  </r>
  <r>
    <d v="2013-04-23T00:00:00"/>
    <n v="2109"/>
    <n v="1990"/>
    <x v="0"/>
    <s v="Graduation"/>
    <s v="Single"/>
    <n v="96843"/>
    <n v="0"/>
    <n v="60"/>
    <n v="448"/>
    <n v="71"/>
    <n v="951"/>
    <n v="40"/>
    <n v="17"/>
    <n v="17"/>
    <n v="1544"/>
    <n v="1"/>
    <n v="6"/>
    <n v="11"/>
    <n v="10"/>
    <n v="2"/>
    <n v="0"/>
    <n v="0"/>
    <n v="1"/>
    <n v="0"/>
    <n v="0"/>
    <n v="1"/>
    <n v="0"/>
  </r>
  <r>
    <d v="2013-03-30T00:00:00"/>
    <n v="6292"/>
    <n v="1986"/>
    <x v="4"/>
    <s v="PhD"/>
    <s v="Married"/>
    <n v="82333"/>
    <n v="0"/>
    <n v="60"/>
    <n v="1311"/>
    <n v="0"/>
    <n v="359"/>
    <n v="46"/>
    <n v="89"/>
    <n v="17"/>
    <n v="1822"/>
    <n v="1"/>
    <n v="4"/>
    <n v="3"/>
    <n v="10"/>
    <n v="2"/>
    <n v="0"/>
    <n v="0"/>
    <n v="1"/>
    <n v="0"/>
    <n v="0"/>
    <n v="1"/>
    <n v="0"/>
  </r>
  <r>
    <d v="2013-02-27T00:00:00"/>
    <n v="8537"/>
    <n v="1949"/>
    <x v="0"/>
    <s v="Graduation"/>
    <s v="Widow"/>
    <n v="72643"/>
    <n v="0"/>
    <n v="60"/>
    <n v="526"/>
    <n v="80"/>
    <n v="553"/>
    <n v="123"/>
    <n v="94"/>
    <n v="53"/>
    <n v="1429"/>
    <n v="1"/>
    <n v="3"/>
    <n v="10"/>
    <n v="7"/>
    <n v="2"/>
    <n v="0"/>
    <n v="0"/>
    <n v="0"/>
    <n v="1"/>
    <n v="0"/>
    <n v="1"/>
    <n v="0"/>
  </r>
  <r>
    <d v="2013-02-11T00:00:00"/>
    <n v="9576"/>
    <n v="1982"/>
    <x v="0"/>
    <s v="PhD"/>
    <s v="Together"/>
    <n v="32313"/>
    <n v="1"/>
    <n v="60"/>
    <n v="86"/>
    <n v="4"/>
    <n v="56"/>
    <n v="2"/>
    <n v="4"/>
    <n v="7"/>
    <n v="159"/>
    <n v="3"/>
    <n v="4"/>
    <n v="0"/>
    <n v="4"/>
    <n v="9"/>
    <n v="0"/>
    <n v="0"/>
    <n v="0"/>
    <n v="0"/>
    <n v="0"/>
    <n v="0"/>
    <n v="0"/>
  </r>
  <r>
    <d v="2012-12-24T00:00:00"/>
    <n v="5935"/>
    <n v="1956"/>
    <x v="5"/>
    <s v="Master"/>
    <s v="Single"/>
    <n v="55284"/>
    <n v="1"/>
    <n v="60"/>
    <n v="547"/>
    <n v="7"/>
    <n v="140"/>
    <n v="0"/>
    <n v="7"/>
    <n v="63"/>
    <n v="764"/>
    <n v="3"/>
    <n v="7"/>
    <n v="5"/>
    <n v="8"/>
    <n v="5"/>
    <n v="0"/>
    <n v="0"/>
    <n v="0"/>
    <n v="0"/>
    <n v="0"/>
    <n v="0"/>
    <n v="0"/>
  </r>
  <r>
    <d v="2012-10-10T00:00:00"/>
    <n v="10264"/>
    <n v="1979"/>
    <x v="6"/>
    <s v="Graduation"/>
    <s v="Divorced"/>
    <n v="15287"/>
    <n v="1"/>
    <n v="60"/>
    <n v="1"/>
    <n v="2"/>
    <n v="8"/>
    <n v="4"/>
    <n v="3"/>
    <n v="13"/>
    <n v="31"/>
    <n v="2"/>
    <n v="1"/>
    <n v="1"/>
    <n v="2"/>
    <n v="7"/>
    <n v="1"/>
    <n v="0"/>
    <n v="0"/>
    <n v="0"/>
    <n v="0"/>
    <n v="1"/>
    <n v="0"/>
  </r>
  <r>
    <d v="2012-10-10T00:00:00"/>
    <n v="234"/>
    <n v="1979"/>
    <x v="0"/>
    <s v="Graduation"/>
    <s v="Divorced"/>
    <n v="15287"/>
    <n v="1"/>
    <n v="60"/>
    <n v="1"/>
    <n v="2"/>
    <n v="8"/>
    <n v="4"/>
    <n v="3"/>
    <n v="13"/>
    <n v="31"/>
    <n v="2"/>
    <n v="1"/>
    <n v="1"/>
    <n v="2"/>
    <n v="7"/>
    <n v="1"/>
    <n v="0"/>
    <n v="0"/>
    <n v="0"/>
    <n v="0"/>
    <n v="1"/>
    <n v="0"/>
  </r>
  <r>
    <d v="2012-10-01T00:00:00"/>
    <n v="3202"/>
    <n v="1987"/>
    <x v="6"/>
    <s v="PhD"/>
    <s v="Married"/>
    <n v="51563"/>
    <n v="0"/>
    <n v="60"/>
    <n v="1166"/>
    <n v="0"/>
    <n v="48"/>
    <n v="0"/>
    <n v="0"/>
    <n v="36"/>
    <n v="1250"/>
    <n v="1"/>
    <n v="4"/>
    <n v="4"/>
    <n v="10"/>
    <n v="8"/>
    <n v="0"/>
    <n v="1"/>
    <n v="1"/>
    <n v="0"/>
    <n v="0"/>
    <n v="0"/>
    <n v="0"/>
  </r>
  <r>
    <d v="2012-09-29T00:00:00"/>
    <n v="1103"/>
    <n v="1976"/>
    <x v="3"/>
    <s v="Master"/>
    <s v="Married"/>
    <n v="81929"/>
    <n v="1"/>
    <n v="60"/>
    <n v="1486"/>
    <n v="55"/>
    <n v="278"/>
    <n v="49"/>
    <n v="0"/>
    <n v="185"/>
    <n v="2053"/>
    <n v="2"/>
    <n v="4"/>
    <n v="4"/>
    <n v="10"/>
    <n v="6"/>
    <n v="1"/>
    <n v="0"/>
    <n v="1"/>
    <n v="0"/>
    <n v="0"/>
    <n v="1"/>
    <n v="0"/>
  </r>
  <r>
    <d v="2012-08-07T00:00:00"/>
    <n v="610"/>
    <n v="1953"/>
    <x v="3"/>
    <s v="PhD"/>
    <s v="Together"/>
    <n v="53593"/>
    <n v="2"/>
    <n v="60"/>
    <n v="349"/>
    <n v="4"/>
    <n v="78"/>
    <n v="6"/>
    <n v="0"/>
    <n v="43"/>
    <n v="480"/>
    <n v="8"/>
    <n v="7"/>
    <n v="2"/>
    <n v="6"/>
    <n v="8"/>
    <n v="0"/>
    <n v="0"/>
    <n v="0"/>
    <n v="0"/>
    <n v="0"/>
    <n v="0"/>
    <n v="0"/>
  </r>
  <r>
    <d v="2014-03-09T00:00:00"/>
    <n v="4480"/>
    <n v="1973"/>
    <x v="6"/>
    <s v="Master"/>
    <s v="Married"/>
    <n v="60432"/>
    <n v="1"/>
    <n v="61"/>
    <n v="365"/>
    <n v="3"/>
    <n v="15"/>
    <n v="4"/>
    <n v="3"/>
    <n v="11"/>
    <n v="401"/>
    <n v="5"/>
    <n v="7"/>
    <n v="2"/>
    <n v="5"/>
    <n v="6"/>
    <n v="0"/>
    <n v="0"/>
    <n v="0"/>
    <n v="0"/>
    <n v="0"/>
    <n v="0"/>
    <n v="0"/>
  </r>
  <r>
    <d v="2014-01-12T00:00:00"/>
    <n v="10660"/>
    <n v="1957"/>
    <x v="0"/>
    <s v="Master"/>
    <s v="Married"/>
    <n v="66726"/>
    <n v="2"/>
    <n v="61"/>
    <n v="349"/>
    <n v="7"/>
    <n v="35"/>
    <n v="0"/>
    <n v="0"/>
    <n v="47"/>
    <n v="438"/>
    <n v="3"/>
    <n v="8"/>
    <n v="2"/>
    <n v="4"/>
    <n v="7"/>
    <n v="0"/>
    <n v="1"/>
    <n v="0"/>
    <n v="0"/>
    <n v="0"/>
    <n v="0"/>
    <n v="0"/>
  </r>
  <r>
    <d v="2014-01-06T00:00:00"/>
    <n v="9353"/>
    <n v="1959"/>
    <x v="5"/>
    <s v="Graduation"/>
    <s v="Single"/>
    <n v="62450"/>
    <n v="1"/>
    <n v="61"/>
    <n v="515"/>
    <n v="47"/>
    <n v="267"/>
    <n v="62"/>
    <n v="66"/>
    <n v="38"/>
    <n v="995"/>
    <n v="2"/>
    <n v="5"/>
    <n v="5"/>
    <n v="4"/>
    <n v="3"/>
    <n v="0"/>
    <n v="1"/>
    <n v="0"/>
    <n v="0"/>
    <n v="0"/>
    <n v="0"/>
    <n v="0"/>
  </r>
  <r>
    <d v="2013-12-17T00:00:00"/>
    <n v="4120"/>
    <n v="1975"/>
    <x v="5"/>
    <s v="2n Cycle"/>
    <s v="Single"/>
    <n v="49514"/>
    <n v="1"/>
    <n v="61"/>
    <n v="88"/>
    <n v="39"/>
    <n v="78"/>
    <n v="58"/>
    <n v="13"/>
    <n v="93"/>
    <n v="369"/>
    <n v="2"/>
    <n v="6"/>
    <n v="1"/>
    <n v="4"/>
    <n v="7"/>
    <n v="0"/>
    <n v="0"/>
    <n v="0"/>
    <n v="0"/>
    <n v="0"/>
    <n v="0"/>
    <n v="0"/>
  </r>
  <r>
    <d v="2013-09-16T00:00:00"/>
    <n v="2836"/>
    <n v="1972"/>
    <x v="4"/>
    <s v="PhD"/>
    <s v="Married"/>
    <n v="43269"/>
    <n v="1"/>
    <n v="61"/>
    <n v="10"/>
    <n v="1"/>
    <n v="7"/>
    <n v="0"/>
    <n v="0"/>
    <n v="1"/>
    <n v="19"/>
    <n v="1"/>
    <n v="1"/>
    <n v="0"/>
    <n v="2"/>
    <n v="8"/>
    <n v="0"/>
    <n v="0"/>
    <n v="0"/>
    <n v="0"/>
    <n v="0"/>
    <n v="0"/>
    <n v="0"/>
  </r>
  <r>
    <d v="2013-07-07T00:00:00"/>
    <n v="9579"/>
    <n v="1959"/>
    <x v="1"/>
    <s v="PhD"/>
    <s v="Married"/>
    <n v="33762"/>
    <n v="3"/>
    <n v="61"/>
    <n v="53"/>
    <n v="1"/>
    <n v="34"/>
    <n v="2"/>
    <n v="0"/>
    <n v="16"/>
    <n v="106"/>
    <n v="3"/>
    <n v="2"/>
    <n v="2"/>
    <n v="2"/>
    <n v="8"/>
    <n v="0"/>
    <n v="0"/>
    <n v="0"/>
    <n v="0"/>
    <n v="0"/>
    <n v="0"/>
    <n v="0"/>
  </r>
  <r>
    <d v="2013-06-28T00:00:00"/>
    <n v="5841"/>
    <n v="1966"/>
    <x v="0"/>
    <s v="Graduation"/>
    <s v="Together"/>
    <n v="60894"/>
    <n v="1"/>
    <n v="61"/>
    <n v="606"/>
    <n v="7"/>
    <n v="155"/>
    <n v="10"/>
    <n v="0"/>
    <n v="54"/>
    <n v="832"/>
    <n v="5"/>
    <n v="10"/>
    <n v="3"/>
    <n v="8"/>
    <n v="7"/>
    <n v="0"/>
    <n v="0"/>
    <n v="0"/>
    <n v="0"/>
    <n v="0"/>
    <n v="0"/>
    <n v="0"/>
  </r>
  <r>
    <d v="2013-05-22T00:00:00"/>
    <n v="3174"/>
    <n v="1959"/>
    <x v="0"/>
    <s v="Graduation"/>
    <s v="Together"/>
    <n v="87771"/>
    <n v="1"/>
    <n v="61"/>
    <n v="1492"/>
    <n v="38"/>
    <n v="287"/>
    <n v="50"/>
    <n v="57"/>
    <n v="33"/>
    <n v="1957"/>
    <n v="1"/>
    <n v="5"/>
    <n v="10"/>
    <n v="4"/>
    <n v="6"/>
    <n v="0"/>
    <n v="1"/>
    <n v="1"/>
    <n v="1"/>
    <n v="1"/>
    <n v="1"/>
    <n v="0"/>
  </r>
  <r>
    <d v="2013-05-22T00:00:00"/>
    <n v="5536"/>
    <n v="1959"/>
    <x v="1"/>
    <s v="Graduation"/>
    <s v="Together"/>
    <n v="87771"/>
    <n v="1"/>
    <n v="61"/>
    <n v="1492"/>
    <n v="38"/>
    <n v="287"/>
    <n v="50"/>
    <n v="57"/>
    <n v="33"/>
    <n v="1957"/>
    <n v="1"/>
    <n v="5"/>
    <n v="10"/>
    <n v="4"/>
    <n v="6"/>
    <n v="0"/>
    <n v="1"/>
    <n v="1"/>
    <n v="1"/>
    <n v="1"/>
    <n v="1"/>
    <n v="0"/>
  </r>
  <r>
    <d v="2013-05-11T00:00:00"/>
    <n v="2061"/>
    <n v="1955"/>
    <x v="0"/>
    <s v="Graduation"/>
    <s v="Married"/>
    <n v="50737"/>
    <n v="1"/>
    <n v="61"/>
    <n v="78"/>
    <n v="0"/>
    <n v="11"/>
    <n v="0"/>
    <n v="0"/>
    <n v="10"/>
    <n v="99"/>
    <n v="1"/>
    <n v="2"/>
    <n v="0"/>
    <n v="4"/>
    <n v="6"/>
    <n v="0"/>
    <n v="1"/>
    <n v="0"/>
    <n v="0"/>
    <n v="0"/>
    <n v="0"/>
    <n v="0"/>
  </r>
  <r>
    <d v="2013-03-11T00:00:00"/>
    <n v="8477"/>
    <n v="1956"/>
    <x v="0"/>
    <s v="Graduation"/>
    <s v="Divorced"/>
    <n v="26150"/>
    <n v="3"/>
    <n v="61"/>
    <n v="5"/>
    <n v="1"/>
    <n v="13"/>
    <n v="3"/>
    <n v="5"/>
    <n v="1"/>
    <n v="28"/>
    <n v="1"/>
    <n v="1"/>
    <n v="0"/>
    <n v="3"/>
    <n v="7"/>
    <n v="0"/>
    <n v="0"/>
    <n v="0"/>
    <n v="0"/>
    <n v="0"/>
    <n v="0"/>
    <n v="0"/>
  </r>
  <r>
    <d v="2013-03-11T00:00:00"/>
    <n v="640"/>
    <n v="1951"/>
    <x v="0"/>
    <s v="Graduation"/>
    <s v="Married"/>
    <n v="57304"/>
    <n v="1"/>
    <n v="61"/>
    <n v="356"/>
    <n v="80"/>
    <n v="329"/>
    <n v="138"/>
    <n v="17"/>
    <n v="106"/>
    <n v="1026"/>
    <n v="2"/>
    <n v="7"/>
    <n v="6"/>
    <n v="10"/>
    <n v="5"/>
    <n v="0"/>
    <n v="0"/>
    <n v="0"/>
    <n v="0"/>
    <n v="0"/>
    <n v="0"/>
    <n v="0"/>
  </r>
  <r>
    <d v="2013-02-17T00:00:00"/>
    <n v="3828"/>
    <n v="1951"/>
    <x v="0"/>
    <s v="Graduation"/>
    <s v="Married"/>
    <n v="71107"/>
    <n v="1"/>
    <n v="61"/>
    <n v="533"/>
    <n v="10"/>
    <n v="217"/>
    <n v="198"/>
    <n v="174"/>
    <n v="195"/>
    <n v="1327"/>
    <n v="2"/>
    <n v="7"/>
    <n v="6"/>
    <n v="13"/>
    <n v="4"/>
    <n v="0"/>
    <n v="0"/>
    <n v="0"/>
    <n v="0"/>
    <n v="0"/>
    <n v="0"/>
    <n v="0"/>
  </r>
  <r>
    <d v="2013-02-11T00:00:00"/>
    <n v="4093"/>
    <n v="1975"/>
    <x v="1"/>
    <s v="Master"/>
    <s v="Together"/>
    <n v="53253"/>
    <n v="2"/>
    <n v="61"/>
    <n v="216"/>
    <n v="9"/>
    <n v="57"/>
    <n v="20"/>
    <n v="9"/>
    <n v="125"/>
    <n v="436"/>
    <n v="7"/>
    <n v="4"/>
    <n v="3"/>
    <n v="5"/>
    <n v="5"/>
    <n v="0"/>
    <n v="0"/>
    <n v="0"/>
    <n v="0"/>
    <n v="0"/>
    <n v="0"/>
    <n v="0"/>
  </r>
  <r>
    <d v="2013-02-06T00:00:00"/>
    <n v="8624"/>
    <n v="1958"/>
    <x v="6"/>
    <s v="Graduation"/>
    <s v="Married"/>
    <n v="81320"/>
    <n v="0"/>
    <n v="61"/>
    <n v="183"/>
    <n v="33"/>
    <n v="493"/>
    <n v="59"/>
    <n v="103"/>
    <n v="57"/>
    <n v="928"/>
    <n v="1"/>
    <n v="4"/>
    <n v="3"/>
    <n v="10"/>
    <n v="2"/>
    <n v="0"/>
    <n v="0"/>
    <n v="0"/>
    <n v="0"/>
    <n v="0"/>
    <n v="0"/>
    <n v="0"/>
  </r>
  <r>
    <d v="2012-12-15T00:00:00"/>
    <n v="2802"/>
    <n v="1992"/>
    <x v="3"/>
    <s v="2n Cycle"/>
    <s v="Married"/>
    <n v="87000"/>
    <n v="0"/>
    <n v="61"/>
    <n v="196"/>
    <n v="25"/>
    <n v="607"/>
    <n v="67"/>
    <n v="17"/>
    <n v="49"/>
    <n v="961"/>
    <n v="1"/>
    <n v="4"/>
    <n v="6"/>
    <n v="7"/>
    <n v="2"/>
    <n v="0"/>
    <n v="0"/>
    <n v="0"/>
    <n v="0"/>
    <n v="0"/>
    <n v="0"/>
    <n v="0"/>
  </r>
  <r>
    <d v="2012-11-29T00:00:00"/>
    <n v="368"/>
    <n v="1974"/>
    <x v="5"/>
    <s v="Graduation"/>
    <s v="Married"/>
    <n v="40049"/>
    <n v="1"/>
    <n v="61"/>
    <n v="91"/>
    <n v="65"/>
    <n v="52"/>
    <n v="10"/>
    <n v="44"/>
    <n v="28"/>
    <n v="290"/>
    <n v="3"/>
    <n v="3"/>
    <n v="2"/>
    <n v="6"/>
    <n v="5"/>
    <n v="0"/>
    <n v="0"/>
    <n v="0"/>
    <n v="0"/>
    <n v="0"/>
    <n v="0"/>
    <n v="0"/>
  </r>
  <r>
    <d v="2012-11-26T00:00:00"/>
    <n v="3599"/>
    <n v="1970"/>
    <x v="0"/>
    <s v="Graduation"/>
    <s v="Married"/>
    <n v="63684"/>
    <n v="1"/>
    <n v="61"/>
    <n v="575"/>
    <n v="80"/>
    <n v="428"/>
    <n v="208"/>
    <n v="93"/>
    <n v="80"/>
    <n v="1464"/>
    <n v="3"/>
    <n v="8"/>
    <n v="4"/>
    <n v="8"/>
    <n v="5"/>
    <n v="0"/>
    <n v="0"/>
    <n v="0"/>
    <n v="0"/>
    <n v="0"/>
    <n v="0"/>
    <n v="0"/>
  </r>
  <r>
    <d v="2012-11-22T00:00:00"/>
    <n v="3389"/>
    <n v="1970"/>
    <x v="0"/>
    <s v="Graduation"/>
    <s v="Married"/>
    <n v="69016"/>
    <n v="1"/>
    <n v="61"/>
    <n v="726"/>
    <n v="53"/>
    <n v="363"/>
    <n v="123"/>
    <n v="107"/>
    <n v="161"/>
    <n v="1533"/>
    <n v="4"/>
    <n v="8"/>
    <n v="9"/>
    <n v="13"/>
    <n v="5"/>
    <n v="0"/>
    <n v="0"/>
    <n v="0"/>
    <n v="0"/>
    <n v="0"/>
    <n v="0"/>
    <n v="0"/>
  </r>
  <r>
    <d v="2012-08-29T00:00:00"/>
    <n v="10710"/>
    <n v="1979"/>
    <x v="0"/>
    <s v="Graduation"/>
    <s v="Married"/>
    <n v="7500"/>
    <n v="1"/>
    <n v="61"/>
    <n v="5"/>
    <n v="2"/>
    <n v="3"/>
    <n v="3"/>
    <n v="0"/>
    <n v="5"/>
    <n v="18"/>
    <n v="1"/>
    <n v="1"/>
    <n v="0"/>
    <n v="2"/>
    <n v="8"/>
    <n v="0"/>
    <n v="0"/>
    <n v="0"/>
    <n v="0"/>
    <n v="0"/>
    <n v="0"/>
    <n v="0"/>
  </r>
  <r>
    <d v="2012-08-01T00:00:00"/>
    <n v="7118"/>
    <n v="1957"/>
    <x v="1"/>
    <s v="Graduation"/>
    <s v="Married"/>
    <n v="73803"/>
    <n v="1"/>
    <n v="61"/>
    <n v="833"/>
    <n v="80"/>
    <n v="363"/>
    <n v="52"/>
    <n v="26"/>
    <n v="174"/>
    <n v="1528"/>
    <n v="2"/>
    <n v="9"/>
    <n v="5"/>
    <n v="6"/>
    <n v="6"/>
    <n v="1"/>
    <n v="0"/>
    <n v="0"/>
    <n v="0"/>
    <n v="0"/>
    <n v="1"/>
    <n v="0"/>
  </r>
  <r>
    <d v="2014-06-10T00:00:00"/>
    <n v="4937"/>
    <n v="1973"/>
    <x v="0"/>
    <s v="2n Cycle"/>
    <s v="Married"/>
    <n v="46094"/>
    <n v="2"/>
    <n v="62"/>
    <n v="12"/>
    <n v="2"/>
    <n v="20"/>
    <n v="3"/>
    <n v="2"/>
    <n v="5"/>
    <n v="44"/>
    <n v="1"/>
    <n v="1"/>
    <n v="0"/>
    <n v="3"/>
    <n v="7"/>
    <n v="0"/>
    <n v="0"/>
    <n v="0"/>
    <n v="0"/>
    <n v="0"/>
    <n v="0"/>
    <n v="0"/>
  </r>
  <r>
    <d v="2014-05-29T00:00:00"/>
    <n v="1127"/>
    <n v="1973"/>
    <x v="0"/>
    <s v="PhD"/>
    <s v="Married"/>
    <n v="85844"/>
    <n v="0"/>
    <n v="62"/>
    <n v="938"/>
    <n v="19"/>
    <n v="843"/>
    <n v="25"/>
    <n v="95"/>
    <n v="38"/>
    <n v="1958"/>
    <n v="1"/>
    <n v="6"/>
    <n v="6"/>
    <n v="7"/>
    <n v="2"/>
    <n v="0"/>
    <n v="0"/>
    <n v="1"/>
    <n v="0"/>
    <n v="0"/>
    <n v="0"/>
    <n v="0"/>
  </r>
  <r>
    <d v="2014-03-30T00:00:00"/>
    <n v="833"/>
    <n v="1955"/>
    <x v="0"/>
    <s v="Master"/>
    <s v="Married"/>
    <n v="38452"/>
    <n v="2"/>
    <n v="62"/>
    <n v="56"/>
    <n v="0"/>
    <n v="14"/>
    <n v="0"/>
    <n v="0"/>
    <n v="2"/>
    <n v="72"/>
    <n v="3"/>
    <n v="3"/>
    <n v="0"/>
    <n v="3"/>
    <n v="7"/>
    <n v="0"/>
    <n v="0"/>
    <n v="0"/>
    <n v="0"/>
    <n v="0"/>
    <n v="0"/>
    <n v="0"/>
  </r>
  <r>
    <d v="2014-03-30T00:00:00"/>
    <n v="3565"/>
    <n v="1955"/>
    <x v="0"/>
    <s v="Master"/>
    <s v="Married"/>
    <n v="38452"/>
    <n v="2"/>
    <n v="62"/>
    <n v="56"/>
    <n v="0"/>
    <n v="14"/>
    <n v="0"/>
    <n v="0"/>
    <n v="2"/>
    <n v="72"/>
    <n v="3"/>
    <n v="3"/>
    <n v="0"/>
    <n v="3"/>
    <n v="7"/>
    <n v="0"/>
    <n v="0"/>
    <n v="0"/>
    <n v="0"/>
    <n v="0"/>
    <n v="0"/>
    <n v="0"/>
  </r>
  <r>
    <d v="2013-11-23T00:00:00"/>
    <n v="6086"/>
    <n v="1955"/>
    <x v="3"/>
    <s v="Graduation"/>
    <s v="Married"/>
    <n v="80395"/>
    <n v="0"/>
    <n v="62"/>
    <n v="445"/>
    <n v="25"/>
    <n v="706"/>
    <n v="80"/>
    <n v="76"/>
    <n v="48"/>
    <n v="1380"/>
    <n v="1"/>
    <n v="6"/>
    <n v="5"/>
    <n v="12"/>
    <n v="2"/>
    <n v="0"/>
    <n v="0"/>
    <n v="0"/>
    <n v="1"/>
    <n v="0"/>
    <n v="0"/>
    <n v="0"/>
  </r>
  <r>
    <d v="2013-07-27T00:00:00"/>
    <n v="1763"/>
    <n v="1988"/>
    <x v="1"/>
    <s v="Graduation"/>
    <s v="Together"/>
    <n v="87679"/>
    <n v="0"/>
    <n v="62"/>
    <n v="1259"/>
    <n v="172"/>
    <n v="815"/>
    <n v="97"/>
    <n v="148"/>
    <n v="33"/>
    <n v="2524"/>
    <n v="1"/>
    <n v="7"/>
    <n v="11"/>
    <n v="10"/>
    <n v="4"/>
    <n v="1"/>
    <n v="0"/>
    <n v="1"/>
    <n v="1"/>
    <n v="0"/>
    <n v="1"/>
    <n v="0"/>
  </r>
  <r>
    <d v="2013-06-13T00:00:00"/>
    <n v="4697"/>
    <n v="1949"/>
    <x v="6"/>
    <s v="Master"/>
    <s v="Divorced"/>
    <n v="35416"/>
    <n v="0"/>
    <n v="62"/>
    <n v="248"/>
    <n v="3"/>
    <n v="81"/>
    <n v="4"/>
    <n v="3"/>
    <n v="51"/>
    <n v="390"/>
    <n v="3"/>
    <n v="7"/>
    <n v="1"/>
    <n v="5"/>
    <n v="8"/>
    <n v="0"/>
    <n v="0"/>
    <n v="0"/>
    <n v="0"/>
    <n v="0"/>
    <n v="0"/>
    <n v="0"/>
  </r>
  <r>
    <d v="2013-05-11T00:00:00"/>
    <n v="182"/>
    <n v="1946"/>
    <x v="0"/>
    <s v="PhD"/>
    <s v="Together"/>
    <n v="44124"/>
    <n v="1"/>
    <n v="62"/>
    <n v="284"/>
    <n v="0"/>
    <n v="55"/>
    <n v="0"/>
    <n v="6"/>
    <n v="52"/>
    <n v="397"/>
    <n v="4"/>
    <n v="6"/>
    <n v="2"/>
    <n v="5"/>
    <n v="8"/>
    <n v="0"/>
    <n v="0"/>
    <n v="0"/>
    <n v="0"/>
    <n v="0"/>
    <n v="0"/>
    <n v="0"/>
  </r>
  <r>
    <d v="2013-05-02T00:00:00"/>
    <n v="1165"/>
    <n v="1958"/>
    <x v="6"/>
    <s v="PhD"/>
    <s v="Single"/>
    <n v="50729"/>
    <n v="2"/>
    <n v="62"/>
    <n v="239"/>
    <n v="13"/>
    <n v="143"/>
    <n v="45"/>
    <n v="4"/>
    <n v="52"/>
    <n v="496"/>
    <n v="9"/>
    <n v="6"/>
    <n v="2"/>
    <n v="7"/>
    <n v="6"/>
    <n v="0"/>
    <n v="0"/>
    <n v="0"/>
    <n v="0"/>
    <n v="0"/>
    <n v="0"/>
    <n v="0"/>
  </r>
  <r>
    <d v="2013-03-04T00:00:00"/>
    <n v="5386"/>
    <n v="1953"/>
    <x v="6"/>
    <s v="Graduation"/>
    <s v="Together"/>
    <n v="94384"/>
    <n v="0"/>
    <n v="62"/>
    <n v="1111"/>
    <n v="24"/>
    <n v="790"/>
    <n v="160"/>
    <n v="45"/>
    <n v="172"/>
    <n v="2302"/>
    <n v="0"/>
    <n v="5"/>
    <n v="8"/>
    <n v="5"/>
    <n v="2"/>
    <n v="0"/>
    <n v="1"/>
    <n v="1"/>
    <n v="1"/>
    <n v="0"/>
    <n v="1"/>
    <n v="0"/>
  </r>
  <r>
    <d v="2013-03-04T00:00:00"/>
    <n v="6024"/>
    <n v="1953"/>
    <x v="0"/>
    <s v="Graduation"/>
    <s v="Together"/>
    <n v="94384"/>
    <n v="0"/>
    <n v="62"/>
    <n v="1111"/>
    <n v="24"/>
    <n v="790"/>
    <n v="160"/>
    <n v="45"/>
    <n v="172"/>
    <n v="2302"/>
    <n v="0"/>
    <n v="5"/>
    <n v="8"/>
    <n v="5"/>
    <n v="2"/>
    <n v="0"/>
    <n v="1"/>
    <n v="1"/>
    <n v="1"/>
    <n v="0"/>
    <n v="1"/>
    <n v="0"/>
  </r>
  <r>
    <d v="2013-02-13T00:00:00"/>
    <n v="2678"/>
    <n v="1990"/>
    <x v="3"/>
    <s v="Graduation"/>
    <s v="Single"/>
    <n v="34412"/>
    <n v="1"/>
    <n v="62"/>
    <n v="52"/>
    <n v="12"/>
    <n v="50"/>
    <n v="4"/>
    <n v="36"/>
    <n v="55"/>
    <n v="209"/>
    <n v="3"/>
    <n v="5"/>
    <n v="0"/>
    <n v="3"/>
    <n v="9"/>
    <n v="0"/>
    <n v="0"/>
    <n v="0"/>
    <n v="0"/>
    <n v="0"/>
    <n v="0"/>
    <n v="0"/>
  </r>
  <r>
    <d v="2013-01-27T00:00:00"/>
    <n v="5790"/>
    <n v="1985"/>
    <x v="0"/>
    <s v="Graduation"/>
    <s v="Married"/>
    <n v="31158"/>
    <n v="1"/>
    <n v="62"/>
    <n v="25"/>
    <n v="6"/>
    <n v="16"/>
    <n v="20"/>
    <n v="0"/>
    <n v="5"/>
    <n v="72"/>
    <n v="2"/>
    <n v="2"/>
    <n v="0"/>
    <n v="3"/>
    <n v="8"/>
    <n v="0"/>
    <n v="0"/>
    <n v="0"/>
    <n v="0"/>
    <n v="0"/>
    <n v="0"/>
    <n v="0"/>
  </r>
  <r>
    <d v="2013-01-19T00:00:00"/>
    <n v="236"/>
    <n v="1951"/>
    <x v="1"/>
    <s v="Graduation"/>
    <s v="Married"/>
    <n v="34838"/>
    <n v="2"/>
    <n v="62"/>
    <n v="28"/>
    <n v="23"/>
    <n v="29"/>
    <n v="29"/>
    <n v="14"/>
    <n v="47"/>
    <n v="170"/>
    <n v="3"/>
    <n v="2"/>
    <n v="1"/>
    <n v="4"/>
    <n v="6"/>
    <n v="0"/>
    <n v="0"/>
    <n v="0"/>
    <n v="0"/>
    <n v="0"/>
    <n v="0"/>
    <n v="0"/>
  </r>
  <r>
    <d v="2013-01-02T00:00:00"/>
    <n v="6001"/>
    <n v="1979"/>
    <x v="0"/>
    <s v="Graduation"/>
    <s v="Married"/>
    <n v="56775"/>
    <n v="1"/>
    <n v="62"/>
    <n v="614"/>
    <n v="35"/>
    <n v="160"/>
    <n v="58"/>
    <n v="35"/>
    <n v="35"/>
    <n v="937"/>
    <n v="2"/>
    <n v="5"/>
    <n v="8"/>
    <n v="10"/>
    <n v="5"/>
    <n v="0"/>
    <n v="0"/>
    <n v="0"/>
    <n v="0"/>
    <n v="0"/>
    <n v="0"/>
    <n v="0"/>
  </r>
  <r>
    <d v="2012-11-19T00:00:00"/>
    <n v="6250"/>
    <n v="1949"/>
    <x v="0"/>
    <s v="PhD"/>
    <s v="Widow"/>
    <n v="54356"/>
    <n v="1"/>
    <n v="62"/>
    <n v="710"/>
    <n v="15"/>
    <n v="30"/>
    <n v="20"/>
    <n v="0"/>
    <n v="0"/>
    <n v="775"/>
    <n v="3"/>
    <n v="11"/>
    <n v="2"/>
    <n v="8"/>
    <n v="8"/>
    <n v="0"/>
    <n v="0"/>
    <n v="0"/>
    <n v="0"/>
    <n v="0"/>
    <n v="1"/>
    <n v="0"/>
  </r>
  <r>
    <d v="2012-10-29T00:00:00"/>
    <n v="1168"/>
    <n v="1978"/>
    <x v="0"/>
    <s v="PhD"/>
    <s v="Married"/>
    <n v="72159"/>
    <n v="0"/>
    <n v="62"/>
    <n v="322"/>
    <n v="53"/>
    <n v="899"/>
    <n v="34"/>
    <n v="40"/>
    <n v="53"/>
    <n v="1401"/>
    <n v="1"/>
    <n v="4"/>
    <n v="6"/>
    <n v="10"/>
    <n v="2"/>
    <n v="0"/>
    <n v="0"/>
    <n v="0"/>
    <n v="0"/>
    <n v="0"/>
    <n v="0"/>
    <n v="0"/>
  </r>
  <r>
    <d v="2012-09-18T00:00:00"/>
    <n v="10749"/>
    <n v="1991"/>
    <x v="0"/>
    <s v="Graduation"/>
    <s v="Single"/>
    <n v="8028"/>
    <n v="0"/>
    <n v="62"/>
    <n v="73"/>
    <n v="18"/>
    <n v="66"/>
    <n v="7"/>
    <n v="12"/>
    <n v="2"/>
    <n v="178"/>
    <n v="15"/>
    <n v="0"/>
    <n v="1"/>
    <n v="0"/>
    <n v="19"/>
    <n v="0"/>
    <n v="0"/>
    <n v="0"/>
    <n v="0"/>
    <n v="0"/>
    <n v="0"/>
    <n v="0"/>
  </r>
  <r>
    <d v="2012-08-23T00:00:00"/>
    <n v="2926"/>
    <n v="1952"/>
    <x v="6"/>
    <s v="Master"/>
    <s v="Together"/>
    <n v="55951"/>
    <n v="1"/>
    <n v="62"/>
    <n v="1241"/>
    <n v="0"/>
    <n v="80"/>
    <n v="0"/>
    <n v="13"/>
    <n v="40"/>
    <n v="1374"/>
    <n v="3"/>
    <n v="3"/>
    <n v="6"/>
    <n v="11"/>
    <n v="8"/>
    <n v="0"/>
    <n v="1"/>
    <n v="0"/>
    <n v="0"/>
    <n v="1"/>
    <n v="0"/>
    <n v="0"/>
  </r>
  <r>
    <d v="2014-05-22T00:00:00"/>
    <n v="716"/>
    <n v="1949"/>
    <x v="0"/>
    <s v="PhD"/>
    <s v="Together"/>
    <n v="67911"/>
    <n v="1"/>
    <n v="63"/>
    <n v="529"/>
    <n v="0"/>
    <n v="356"/>
    <n v="63"/>
    <n v="28"/>
    <n v="0"/>
    <n v="976"/>
    <n v="3"/>
    <n v="6"/>
    <n v="7"/>
    <n v="11"/>
    <n v="3"/>
    <n v="0"/>
    <n v="0"/>
    <n v="0"/>
    <n v="0"/>
    <n v="0"/>
    <n v="0"/>
    <n v="0"/>
  </r>
  <r>
    <d v="2014-05-22T00:00:00"/>
    <n v="6544"/>
    <n v="1949"/>
    <x v="4"/>
    <s v="PhD"/>
    <s v="Together"/>
    <n v="67911"/>
    <n v="1"/>
    <n v="63"/>
    <n v="529"/>
    <n v="0"/>
    <n v="356"/>
    <n v="63"/>
    <n v="28"/>
    <n v="0"/>
    <n v="976"/>
    <n v="3"/>
    <n v="6"/>
    <n v="7"/>
    <n v="11"/>
    <n v="3"/>
    <n v="0"/>
    <n v="0"/>
    <n v="0"/>
    <n v="0"/>
    <n v="0"/>
    <n v="0"/>
    <n v="0"/>
  </r>
  <r>
    <d v="2014-03-24T00:00:00"/>
    <n v="4298"/>
    <n v="1973"/>
    <x v="0"/>
    <s v="PhD"/>
    <s v="Together"/>
    <n v="20427"/>
    <n v="1"/>
    <n v="63"/>
    <n v="5"/>
    <n v="0"/>
    <n v="4"/>
    <n v="0"/>
    <n v="0"/>
    <n v="1"/>
    <n v="10"/>
    <n v="1"/>
    <n v="1"/>
    <n v="0"/>
    <n v="2"/>
    <n v="8"/>
    <n v="0"/>
    <n v="0"/>
    <n v="0"/>
    <n v="0"/>
    <n v="0"/>
    <n v="0"/>
    <n v="0"/>
  </r>
  <r>
    <d v="2014-03-08T00:00:00"/>
    <n v="5823"/>
    <n v="1970"/>
    <x v="5"/>
    <s v="PhD"/>
    <s v="Single"/>
    <n v="32303"/>
    <n v="1"/>
    <n v="63"/>
    <n v="35"/>
    <n v="0"/>
    <n v="2"/>
    <n v="0"/>
    <n v="0"/>
    <n v="2"/>
    <n v="39"/>
    <n v="2"/>
    <n v="1"/>
    <n v="0"/>
    <n v="4"/>
    <n v="5"/>
    <n v="0"/>
    <n v="0"/>
    <n v="0"/>
    <n v="0"/>
    <n v="0"/>
    <n v="0"/>
    <n v="0"/>
  </r>
  <r>
    <d v="2014-03-03T00:00:00"/>
    <n v="8375"/>
    <n v="1968"/>
    <x v="3"/>
    <s v="PhD"/>
    <s v="Married"/>
    <n v="55954"/>
    <n v="1"/>
    <n v="63"/>
    <n v="447"/>
    <n v="0"/>
    <n v="28"/>
    <n v="0"/>
    <n v="0"/>
    <n v="43"/>
    <n v="518"/>
    <n v="3"/>
    <n v="8"/>
    <n v="2"/>
    <n v="6"/>
    <n v="7"/>
    <n v="0"/>
    <n v="0"/>
    <n v="0"/>
    <n v="0"/>
    <n v="0"/>
    <n v="0"/>
    <n v="0"/>
  </r>
  <r>
    <d v="2014-01-11T00:00:00"/>
    <n v="5723"/>
    <n v="1976"/>
    <x v="0"/>
    <s v="PhD"/>
    <s v="Together"/>
    <n v="49187"/>
    <n v="1"/>
    <n v="63"/>
    <n v="81"/>
    <n v="1"/>
    <n v="31"/>
    <n v="2"/>
    <n v="1"/>
    <n v="0"/>
    <n v="116"/>
    <n v="1"/>
    <n v="1"/>
    <n v="1"/>
    <n v="5"/>
    <n v="2"/>
    <n v="0"/>
    <n v="0"/>
    <n v="0"/>
    <n v="0"/>
    <n v="0"/>
    <n v="0"/>
    <n v="0"/>
  </r>
  <r>
    <d v="2013-11-10T00:00:00"/>
    <n v="5763"/>
    <n v="1972"/>
    <x v="1"/>
    <s v="Master"/>
    <s v="Together"/>
    <n v="49854"/>
    <n v="1"/>
    <n v="63"/>
    <n v="123"/>
    <n v="17"/>
    <n v="171"/>
    <n v="39"/>
    <n v="0"/>
    <n v="30"/>
    <n v="380"/>
    <n v="5"/>
    <n v="6"/>
    <n v="2"/>
    <n v="5"/>
    <n v="6"/>
    <n v="0"/>
    <n v="0"/>
    <n v="0"/>
    <n v="0"/>
    <n v="0"/>
    <n v="0"/>
    <n v="0"/>
  </r>
  <r>
    <d v="2013-10-14T00:00:00"/>
    <n v="8727"/>
    <n v="1978"/>
    <x v="6"/>
    <s v="Graduation"/>
    <s v="Divorced"/>
    <n v="63693"/>
    <n v="1"/>
    <n v="63"/>
    <n v="587"/>
    <n v="43"/>
    <n v="337"/>
    <n v="42"/>
    <n v="87"/>
    <n v="54"/>
    <n v="1150"/>
    <n v="3"/>
    <n v="11"/>
    <n v="6"/>
    <n v="9"/>
    <n v="6"/>
    <n v="0"/>
    <n v="0"/>
    <n v="0"/>
    <n v="0"/>
    <n v="0"/>
    <n v="0"/>
    <n v="0"/>
  </r>
  <r>
    <d v="2013-10-14T00:00:00"/>
    <n v="3056"/>
    <n v="1978"/>
    <x v="6"/>
    <s v="Graduation"/>
    <s v="Divorced"/>
    <n v="63693"/>
    <n v="1"/>
    <n v="63"/>
    <n v="587"/>
    <n v="43"/>
    <n v="337"/>
    <n v="42"/>
    <n v="87"/>
    <n v="54"/>
    <n v="1150"/>
    <n v="3"/>
    <n v="11"/>
    <n v="6"/>
    <n v="9"/>
    <n v="6"/>
    <n v="0"/>
    <n v="0"/>
    <n v="0"/>
    <n v="0"/>
    <n v="0"/>
    <n v="0"/>
    <n v="0"/>
  </r>
  <r>
    <d v="2013-09-04T00:00:00"/>
    <n v="8442"/>
    <n v="1985"/>
    <x v="1"/>
    <s v="Master"/>
    <s v="Married"/>
    <n v="19510"/>
    <n v="2"/>
    <n v="63"/>
    <n v="9"/>
    <n v="0"/>
    <n v="7"/>
    <n v="3"/>
    <n v="4"/>
    <n v="7"/>
    <n v="30"/>
    <n v="2"/>
    <n v="1"/>
    <n v="0"/>
    <n v="3"/>
    <n v="7"/>
    <n v="0"/>
    <n v="0"/>
    <n v="0"/>
    <n v="0"/>
    <n v="0"/>
    <n v="0"/>
    <n v="0"/>
  </r>
  <r>
    <d v="2013-08-28T00:00:00"/>
    <n v="3712"/>
    <n v="1959"/>
    <x v="5"/>
    <s v="Graduation"/>
    <s v="Divorced"/>
    <n v="52332"/>
    <n v="0"/>
    <n v="63"/>
    <n v="212"/>
    <n v="5"/>
    <n v="33"/>
    <n v="7"/>
    <n v="0"/>
    <n v="2"/>
    <n v="259"/>
    <n v="1"/>
    <n v="3"/>
    <n v="2"/>
    <n v="6"/>
    <n v="4"/>
    <n v="0"/>
    <n v="1"/>
    <n v="0"/>
    <n v="0"/>
    <n v="0"/>
    <n v="0"/>
    <n v="0"/>
  </r>
  <r>
    <d v="2013-08-21T00:00:00"/>
    <n v="10722"/>
    <n v="1973"/>
    <x v="5"/>
    <s v="Graduation"/>
    <s v="Together"/>
    <n v="55593"/>
    <n v="1"/>
    <n v="63"/>
    <n v="293"/>
    <n v="8"/>
    <n v="124"/>
    <n v="11"/>
    <n v="4"/>
    <n v="106"/>
    <n v="546"/>
    <n v="2"/>
    <n v="6"/>
    <n v="6"/>
    <n v="3"/>
    <n v="6"/>
    <n v="1"/>
    <n v="0"/>
    <n v="0"/>
    <n v="0"/>
    <n v="0"/>
    <n v="0"/>
    <n v="0"/>
  </r>
  <r>
    <d v="2013-08-05T00:00:00"/>
    <n v="2406"/>
    <n v="1949"/>
    <x v="3"/>
    <s v="Graduation"/>
    <s v="Together"/>
    <n v="54591"/>
    <n v="1"/>
    <n v="63"/>
    <n v="376"/>
    <n v="4"/>
    <n v="94"/>
    <n v="12"/>
    <n v="9"/>
    <n v="24"/>
    <n v="519"/>
    <n v="3"/>
    <n v="6"/>
    <n v="2"/>
    <n v="8"/>
    <n v="5"/>
    <n v="0"/>
    <n v="0"/>
    <n v="0"/>
    <n v="0"/>
    <n v="0"/>
    <n v="0"/>
    <n v="0"/>
  </r>
  <r>
    <d v="2013-06-03T00:00:00"/>
    <n v="7313"/>
    <n v="1949"/>
    <x v="1"/>
    <s v="2n Cycle"/>
    <s v="Widow"/>
    <n v="74859"/>
    <n v="0"/>
    <n v="63"/>
    <n v="570"/>
    <n v="73"/>
    <n v="614"/>
    <n v="133"/>
    <n v="102"/>
    <n v="73"/>
    <n v="1565"/>
    <n v="1"/>
    <n v="6"/>
    <n v="5"/>
    <n v="11"/>
    <n v="3"/>
    <n v="0"/>
    <n v="0"/>
    <n v="0"/>
    <n v="1"/>
    <n v="0"/>
    <n v="0"/>
    <n v="0"/>
  </r>
  <r>
    <d v="2013-02-21T00:00:00"/>
    <n v="2656"/>
    <n v="1971"/>
    <x v="1"/>
    <s v="Graduation"/>
    <s v="Divorced"/>
    <n v="40851"/>
    <n v="2"/>
    <n v="63"/>
    <n v="23"/>
    <n v="1"/>
    <n v="7"/>
    <n v="0"/>
    <n v="4"/>
    <n v="24"/>
    <n v="59"/>
    <n v="1"/>
    <n v="1"/>
    <n v="1"/>
    <n v="2"/>
    <n v="7"/>
    <n v="0"/>
    <n v="0"/>
    <n v="0"/>
    <n v="0"/>
    <n v="0"/>
    <n v="0"/>
    <n v="0"/>
  </r>
  <r>
    <d v="2012-12-23T00:00:00"/>
    <n v="1993"/>
    <n v="1949"/>
    <x v="2"/>
    <s v="PhD"/>
    <s v="Married"/>
    <n v="58607"/>
    <n v="1"/>
    <n v="63"/>
    <n v="867"/>
    <n v="0"/>
    <n v="86"/>
    <n v="0"/>
    <n v="0"/>
    <n v="19"/>
    <n v="972"/>
    <n v="3"/>
    <n v="2"/>
    <n v="3"/>
    <n v="9"/>
    <n v="8"/>
    <n v="0"/>
    <n v="1"/>
    <n v="0"/>
    <n v="0"/>
    <n v="0"/>
    <n v="0"/>
    <n v="0"/>
  </r>
  <r>
    <d v="2012-12-03T00:00:00"/>
    <n v="4136"/>
    <n v="1992"/>
    <x v="0"/>
    <s v="Basic"/>
    <s v="Single"/>
    <n v="7500"/>
    <n v="1"/>
    <n v="63"/>
    <n v="10"/>
    <n v="17"/>
    <n v="18"/>
    <n v="8"/>
    <n v="26"/>
    <n v="40"/>
    <n v="119"/>
    <n v="4"/>
    <n v="3"/>
    <n v="2"/>
    <n v="2"/>
    <n v="9"/>
    <n v="0"/>
    <n v="0"/>
    <n v="0"/>
    <n v="0"/>
    <n v="0"/>
    <n v="0"/>
    <n v="0"/>
  </r>
  <r>
    <d v="2012-12-01T00:00:00"/>
    <n v="2928"/>
    <n v="1975"/>
    <x v="0"/>
    <s v="PhD"/>
    <s v="Single"/>
    <n v="52614"/>
    <n v="1"/>
    <n v="63"/>
    <n v="789"/>
    <n v="0"/>
    <n v="142"/>
    <n v="12"/>
    <n v="9"/>
    <n v="38"/>
    <n v="990"/>
    <n v="2"/>
    <n v="2"/>
    <n v="4"/>
    <n v="8"/>
    <n v="8"/>
    <n v="0"/>
    <n v="0"/>
    <n v="0"/>
    <n v="0"/>
    <n v="0"/>
    <n v="0"/>
    <n v="0"/>
  </r>
  <r>
    <d v="2012-12-01T00:00:00"/>
    <n v="2920"/>
    <n v="1975"/>
    <x v="7"/>
    <s v="PhD"/>
    <s v="Single"/>
    <n v="52614"/>
    <n v="1"/>
    <n v="63"/>
    <n v="789"/>
    <n v="0"/>
    <n v="142"/>
    <n v="12"/>
    <n v="9"/>
    <n v="38"/>
    <n v="990"/>
    <n v="2"/>
    <n v="2"/>
    <n v="4"/>
    <n v="8"/>
    <n v="8"/>
    <n v="0"/>
    <n v="0"/>
    <n v="0"/>
    <n v="0"/>
    <n v="0"/>
    <n v="0"/>
    <n v="0"/>
  </r>
  <r>
    <d v="2012-08-12T00:00:00"/>
    <n v="6661"/>
    <n v="1974"/>
    <x v="0"/>
    <s v="Graduation"/>
    <s v="Married"/>
    <n v="67445"/>
    <n v="1"/>
    <n v="63"/>
    <n v="757"/>
    <n v="80"/>
    <n v="217"/>
    <n v="29"/>
    <n v="80"/>
    <n v="11"/>
    <n v="1174"/>
    <n v="5"/>
    <n v="9"/>
    <n v="6"/>
    <n v="12"/>
    <n v="6"/>
    <n v="0"/>
    <n v="0"/>
    <n v="0"/>
    <n v="0"/>
    <n v="0"/>
    <n v="0"/>
    <n v="0"/>
  </r>
  <r>
    <d v="2012-08-12T00:00:00"/>
    <n v="5462"/>
    <n v="1974"/>
    <x v="5"/>
    <s v="Graduation"/>
    <s v="Married"/>
    <n v="67445"/>
    <n v="1"/>
    <n v="63"/>
    <n v="757"/>
    <n v="80"/>
    <n v="217"/>
    <n v="29"/>
    <n v="80"/>
    <n v="11"/>
    <n v="1174"/>
    <n v="5"/>
    <n v="9"/>
    <n v="6"/>
    <n v="12"/>
    <n v="6"/>
    <n v="0"/>
    <n v="0"/>
    <n v="0"/>
    <n v="0"/>
    <n v="0"/>
    <n v="0"/>
    <n v="0"/>
  </r>
  <r>
    <d v="2012-08-12T00:00:00"/>
    <n v="10897"/>
    <n v="1974"/>
    <x v="3"/>
    <s v="Graduation"/>
    <s v="Married"/>
    <n v="67445"/>
    <n v="1"/>
    <n v="63"/>
    <n v="757"/>
    <n v="80"/>
    <n v="217"/>
    <n v="29"/>
    <n v="80"/>
    <n v="11"/>
    <n v="1174"/>
    <n v="5"/>
    <n v="9"/>
    <n v="6"/>
    <n v="12"/>
    <n v="6"/>
    <n v="0"/>
    <n v="0"/>
    <n v="0"/>
    <n v="0"/>
    <n v="0"/>
    <n v="0"/>
    <n v="0"/>
  </r>
  <r>
    <d v="2012-08-05T00:00:00"/>
    <n v="10542"/>
    <n v="1968"/>
    <x v="0"/>
    <s v="PhD"/>
    <s v="Married"/>
    <n v="36778"/>
    <n v="2"/>
    <n v="63"/>
    <n v="29"/>
    <n v="4"/>
    <n v="34"/>
    <n v="2"/>
    <n v="4"/>
    <n v="4"/>
    <n v="77"/>
    <n v="3"/>
    <n v="3"/>
    <n v="0"/>
    <n v="3"/>
    <n v="9"/>
    <n v="0"/>
    <n v="0"/>
    <n v="0"/>
    <n v="0"/>
    <n v="0"/>
    <n v="0"/>
    <n v="0"/>
  </r>
  <r>
    <d v="2014-04-03T00:00:00"/>
    <n v="5756"/>
    <n v="1983"/>
    <x v="0"/>
    <s v="Graduation"/>
    <s v="Together"/>
    <n v="39453"/>
    <n v="1"/>
    <n v="64"/>
    <n v="46"/>
    <n v="0"/>
    <n v="7"/>
    <n v="0"/>
    <n v="0"/>
    <n v="2"/>
    <n v="55"/>
    <n v="2"/>
    <n v="2"/>
    <n v="0"/>
    <n v="3"/>
    <n v="6"/>
    <n v="0"/>
    <n v="0"/>
    <n v="0"/>
    <n v="0"/>
    <n v="0"/>
    <n v="0"/>
    <n v="0"/>
  </r>
  <r>
    <d v="2013-10-21T00:00:00"/>
    <n v="3570"/>
    <n v="1969"/>
    <x v="6"/>
    <s v="PhD"/>
    <s v="Together"/>
    <n v="42731"/>
    <n v="1"/>
    <n v="64"/>
    <n v="159"/>
    <n v="2"/>
    <n v="51"/>
    <n v="6"/>
    <n v="2"/>
    <n v="24"/>
    <n v="244"/>
    <n v="3"/>
    <n v="4"/>
    <n v="1"/>
    <n v="5"/>
    <n v="5"/>
    <n v="0"/>
    <n v="0"/>
    <n v="0"/>
    <n v="0"/>
    <n v="0"/>
    <n v="0"/>
    <n v="0"/>
  </r>
  <r>
    <d v="2013-08-30T00:00:00"/>
    <n v="1072"/>
    <n v="1965"/>
    <x v="1"/>
    <s v="PhD"/>
    <s v="Single"/>
    <n v="40760"/>
    <n v="1"/>
    <n v="64"/>
    <n v="70"/>
    <n v="0"/>
    <n v="17"/>
    <n v="0"/>
    <n v="0"/>
    <n v="6"/>
    <n v="93"/>
    <n v="2"/>
    <n v="2"/>
    <n v="1"/>
    <n v="3"/>
    <n v="6"/>
    <n v="0"/>
    <n v="0"/>
    <n v="0"/>
    <n v="0"/>
    <n v="0"/>
    <n v="0"/>
    <n v="0"/>
  </r>
  <r>
    <d v="2013-08-27T00:00:00"/>
    <n v="9606"/>
    <n v="1965"/>
    <x v="0"/>
    <s v="PhD"/>
    <s v="Married"/>
    <n v="69969"/>
    <n v="0"/>
    <n v="64"/>
    <n v="882"/>
    <n v="29"/>
    <n v="514"/>
    <n v="38"/>
    <n v="29"/>
    <n v="44"/>
    <n v="1536"/>
    <n v="1"/>
    <n v="4"/>
    <n v="2"/>
    <n v="6"/>
    <n v="3"/>
    <n v="0"/>
    <n v="0"/>
    <n v="1"/>
    <n v="1"/>
    <n v="0"/>
    <n v="1"/>
    <n v="0"/>
  </r>
  <r>
    <d v="2013-08-20T00:00:00"/>
    <n v="2730"/>
    <n v="1955"/>
    <x v="1"/>
    <s v="Graduation"/>
    <s v="Single"/>
    <n v="80317"/>
    <n v="0"/>
    <n v="64"/>
    <n v="536"/>
    <n v="11"/>
    <n v="387"/>
    <n v="149"/>
    <n v="91"/>
    <n v="57"/>
    <n v="1231"/>
    <n v="1"/>
    <n v="3"/>
    <n v="4"/>
    <n v="10"/>
    <n v="1"/>
    <n v="0"/>
    <n v="0"/>
    <n v="0"/>
    <n v="0"/>
    <n v="0"/>
    <n v="0"/>
    <n v="0"/>
  </r>
  <r>
    <d v="2013-08-17T00:00:00"/>
    <n v="2995"/>
    <n v="1957"/>
    <x v="0"/>
    <s v="Master"/>
    <s v="Together"/>
    <n v="66636"/>
    <n v="0"/>
    <n v="64"/>
    <n v="291"/>
    <n v="10"/>
    <n v="689"/>
    <n v="84"/>
    <n v="10"/>
    <n v="0"/>
    <n v="1084"/>
    <n v="1"/>
    <n v="3"/>
    <n v="4"/>
    <n v="9"/>
    <n v="1"/>
    <n v="0"/>
    <n v="0"/>
    <n v="0"/>
    <n v="0"/>
    <n v="0"/>
    <n v="0"/>
    <n v="0"/>
  </r>
  <r>
    <d v="2013-08-15T00:00:00"/>
    <n v="8210"/>
    <n v="1975"/>
    <x v="0"/>
    <s v="Master"/>
    <s v="Married"/>
    <n v="54730"/>
    <n v="1"/>
    <n v="64"/>
    <n v="318"/>
    <n v="3"/>
    <n v="17"/>
    <n v="4"/>
    <n v="7"/>
    <n v="56"/>
    <n v="405"/>
    <n v="5"/>
    <n v="4"/>
    <n v="1"/>
    <n v="8"/>
    <n v="4"/>
    <n v="0"/>
    <n v="0"/>
    <n v="0"/>
    <n v="0"/>
    <n v="0"/>
    <n v="0"/>
    <n v="0"/>
  </r>
  <r>
    <d v="2013-06-30T00:00:00"/>
    <n v="773"/>
    <n v="1971"/>
    <x v="5"/>
    <s v="Master"/>
    <s v="Divorced"/>
    <n v="42835"/>
    <n v="2"/>
    <n v="64"/>
    <n v="379"/>
    <n v="4"/>
    <n v="93"/>
    <n v="12"/>
    <n v="9"/>
    <n v="98"/>
    <n v="595"/>
    <n v="7"/>
    <n v="6"/>
    <n v="6"/>
    <n v="4"/>
    <n v="6"/>
    <n v="0"/>
    <n v="0"/>
    <n v="0"/>
    <n v="0"/>
    <n v="0"/>
    <n v="0"/>
    <n v="0"/>
  </r>
  <r>
    <d v="2013-06-27T00:00:00"/>
    <n v="5272"/>
    <n v="1965"/>
    <x v="6"/>
    <s v="Master"/>
    <s v="Married"/>
    <n v="53843"/>
    <n v="1"/>
    <n v="64"/>
    <n v="378"/>
    <n v="0"/>
    <n v="88"/>
    <n v="19"/>
    <n v="4"/>
    <n v="73"/>
    <n v="562"/>
    <n v="4"/>
    <n v="8"/>
    <n v="5"/>
    <n v="3"/>
    <n v="7"/>
    <n v="0"/>
    <n v="0"/>
    <n v="0"/>
    <n v="0"/>
    <n v="0"/>
    <n v="0"/>
    <n v="0"/>
  </r>
  <r>
    <d v="2013-05-17T00:00:00"/>
    <n v="5125"/>
    <n v="1960"/>
    <x v="0"/>
    <s v="Graduation"/>
    <s v="Married"/>
    <n v="79530"/>
    <n v="0"/>
    <n v="64"/>
    <n v="333"/>
    <n v="0"/>
    <n v="815"/>
    <n v="129"/>
    <n v="42"/>
    <n v="29"/>
    <n v="1348"/>
    <n v="1"/>
    <n v="4"/>
    <n v="10"/>
    <n v="11"/>
    <n v="2"/>
    <n v="0"/>
    <n v="0"/>
    <n v="0"/>
    <n v="0"/>
    <n v="0"/>
    <n v="0"/>
    <n v="0"/>
  </r>
  <r>
    <d v="2013-04-21T00:00:00"/>
    <n v="4391"/>
    <n v="1968"/>
    <x v="6"/>
    <s v="Master"/>
    <s v="Divorced"/>
    <n v="63841"/>
    <n v="1"/>
    <n v="64"/>
    <n v="635"/>
    <n v="15"/>
    <n v="100"/>
    <n v="20"/>
    <n v="7"/>
    <n v="131"/>
    <n v="908"/>
    <n v="1"/>
    <n v="9"/>
    <n v="3"/>
    <n v="9"/>
    <n v="6"/>
    <n v="0"/>
    <n v="0"/>
    <n v="0"/>
    <n v="0"/>
    <n v="0"/>
    <n v="0"/>
    <n v="0"/>
  </r>
  <r>
    <d v="2013-04-21T00:00:00"/>
    <n v="6283"/>
    <n v="1968"/>
    <x v="0"/>
    <s v="Master"/>
    <s v="Divorced"/>
    <n v="63841"/>
    <n v="1"/>
    <n v="64"/>
    <n v="635"/>
    <n v="15"/>
    <n v="100"/>
    <n v="20"/>
    <n v="7"/>
    <n v="131"/>
    <n v="908"/>
    <n v="1"/>
    <n v="9"/>
    <n v="3"/>
    <n v="9"/>
    <n v="6"/>
    <n v="0"/>
    <n v="0"/>
    <n v="0"/>
    <n v="0"/>
    <n v="0"/>
    <n v="0"/>
    <n v="0"/>
  </r>
  <r>
    <d v="2013-04-21T00:00:00"/>
    <n v="3421"/>
    <n v="1968"/>
    <x v="3"/>
    <s v="Master"/>
    <s v="Divorced"/>
    <n v="63841"/>
    <n v="1"/>
    <n v="64"/>
    <n v="635"/>
    <n v="15"/>
    <n v="100"/>
    <n v="20"/>
    <n v="7"/>
    <n v="131"/>
    <n v="908"/>
    <n v="1"/>
    <n v="9"/>
    <n v="3"/>
    <n v="9"/>
    <n v="6"/>
    <n v="0"/>
    <n v="0"/>
    <n v="0"/>
    <n v="0"/>
    <n v="0"/>
    <n v="0"/>
    <n v="0"/>
  </r>
  <r>
    <d v="2013-04-05T00:00:00"/>
    <n v="5731"/>
    <n v="1983"/>
    <x v="0"/>
    <s v="Master"/>
    <s v="Married"/>
    <n v="27100"/>
    <n v="1"/>
    <n v="64"/>
    <n v="12"/>
    <n v="0"/>
    <n v="13"/>
    <n v="2"/>
    <n v="0"/>
    <n v="10"/>
    <n v="37"/>
    <n v="1"/>
    <n v="1"/>
    <n v="0"/>
    <n v="3"/>
    <n v="7"/>
    <n v="0"/>
    <n v="0"/>
    <n v="0"/>
    <n v="0"/>
    <n v="0"/>
    <n v="0"/>
    <n v="0"/>
  </r>
  <r>
    <d v="2013-04-05T00:00:00"/>
    <n v="7152"/>
    <n v="1983"/>
    <x v="4"/>
    <s v="Master"/>
    <s v="Married"/>
    <n v="27100"/>
    <n v="1"/>
    <n v="64"/>
    <n v="12"/>
    <n v="0"/>
    <n v="13"/>
    <n v="2"/>
    <n v="0"/>
    <n v="10"/>
    <n v="37"/>
    <n v="1"/>
    <n v="1"/>
    <n v="0"/>
    <n v="3"/>
    <n v="7"/>
    <n v="0"/>
    <n v="0"/>
    <n v="0"/>
    <n v="0"/>
    <n v="0"/>
    <n v="0"/>
    <n v="0"/>
  </r>
  <r>
    <d v="2013-03-11T00:00:00"/>
    <n v="3919"/>
    <n v="1976"/>
    <x v="1"/>
    <s v="Master"/>
    <s v="Single"/>
    <n v="72309"/>
    <n v="0"/>
    <n v="64"/>
    <n v="960"/>
    <n v="0"/>
    <n v="883"/>
    <n v="50"/>
    <n v="38"/>
    <n v="0"/>
    <n v="1931"/>
    <n v="1"/>
    <n v="5"/>
    <n v="6"/>
    <n v="8"/>
    <n v="3"/>
    <n v="0"/>
    <n v="0"/>
    <n v="0"/>
    <n v="1"/>
    <n v="0"/>
    <n v="1"/>
    <n v="0"/>
  </r>
  <r>
    <d v="2013-01-16T00:00:00"/>
    <n v="6097"/>
    <n v="1959"/>
    <x v="6"/>
    <s v="Graduation"/>
    <s v="Single"/>
    <n v="50664"/>
    <n v="2"/>
    <n v="64"/>
    <n v="313"/>
    <n v="8"/>
    <n v="104"/>
    <n v="6"/>
    <n v="4"/>
    <n v="126"/>
    <n v="561"/>
    <n v="9"/>
    <n v="8"/>
    <n v="1"/>
    <n v="6"/>
    <n v="9"/>
    <n v="0"/>
    <n v="0"/>
    <n v="0"/>
    <n v="0"/>
    <n v="0"/>
    <n v="0"/>
    <n v="0"/>
  </r>
  <r>
    <d v="2012-12-17T00:00:00"/>
    <n v="5150"/>
    <n v="1979"/>
    <x v="0"/>
    <s v="Basic"/>
    <s v="Single"/>
    <n v="20194"/>
    <n v="1"/>
    <n v="64"/>
    <n v="0"/>
    <n v="4"/>
    <n v="7"/>
    <n v="11"/>
    <n v="10"/>
    <n v="15"/>
    <n v="47"/>
    <n v="2"/>
    <n v="2"/>
    <n v="0"/>
    <n v="3"/>
    <n v="6"/>
    <n v="0"/>
    <n v="0"/>
    <n v="0"/>
    <n v="0"/>
    <n v="0"/>
    <n v="0"/>
    <n v="0"/>
  </r>
  <r>
    <d v="2012-12-07T00:00:00"/>
    <n v="10479"/>
    <n v="1975"/>
    <x v="3"/>
    <s v="PhD"/>
    <s v="Married"/>
    <n v="76618"/>
    <n v="0"/>
    <n v="64"/>
    <n v="749"/>
    <n v="40"/>
    <n v="294"/>
    <n v="121"/>
    <n v="160"/>
    <n v="147"/>
    <n v="1511"/>
    <n v="1"/>
    <n v="3"/>
    <n v="2"/>
    <n v="5"/>
    <n v="1"/>
    <n v="0"/>
    <n v="0"/>
    <n v="0"/>
    <n v="0"/>
    <n v="0"/>
    <n v="0"/>
    <n v="0"/>
  </r>
  <r>
    <d v="2012-11-10T00:00:00"/>
    <n v="5966"/>
    <n v="1974"/>
    <x v="0"/>
    <s v="PhD"/>
    <s v="Married"/>
    <n v="45207"/>
    <n v="2"/>
    <n v="64"/>
    <n v="203"/>
    <n v="0"/>
    <n v="10"/>
    <n v="0"/>
    <n v="0"/>
    <n v="2"/>
    <n v="215"/>
    <n v="5"/>
    <n v="3"/>
    <n v="1"/>
    <n v="6"/>
    <n v="6"/>
    <n v="0"/>
    <n v="1"/>
    <n v="0"/>
    <n v="0"/>
    <n v="0"/>
    <n v="0"/>
    <n v="0"/>
  </r>
  <r>
    <d v="2012-10-31T00:00:00"/>
    <n v="3439"/>
    <n v="1972"/>
    <x v="0"/>
    <s v="Graduation"/>
    <s v="Married"/>
    <n v="56721"/>
    <n v="2"/>
    <n v="64"/>
    <n v="157"/>
    <n v="6"/>
    <n v="39"/>
    <n v="6"/>
    <n v="13"/>
    <n v="75"/>
    <n v="296"/>
    <n v="5"/>
    <n v="4"/>
    <n v="1"/>
    <n v="5"/>
    <n v="6"/>
    <n v="0"/>
    <n v="0"/>
    <n v="0"/>
    <n v="0"/>
    <n v="0"/>
    <n v="0"/>
    <n v="0"/>
  </r>
  <r>
    <d v="2012-09-18T00:00:00"/>
    <n v="6609"/>
    <n v="1966"/>
    <x v="6"/>
    <s v="Graduation"/>
    <s v="Widow"/>
    <n v="27038"/>
    <n v="0"/>
    <n v="64"/>
    <n v="1"/>
    <n v="26"/>
    <n v="25"/>
    <n v="17"/>
    <n v="23"/>
    <n v="15"/>
    <n v="107"/>
    <n v="1"/>
    <n v="3"/>
    <n v="0"/>
    <n v="3"/>
    <n v="9"/>
    <n v="0"/>
    <n v="0"/>
    <n v="0"/>
    <n v="0"/>
    <n v="0"/>
    <n v="1"/>
    <n v="0"/>
  </r>
  <r>
    <d v="2012-08-07T00:00:00"/>
    <n v="5393"/>
    <n v="1977"/>
    <x v="0"/>
    <s v="Graduation"/>
    <s v="Single"/>
    <n v="23763"/>
    <n v="1"/>
    <n v="64"/>
    <n v="22"/>
    <n v="0"/>
    <n v="6"/>
    <n v="6"/>
    <n v="2"/>
    <n v="6"/>
    <n v="42"/>
    <n v="1"/>
    <n v="1"/>
    <n v="0"/>
    <n v="3"/>
    <n v="7"/>
    <n v="0"/>
    <n v="0"/>
    <n v="0"/>
    <n v="0"/>
    <n v="0"/>
    <n v="0"/>
    <n v="0"/>
  </r>
  <r>
    <d v="2014-06-26T00:00:00"/>
    <n v="9014"/>
    <n v="1975"/>
    <x v="5"/>
    <s v="Graduation"/>
    <s v="Married"/>
    <n v="37085"/>
    <n v="2"/>
    <n v="65"/>
    <n v="39"/>
    <n v="1"/>
    <n v="16"/>
    <n v="2"/>
    <n v="0"/>
    <n v="3"/>
    <n v="61"/>
    <n v="4"/>
    <n v="3"/>
    <n v="0"/>
    <n v="3"/>
    <n v="8"/>
    <n v="0"/>
    <n v="0"/>
    <n v="0"/>
    <n v="0"/>
    <n v="0"/>
    <n v="0"/>
    <n v="0"/>
  </r>
  <r>
    <d v="2014-06-21T00:00:00"/>
    <n v="4050"/>
    <n v="1966"/>
    <x v="1"/>
    <s v="Master"/>
    <s v="Married"/>
    <n v="49605"/>
    <n v="0"/>
    <n v="65"/>
    <n v="42"/>
    <n v="16"/>
    <n v="29"/>
    <n v="12"/>
    <n v="20"/>
    <n v="8"/>
    <n v="127"/>
    <n v="1"/>
    <n v="2"/>
    <n v="1"/>
    <n v="4"/>
    <n v="3"/>
    <n v="0"/>
    <n v="0"/>
    <n v="0"/>
    <n v="0"/>
    <n v="0"/>
    <n v="0"/>
    <n v="0"/>
  </r>
  <r>
    <d v="2014-05-18T00:00:00"/>
    <n v="6862"/>
    <n v="1971"/>
    <x v="0"/>
    <s v="Graduation"/>
    <s v="Divorced"/>
    <n v="1730"/>
    <n v="0"/>
    <n v="65"/>
    <n v="1"/>
    <n v="1"/>
    <n v="3"/>
    <n v="1"/>
    <n v="1"/>
    <n v="1"/>
    <n v="8"/>
    <n v="15"/>
    <n v="0"/>
    <n v="0"/>
    <n v="0"/>
    <n v="20"/>
    <n v="0"/>
    <n v="0"/>
    <n v="0"/>
    <n v="0"/>
    <n v="0"/>
    <n v="0"/>
    <n v="0"/>
  </r>
  <r>
    <d v="2014-03-26T00:00:00"/>
    <n v="8315"/>
    <n v="1995"/>
    <x v="2"/>
    <s v="Graduation"/>
    <s v="Single"/>
    <n v="34824"/>
    <n v="0"/>
    <n v="65"/>
    <n v="4"/>
    <n v="2"/>
    <n v="11"/>
    <n v="2"/>
    <n v="0"/>
    <n v="4"/>
    <n v="23"/>
    <n v="1"/>
    <n v="1"/>
    <n v="0"/>
    <n v="2"/>
    <n v="6"/>
    <n v="0"/>
    <n v="0"/>
    <n v="0"/>
    <n v="0"/>
    <n v="0"/>
    <n v="0"/>
    <n v="0"/>
  </r>
  <r>
    <d v="2014-03-26T00:00:00"/>
    <n v="5184"/>
    <n v="1995"/>
    <x v="0"/>
    <s v="Graduation"/>
    <s v="Single"/>
    <n v="34824"/>
    <n v="0"/>
    <n v="65"/>
    <n v="4"/>
    <n v="2"/>
    <n v="11"/>
    <n v="2"/>
    <n v="0"/>
    <n v="4"/>
    <n v="23"/>
    <n v="1"/>
    <n v="1"/>
    <n v="0"/>
    <n v="2"/>
    <n v="6"/>
    <n v="0"/>
    <n v="0"/>
    <n v="0"/>
    <n v="0"/>
    <n v="0"/>
    <n v="0"/>
    <n v="0"/>
  </r>
  <r>
    <d v="2014-03-20T00:00:00"/>
    <n v="3643"/>
    <n v="1974"/>
    <x v="1"/>
    <s v="Master"/>
    <s v="Married"/>
    <n v="63206"/>
    <n v="0"/>
    <n v="65"/>
    <n v="750"/>
    <n v="8"/>
    <n v="125"/>
    <n v="11"/>
    <n v="8"/>
    <n v="26"/>
    <n v="928"/>
    <n v="1"/>
    <n v="4"/>
    <n v="3"/>
    <n v="6"/>
    <n v="2"/>
    <n v="0"/>
    <n v="0"/>
    <n v="1"/>
    <n v="0"/>
    <n v="0"/>
    <n v="0"/>
    <n v="0"/>
  </r>
  <r>
    <d v="2014-02-07T00:00:00"/>
    <n v="2589"/>
    <n v="1972"/>
    <x v="3"/>
    <s v="Graduation"/>
    <s v="Divorced"/>
    <n v="26759"/>
    <n v="1"/>
    <n v="65"/>
    <n v="25"/>
    <n v="3"/>
    <n v="16"/>
    <n v="8"/>
    <n v="5"/>
    <n v="2"/>
    <n v="59"/>
    <n v="2"/>
    <n v="2"/>
    <n v="1"/>
    <n v="3"/>
    <n v="6"/>
    <n v="0"/>
    <n v="0"/>
    <n v="0"/>
    <n v="0"/>
    <n v="0"/>
    <n v="0"/>
    <n v="0"/>
  </r>
  <r>
    <d v="2013-11-22T00:00:00"/>
    <n v="4887"/>
    <n v="1976"/>
    <x v="1"/>
    <s v="PhD"/>
    <s v="Divorced"/>
    <n v="55412"/>
    <n v="2"/>
    <n v="65"/>
    <n v="10"/>
    <n v="5"/>
    <n v="28"/>
    <n v="11"/>
    <n v="1"/>
    <n v="8"/>
    <n v="63"/>
    <n v="1"/>
    <n v="2"/>
    <n v="0"/>
    <n v="3"/>
    <n v="5"/>
    <n v="0"/>
    <n v="0"/>
    <n v="0"/>
    <n v="0"/>
    <n v="0"/>
    <n v="0"/>
    <n v="0"/>
  </r>
  <r>
    <d v="2013-11-03T00:00:00"/>
    <n v="10104"/>
    <n v="1974"/>
    <x v="1"/>
    <s v="Graduation"/>
    <s v="Together"/>
    <n v="33590"/>
    <n v="3"/>
    <n v="65"/>
    <n v="4"/>
    <n v="0"/>
    <n v="2"/>
    <n v="0"/>
    <n v="0"/>
    <n v="2"/>
    <n v="8"/>
    <n v="1"/>
    <n v="1"/>
    <n v="0"/>
    <n v="2"/>
    <n v="7"/>
    <n v="0"/>
    <n v="0"/>
    <n v="0"/>
    <n v="0"/>
    <n v="0"/>
    <n v="0"/>
    <n v="0"/>
  </r>
  <r>
    <d v="2013-10-14T00:00:00"/>
    <n v="3254"/>
    <n v="1971"/>
    <x v="0"/>
    <s v="Graduation"/>
    <s v="Married"/>
    <n v="70886"/>
    <n v="1"/>
    <n v="65"/>
    <n v="407"/>
    <n v="70"/>
    <n v="239"/>
    <n v="103"/>
    <n v="88"/>
    <n v="53"/>
    <n v="960"/>
    <n v="1"/>
    <n v="5"/>
    <n v="4"/>
    <n v="4"/>
    <n v="2"/>
    <n v="0"/>
    <n v="0"/>
    <n v="0"/>
    <n v="0"/>
    <n v="0"/>
    <n v="0"/>
    <n v="0"/>
  </r>
  <r>
    <d v="2013-09-18T00:00:00"/>
    <n v="2004"/>
    <n v="1969"/>
    <x v="0"/>
    <s v="Graduation"/>
    <s v="Single"/>
    <n v="72679"/>
    <n v="1"/>
    <n v="65"/>
    <n v="619"/>
    <n v="54"/>
    <n v="260"/>
    <n v="127"/>
    <n v="54"/>
    <n v="54"/>
    <n v="1168"/>
    <n v="1"/>
    <n v="4"/>
    <n v="7"/>
    <n v="5"/>
    <n v="1"/>
    <n v="0"/>
    <n v="0"/>
    <n v="0"/>
    <n v="0"/>
    <n v="0"/>
    <n v="0"/>
    <n v="0"/>
  </r>
  <r>
    <d v="2013-08-20T00:00:00"/>
    <n v="6142"/>
    <n v="1943"/>
    <x v="0"/>
    <s v="Master"/>
    <s v="Married"/>
    <n v="65073"/>
    <n v="0"/>
    <n v="65"/>
    <n v="629"/>
    <n v="17"/>
    <n v="177"/>
    <n v="69"/>
    <n v="0"/>
    <n v="8"/>
    <n v="900"/>
    <n v="1"/>
    <n v="5"/>
    <n v="3"/>
    <n v="5"/>
    <n v="2"/>
    <n v="0"/>
    <n v="0"/>
    <n v="0"/>
    <n v="0"/>
    <n v="0"/>
    <n v="0"/>
    <n v="1"/>
  </r>
  <r>
    <d v="2013-06-23T00:00:00"/>
    <n v="8553"/>
    <n v="1965"/>
    <x v="0"/>
    <s v="Graduation"/>
    <s v="Married"/>
    <n v="44300"/>
    <n v="2"/>
    <n v="65"/>
    <n v="30"/>
    <n v="0"/>
    <n v="9"/>
    <n v="0"/>
    <n v="0"/>
    <n v="3"/>
    <n v="42"/>
    <n v="2"/>
    <n v="1"/>
    <n v="0"/>
    <n v="3"/>
    <n v="6"/>
    <n v="0"/>
    <n v="0"/>
    <n v="0"/>
    <n v="0"/>
    <n v="0"/>
    <n v="0"/>
    <n v="0"/>
  </r>
  <r>
    <d v="2013-06-20T00:00:00"/>
    <n v="9805"/>
    <n v="1953"/>
    <x v="1"/>
    <s v="Master"/>
    <s v="Together"/>
    <n v="56129"/>
    <n v="1"/>
    <n v="65"/>
    <n v="320"/>
    <n v="48"/>
    <n v="133"/>
    <n v="39"/>
    <n v="72"/>
    <n v="48"/>
    <n v="660"/>
    <n v="4"/>
    <n v="6"/>
    <n v="2"/>
    <n v="10"/>
    <n v="4"/>
    <n v="0"/>
    <n v="0"/>
    <n v="0"/>
    <n v="0"/>
    <n v="0"/>
    <n v="0"/>
    <n v="0"/>
  </r>
  <r>
    <d v="2013-06-20T00:00:00"/>
    <n v="849"/>
    <n v="1953"/>
    <x v="0"/>
    <s v="Master"/>
    <s v="Together"/>
    <n v="56129"/>
    <n v="1"/>
    <n v="65"/>
    <n v="320"/>
    <n v="48"/>
    <n v="133"/>
    <n v="39"/>
    <n v="72"/>
    <n v="48"/>
    <n v="660"/>
    <n v="4"/>
    <n v="6"/>
    <n v="2"/>
    <n v="10"/>
    <n v="4"/>
    <n v="0"/>
    <n v="0"/>
    <n v="0"/>
    <n v="0"/>
    <n v="0"/>
    <n v="0"/>
    <n v="0"/>
  </r>
  <r>
    <d v="2013-05-15T00:00:00"/>
    <n v="1606"/>
    <n v="1971"/>
    <x v="6"/>
    <s v="Graduation"/>
    <s v="Together"/>
    <n v="38590"/>
    <n v="1"/>
    <n v="65"/>
    <n v="3"/>
    <n v="1"/>
    <n v="8"/>
    <n v="4"/>
    <n v="3"/>
    <n v="3"/>
    <n v="22"/>
    <n v="1"/>
    <n v="1"/>
    <n v="0"/>
    <n v="2"/>
    <n v="8"/>
    <n v="0"/>
    <n v="0"/>
    <n v="0"/>
    <n v="0"/>
    <n v="0"/>
    <n v="0"/>
    <n v="0"/>
  </r>
  <r>
    <d v="2013-05-15T00:00:00"/>
    <n v="125"/>
    <n v="1958"/>
    <x v="5"/>
    <s v="2n Cycle"/>
    <s v="Together"/>
    <n v="53083"/>
    <n v="2"/>
    <n v="65"/>
    <n v="215"/>
    <n v="7"/>
    <n v="33"/>
    <n v="3"/>
    <n v="0"/>
    <n v="13"/>
    <n v="271"/>
    <n v="6"/>
    <n v="5"/>
    <n v="1"/>
    <n v="5"/>
    <n v="7"/>
    <n v="0"/>
    <n v="1"/>
    <n v="0"/>
    <n v="0"/>
    <n v="0"/>
    <n v="0"/>
    <n v="0"/>
  </r>
  <r>
    <d v="2013-05-12T00:00:00"/>
    <n v="9305"/>
    <n v="1976"/>
    <x v="0"/>
    <s v="2n Cycle"/>
    <s v="Single"/>
    <n v="79689"/>
    <n v="0"/>
    <n v="65"/>
    <n v="311"/>
    <n v="26"/>
    <n v="640"/>
    <n v="180"/>
    <n v="37"/>
    <n v="121"/>
    <n v="1315"/>
    <n v="1"/>
    <n v="4"/>
    <n v="9"/>
    <n v="13"/>
    <n v="2"/>
    <n v="0"/>
    <n v="0"/>
    <n v="0"/>
    <n v="0"/>
    <n v="0"/>
    <n v="0"/>
    <n v="0"/>
  </r>
  <r>
    <d v="2013-04-27T00:00:00"/>
    <n v="4706"/>
    <n v="1966"/>
    <x v="1"/>
    <s v="Graduation"/>
    <s v="Single"/>
    <n v="34704"/>
    <n v="1"/>
    <n v="65"/>
    <n v="29"/>
    <n v="0"/>
    <n v="5"/>
    <n v="0"/>
    <n v="1"/>
    <n v="5"/>
    <n v="40"/>
    <n v="1"/>
    <n v="1"/>
    <n v="0"/>
    <n v="3"/>
    <n v="5"/>
    <n v="0"/>
    <n v="0"/>
    <n v="0"/>
    <n v="0"/>
    <n v="0"/>
    <n v="0"/>
    <n v="0"/>
  </r>
  <r>
    <d v="2013-04-24T00:00:00"/>
    <n v="4437"/>
    <n v="1962"/>
    <x v="0"/>
    <s v="Graduation"/>
    <s v="Married"/>
    <n v="65316"/>
    <n v="2"/>
    <n v="65"/>
    <n v="112"/>
    <n v="6"/>
    <n v="92"/>
    <n v="3"/>
    <n v="9"/>
    <n v="38"/>
    <n v="260"/>
    <n v="2"/>
    <n v="3"/>
    <n v="2"/>
    <n v="5"/>
    <n v="4"/>
    <n v="0"/>
    <n v="0"/>
    <n v="0"/>
    <n v="0"/>
    <n v="0"/>
    <n v="0"/>
    <n v="0"/>
  </r>
  <r>
    <d v="2013-04-22T00:00:00"/>
    <n v="3081"/>
    <n v="1978"/>
    <x v="0"/>
    <s v="PhD"/>
    <s v="Married"/>
    <n v="41014"/>
    <n v="1"/>
    <n v="65"/>
    <n v="7"/>
    <n v="2"/>
    <n v="6"/>
    <n v="2"/>
    <n v="0"/>
    <n v="3"/>
    <n v="20"/>
    <n v="1"/>
    <n v="1"/>
    <n v="0"/>
    <n v="2"/>
    <n v="7"/>
    <n v="0"/>
    <n v="0"/>
    <n v="0"/>
    <n v="0"/>
    <n v="0"/>
    <n v="0"/>
    <n v="0"/>
  </r>
  <r>
    <d v="2013-03-24T00:00:00"/>
    <n v="3536"/>
    <n v="1960"/>
    <x v="5"/>
    <s v="Graduation"/>
    <s v="Together"/>
    <n v="19740"/>
    <n v="1"/>
    <n v="65"/>
    <n v="7"/>
    <n v="11"/>
    <n v="3"/>
    <n v="10"/>
    <n v="4"/>
    <n v="20"/>
    <n v="55"/>
    <n v="2"/>
    <n v="1"/>
    <n v="1"/>
    <n v="3"/>
    <n v="5"/>
    <n v="0"/>
    <n v="0"/>
    <n v="0"/>
    <n v="0"/>
    <n v="0"/>
    <n v="0"/>
    <n v="0"/>
  </r>
  <r>
    <d v="2013-01-08T00:00:00"/>
    <n v="8686"/>
    <n v="1979"/>
    <x v="0"/>
    <s v="Basic"/>
    <s v="Together"/>
    <n v="23724"/>
    <n v="1"/>
    <n v="65"/>
    <n v="5"/>
    <n v="23"/>
    <n v="15"/>
    <n v="0"/>
    <n v="18"/>
    <n v="14"/>
    <n v="75"/>
    <n v="2"/>
    <n v="2"/>
    <n v="0"/>
    <n v="3"/>
    <n v="8"/>
    <n v="0"/>
    <n v="0"/>
    <n v="0"/>
    <n v="0"/>
    <n v="0"/>
    <n v="0"/>
    <n v="0"/>
  </r>
  <r>
    <d v="2012-11-23T00:00:00"/>
    <n v="9707"/>
    <n v="1969"/>
    <x v="0"/>
    <s v="PhD"/>
    <s v="Married"/>
    <n v="55212"/>
    <n v="1"/>
    <n v="65"/>
    <n v="1103"/>
    <n v="0"/>
    <n v="45"/>
    <n v="0"/>
    <n v="0"/>
    <n v="34"/>
    <n v="1182"/>
    <n v="3"/>
    <n v="4"/>
    <n v="2"/>
    <n v="11"/>
    <n v="8"/>
    <n v="0"/>
    <n v="1"/>
    <n v="0"/>
    <n v="0"/>
    <n v="1"/>
    <n v="0"/>
    <n v="0"/>
  </r>
  <r>
    <d v="2012-11-23T00:00:00"/>
    <n v="10872"/>
    <n v="1969"/>
    <x v="0"/>
    <s v="PhD"/>
    <s v="Married"/>
    <n v="55212"/>
    <n v="1"/>
    <n v="65"/>
    <n v="1103"/>
    <n v="0"/>
    <n v="45"/>
    <n v="0"/>
    <n v="0"/>
    <n v="34"/>
    <n v="1182"/>
    <n v="3"/>
    <n v="4"/>
    <n v="2"/>
    <n v="11"/>
    <n v="8"/>
    <n v="0"/>
    <n v="1"/>
    <n v="0"/>
    <n v="0"/>
    <n v="1"/>
    <n v="0"/>
    <n v="0"/>
  </r>
  <r>
    <d v="2012-09-23T00:00:00"/>
    <n v="9058"/>
    <n v="1955"/>
    <x v="0"/>
    <s v="Graduation"/>
    <s v="Widow"/>
    <n v="79800"/>
    <n v="0"/>
    <n v="65"/>
    <n v="1060"/>
    <n v="21"/>
    <n v="530"/>
    <n v="32"/>
    <n v="0"/>
    <n v="224"/>
    <n v="1867"/>
    <n v="1"/>
    <n v="5"/>
    <n v="11"/>
    <n v="5"/>
    <n v="3"/>
    <n v="1"/>
    <n v="0"/>
    <n v="1"/>
    <n v="1"/>
    <n v="0"/>
    <n v="1"/>
    <n v="0"/>
  </r>
  <r>
    <d v="2012-09-21T00:00:00"/>
    <n v="4640"/>
    <n v="1967"/>
    <x v="6"/>
    <s v="Graduation"/>
    <s v="Divorced"/>
    <n v="70647"/>
    <n v="1"/>
    <n v="65"/>
    <n v="561"/>
    <n v="85"/>
    <n v="171"/>
    <n v="25"/>
    <n v="123"/>
    <n v="114"/>
    <n v="1079"/>
    <n v="2"/>
    <n v="4"/>
    <n v="7"/>
    <n v="13"/>
    <n v="2"/>
    <n v="0"/>
    <n v="0"/>
    <n v="0"/>
    <n v="0"/>
    <n v="0"/>
    <n v="0"/>
    <n v="0"/>
  </r>
  <r>
    <d v="2012-09-14T00:00:00"/>
    <n v="2525"/>
    <n v="1974"/>
    <x v="1"/>
    <s v="PhD"/>
    <s v="Married"/>
    <n v="38410"/>
    <n v="0"/>
    <n v="65"/>
    <n v="153"/>
    <n v="64"/>
    <n v="123"/>
    <n v="116"/>
    <n v="64"/>
    <n v="14"/>
    <n v="534"/>
    <n v="2"/>
    <n v="5"/>
    <n v="2"/>
    <n v="9"/>
    <n v="6"/>
    <n v="0"/>
    <n v="0"/>
    <n v="0"/>
    <n v="0"/>
    <n v="0"/>
    <n v="1"/>
    <n v="0"/>
  </r>
  <r>
    <d v="2012-08-29T00:00:00"/>
    <n v="9503"/>
    <n v="1980"/>
    <x v="0"/>
    <s v="Graduation"/>
    <s v="Single"/>
    <n v="28071"/>
    <n v="0"/>
    <n v="65"/>
    <n v="39"/>
    <n v="33"/>
    <n v="130"/>
    <n v="41"/>
    <n v="26"/>
    <n v="44"/>
    <n v="313"/>
    <n v="2"/>
    <n v="5"/>
    <n v="1"/>
    <n v="5"/>
    <n v="8"/>
    <n v="0"/>
    <n v="0"/>
    <n v="0"/>
    <n v="0"/>
    <n v="0"/>
    <n v="0"/>
    <n v="0"/>
  </r>
  <r>
    <d v="2012-08-21T00:00:00"/>
    <n v="10704"/>
    <n v="1969"/>
    <x v="0"/>
    <s v="Graduation"/>
    <s v="Single"/>
    <n v="54803"/>
    <n v="1"/>
    <n v="65"/>
    <n v="404"/>
    <n v="0"/>
    <n v="92"/>
    <n v="28"/>
    <n v="27"/>
    <n v="142"/>
    <n v="693"/>
    <n v="2"/>
    <n v="6"/>
    <n v="2"/>
    <n v="9"/>
    <n v="4"/>
    <n v="0"/>
    <n v="0"/>
    <n v="0"/>
    <n v="0"/>
    <n v="0"/>
    <n v="0"/>
    <n v="0"/>
  </r>
  <r>
    <d v="2014-05-04T00:00:00"/>
    <n v="2669"/>
    <n v="1993"/>
    <x v="0"/>
    <s v="Graduation"/>
    <s v="Single"/>
    <n v="74293"/>
    <n v="0"/>
    <n v="66"/>
    <n v="375"/>
    <n v="152"/>
    <n v="335"/>
    <n v="93"/>
    <n v="91"/>
    <n v="81"/>
    <n v="1127"/>
    <n v="1"/>
    <n v="5"/>
    <n v="4"/>
    <n v="6"/>
    <n v="2"/>
    <n v="0"/>
    <n v="0"/>
    <n v="0"/>
    <n v="0"/>
    <n v="0"/>
    <n v="0"/>
    <n v="0"/>
  </r>
  <r>
    <d v="2014-05-04T00:00:00"/>
    <n v="10037"/>
    <n v="1993"/>
    <x v="6"/>
    <s v="Graduation"/>
    <s v="Single"/>
    <n v="74293"/>
    <n v="0"/>
    <n v="66"/>
    <n v="375"/>
    <n v="152"/>
    <n v="335"/>
    <n v="93"/>
    <n v="91"/>
    <n v="81"/>
    <n v="1127"/>
    <n v="1"/>
    <n v="5"/>
    <n v="4"/>
    <n v="6"/>
    <n v="2"/>
    <n v="0"/>
    <n v="0"/>
    <n v="0"/>
    <n v="0"/>
    <n v="0"/>
    <n v="0"/>
    <n v="0"/>
  </r>
  <r>
    <d v="2014-04-22T00:00:00"/>
    <n v="5680"/>
    <n v="1984"/>
    <x v="0"/>
    <s v="2n Cycle"/>
    <s v="Married"/>
    <n v="35684"/>
    <n v="1"/>
    <n v="66"/>
    <n v="10"/>
    <n v="4"/>
    <n v="7"/>
    <n v="0"/>
    <n v="6"/>
    <n v="3"/>
    <n v="30"/>
    <n v="1"/>
    <n v="1"/>
    <n v="0"/>
    <n v="3"/>
    <n v="6"/>
    <n v="0"/>
    <n v="0"/>
    <n v="0"/>
    <n v="0"/>
    <n v="0"/>
    <n v="0"/>
    <n v="0"/>
  </r>
  <r>
    <d v="2014-02-16T00:00:00"/>
    <n v="3726"/>
    <n v="1986"/>
    <x v="6"/>
    <s v="PhD"/>
    <s v="Together"/>
    <n v="34320"/>
    <n v="1"/>
    <n v="66"/>
    <n v="4"/>
    <n v="1"/>
    <n v="9"/>
    <n v="3"/>
    <n v="0"/>
    <n v="0"/>
    <n v="17"/>
    <n v="1"/>
    <n v="1"/>
    <n v="0"/>
    <n v="2"/>
    <n v="8"/>
    <n v="0"/>
    <n v="0"/>
    <n v="0"/>
    <n v="0"/>
    <n v="0"/>
    <n v="0"/>
    <n v="0"/>
  </r>
  <r>
    <d v="2013-11-23T00:00:00"/>
    <n v="4548"/>
    <n v="1981"/>
    <x v="1"/>
    <s v="Graduation"/>
    <s v="Single"/>
    <n v="41967"/>
    <n v="2"/>
    <n v="66"/>
    <n v="23"/>
    <n v="4"/>
    <n v="10"/>
    <n v="0"/>
    <n v="2"/>
    <n v="15"/>
    <n v="54"/>
    <n v="1"/>
    <n v="1"/>
    <n v="0"/>
    <n v="3"/>
    <n v="4"/>
    <n v="0"/>
    <n v="0"/>
    <n v="0"/>
    <n v="0"/>
    <n v="0"/>
    <n v="0"/>
    <n v="0"/>
  </r>
  <r>
    <d v="2013-11-04T00:00:00"/>
    <n v="4599"/>
    <n v="1976"/>
    <x v="1"/>
    <s v="Master"/>
    <s v="Married"/>
    <n v="49681"/>
    <n v="2"/>
    <n v="66"/>
    <n v="411"/>
    <n v="0"/>
    <n v="26"/>
    <n v="0"/>
    <n v="0"/>
    <n v="21"/>
    <n v="458"/>
    <n v="6"/>
    <n v="7"/>
    <n v="1"/>
    <n v="7"/>
    <n v="7"/>
    <n v="0"/>
    <n v="0"/>
    <n v="0"/>
    <n v="0"/>
    <n v="0"/>
    <n v="0"/>
    <n v="0"/>
  </r>
  <r>
    <d v="2013-11-04T00:00:00"/>
    <n v="879"/>
    <n v="1976"/>
    <x v="6"/>
    <s v="Master"/>
    <s v="Married"/>
    <n v="49681"/>
    <n v="2"/>
    <n v="66"/>
    <n v="411"/>
    <n v="0"/>
    <n v="26"/>
    <n v="0"/>
    <n v="0"/>
    <n v="21"/>
    <n v="458"/>
    <n v="6"/>
    <n v="7"/>
    <n v="1"/>
    <n v="7"/>
    <n v="7"/>
    <n v="0"/>
    <n v="0"/>
    <n v="0"/>
    <n v="0"/>
    <n v="0"/>
    <n v="0"/>
    <n v="0"/>
  </r>
  <r>
    <d v="2013-10-26T00:00:00"/>
    <n v="7409"/>
    <n v="1970"/>
    <x v="0"/>
    <s v="Graduation"/>
    <s v="Together"/>
    <n v="53187"/>
    <n v="1"/>
    <n v="66"/>
    <n v="211"/>
    <n v="2"/>
    <n v="30"/>
    <n v="7"/>
    <n v="7"/>
    <n v="10"/>
    <n v="267"/>
    <n v="2"/>
    <n v="4"/>
    <n v="1"/>
    <n v="6"/>
    <n v="5"/>
    <n v="0"/>
    <n v="0"/>
    <n v="0"/>
    <n v="0"/>
    <n v="0"/>
    <n v="0"/>
    <n v="0"/>
  </r>
  <r>
    <d v="2013-09-05T00:00:00"/>
    <n v="1964"/>
    <n v="1951"/>
    <x v="0"/>
    <s v="Graduation"/>
    <s v="Together"/>
    <n v="86610"/>
    <n v="0"/>
    <n v="66"/>
    <n v="446"/>
    <n v="107"/>
    <n v="768"/>
    <n v="33"/>
    <n v="196"/>
    <n v="53"/>
    <n v="1603"/>
    <n v="1"/>
    <n v="5"/>
    <n v="6"/>
    <n v="6"/>
    <n v="2"/>
    <n v="0"/>
    <n v="0"/>
    <n v="0"/>
    <n v="0"/>
    <n v="0"/>
    <n v="0"/>
    <n v="0"/>
  </r>
  <r>
    <d v="2013-05-04T00:00:00"/>
    <n v="0"/>
    <n v="1985"/>
    <x v="6"/>
    <s v="Graduation"/>
    <s v="Married"/>
    <n v="70951"/>
    <n v="0"/>
    <n v="66"/>
    <n v="239"/>
    <n v="10"/>
    <n v="554"/>
    <n v="254"/>
    <n v="87"/>
    <n v="54"/>
    <n v="1198"/>
    <n v="1"/>
    <n v="3"/>
    <n v="4"/>
    <n v="9"/>
    <n v="1"/>
    <n v="0"/>
    <n v="0"/>
    <n v="0"/>
    <n v="0"/>
    <n v="0"/>
    <n v="0"/>
    <n v="0"/>
  </r>
  <r>
    <d v="2013-03-08T00:00:00"/>
    <n v="4860"/>
    <n v="1970"/>
    <x v="0"/>
    <s v="Graduation"/>
    <s v="Single"/>
    <n v="24206"/>
    <n v="1"/>
    <n v="66"/>
    <n v="7"/>
    <n v="2"/>
    <n v="8"/>
    <n v="3"/>
    <n v="2"/>
    <n v="3"/>
    <n v="25"/>
    <n v="1"/>
    <n v="1"/>
    <n v="0"/>
    <n v="3"/>
    <n v="6"/>
    <n v="0"/>
    <n v="0"/>
    <n v="0"/>
    <n v="0"/>
    <n v="0"/>
    <n v="0"/>
    <n v="0"/>
  </r>
  <r>
    <d v="2013-02-19T00:00:00"/>
    <n v="425"/>
    <n v="1985"/>
    <x v="5"/>
    <s v="Graduation"/>
    <s v="Married"/>
    <n v="55357"/>
    <n v="2"/>
    <n v="66"/>
    <n v="374"/>
    <n v="64"/>
    <n v="116"/>
    <n v="84"/>
    <n v="25"/>
    <n v="64"/>
    <n v="727"/>
    <n v="3"/>
    <n v="6"/>
    <n v="2"/>
    <n v="11"/>
    <n v="5"/>
    <n v="0"/>
    <n v="0"/>
    <n v="0"/>
    <n v="0"/>
    <n v="0"/>
    <n v="0"/>
    <n v="0"/>
  </r>
  <r>
    <d v="2013-01-25T00:00:00"/>
    <n v="9500"/>
    <n v="1959"/>
    <x v="0"/>
    <s v="Graduation"/>
    <s v="Married"/>
    <n v="58113"/>
    <n v="1"/>
    <n v="66"/>
    <n v="221"/>
    <n v="104"/>
    <n v="169"/>
    <n v="102"/>
    <n v="78"/>
    <n v="84"/>
    <n v="758"/>
    <n v="3"/>
    <n v="9"/>
    <n v="2"/>
    <n v="8"/>
    <n v="7"/>
    <n v="0"/>
    <n v="0"/>
    <n v="0"/>
    <n v="0"/>
    <n v="0"/>
    <n v="0"/>
    <n v="1"/>
  </r>
  <r>
    <d v="2012-10-15T00:00:00"/>
    <n v="3074"/>
    <n v="1984"/>
    <x v="0"/>
    <s v="PhD"/>
    <s v="Married"/>
    <n v="70643"/>
    <n v="0"/>
    <n v="66"/>
    <n v="1218"/>
    <n v="107"/>
    <n v="304"/>
    <n v="23"/>
    <n v="143"/>
    <n v="33"/>
    <n v="1828"/>
    <n v="1"/>
    <n v="5"/>
    <n v="8"/>
    <n v="4"/>
    <n v="6"/>
    <n v="0"/>
    <n v="0"/>
    <n v="0"/>
    <n v="0"/>
    <n v="0"/>
    <n v="1"/>
    <n v="0"/>
  </r>
  <r>
    <d v="2012-08-24T00:00:00"/>
    <n v="5140"/>
    <n v="1985"/>
    <x v="0"/>
    <s v="PhD"/>
    <s v="Married"/>
    <n v="64355"/>
    <n v="1"/>
    <n v="66"/>
    <n v="1047"/>
    <n v="0"/>
    <n v="140"/>
    <n v="67"/>
    <n v="38"/>
    <n v="153"/>
    <n v="1445"/>
    <n v="2"/>
    <n v="4"/>
    <n v="3"/>
    <n v="12"/>
    <n v="8"/>
    <n v="0"/>
    <n v="0"/>
    <n v="0"/>
    <n v="0"/>
    <n v="0"/>
    <n v="0"/>
    <n v="0"/>
  </r>
  <r>
    <d v="2012-08-01T00:00:00"/>
    <n v="2611"/>
    <n v="1959"/>
    <x v="6"/>
    <s v="Master"/>
    <s v="Together"/>
    <n v="82576"/>
    <n v="0"/>
    <n v="66"/>
    <n v="1206"/>
    <n v="55"/>
    <n v="445"/>
    <n v="168"/>
    <n v="18"/>
    <n v="18"/>
    <n v="1910"/>
    <n v="1"/>
    <n v="2"/>
    <n v="4"/>
    <n v="12"/>
    <n v="1"/>
    <n v="0"/>
    <n v="0"/>
    <n v="1"/>
    <n v="0"/>
    <n v="0"/>
    <n v="0"/>
    <n v="0"/>
  </r>
  <r>
    <d v="2014-05-09T00:00:00"/>
    <n v="916"/>
    <n v="1972"/>
    <x v="0"/>
    <s v="PhD"/>
    <s v="Single"/>
    <n v="41644"/>
    <n v="2"/>
    <n v="67"/>
    <n v="20"/>
    <n v="3"/>
    <n v="4"/>
    <n v="2"/>
    <n v="0"/>
    <n v="2"/>
    <n v="31"/>
    <n v="2"/>
    <n v="1"/>
    <n v="0"/>
    <n v="3"/>
    <n v="3"/>
    <n v="0"/>
    <n v="0"/>
    <n v="0"/>
    <n v="0"/>
    <n v="0"/>
    <n v="0"/>
    <n v="0"/>
  </r>
  <r>
    <d v="2014-04-25T00:00:00"/>
    <n v="10413"/>
    <n v="1984"/>
    <x v="0"/>
    <s v="Graduation"/>
    <s v="Married"/>
    <n v="72570"/>
    <n v="0"/>
    <n v="67"/>
    <n v="274"/>
    <n v="83"/>
    <n v="216"/>
    <n v="151"/>
    <n v="141"/>
    <n v="224"/>
    <n v="1089"/>
    <n v="1"/>
    <n v="4"/>
    <n v="6"/>
    <n v="12"/>
    <n v="1"/>
    <n v="0"/>
    <n v="0"/>
    <n v="0"/>
    <n v="0"/>
    <n v="0"/>
    <n v="0"/>
    <n v="0"/>
  </r>
  <r>
    <d v="2014-01-27T00:00:00"/>
    <n v="3696"/>
    <n v="1965"/>
    <x v="0"/>
    <s v="Graduation"/>
    <s v="Divorced"/>
    <n v="30630"/>
    <n v="2"/>
    <n v="67"/>
    <n v="27"/>
    <n v="1"/>
    <n v="12"/>
    <n v="2"/>
    <n v="0"/>
    <n v="10"/>
    <n v="52"/>
    <n v="2"/>
    <n v="2"/>
    <n v="0"/>
    <n v="3"/>
    <n v="7"/>
    <n v="0"/>
    <n v="0"/>
    <n v="0"/>
    <n v="0"/>
    <n v="0"/>
    <n v="0"/>
    <n v="0"/>
  </r>
  <r>
    <d v="2013-12-23T00:00:00"/>
    <n v="304"/>
    <n v="1981"/>
    <x v="0"/>
    <s v="Master"/>
    <s v="Single"/>
    <n v="22944"/>
    <n v="1"/>
    <n v="67"/>
    <n v="19"/>
    <n v="3"/>
    <n v="19"/>
    <n v="4"/>
    <n v="5"/>
    <n v="26"/>
    <n v="76"/>
    <n v="3"/>
    <n v="3"/>
    <n v="0"/>
    <n v="3"/>
    <n v="7"/>
    <n v="0"/>
    <n v="0"/>
    <n v="0"/>
    <n v="0"/>
    <n v="0"/>
    <n v="0"/>
    <n v="0"/>
  </r>
  <r>
    <d v="2013-11-07T00:00:00"/>
    <n v="5113"/>
    <n v="1971"/>
    <x v="0"/>
    <s v="PhD"/>
    <s v="Divorced"/>
    <n v="86979"/>
    <n v="0"/>
    <n v="67"/>
    <n v="584"/>
    <n v="100"/>
    <n v="835"/>
    <n v="65"/>
    <n v="83"/>
    <n v="35"/>
    <n v="1702"/>
    <n v="1"/>
    <n v="5"/>
    <n v="5"/>
    <n v="5"/>
    <n v="2"/>
    <n v="1"/>
    <n v="0"/>
    <n v="0"/>
    <n v="0"/>
    <n v="0"/>
    <n v="1"/>
    <n v="0"/>
  </r>
  <r>
    <d v="2013-08-23T00:00:00"/>
    <n v="2863"/>
    <n v="1970"/>
    <x v="0"/>
    <s v="Graduation"/>
    <s v="Single"/>
    <n v="53790.45"/>
    <n v="3"/>
    <n v="67"/>
    <n v="738"/>
    <n v="20"/>
    <n v="172"/>
    <n v="52"/>
    <n v="50"/>
    <n v="20"/>
    <n v="1052"/>
    <n v="6"/>
    <n v="2"/>
    <n v="3"/>
    <n v="10"/>
    <n v="7"/>
    <n v="0"/>
    <n v="1"/>
    <n v="0"/>
    <n v="1"/>
    <n v="0"/>
    <n v="0"/>
    <n v="0"/>
  </r>
  <r>
    <d v="2013-07-02T00:00:00"/>
    <n v="4597"/>
    <n v="1970"/>
    <x v="6"/>
    <s v="PhD"/>
    <s v="Together"/>
    <n v="82072"/>
    <n v="0"/>
    <n v="67"/>
    <n v="889"/>
    <n v="55"/>
    <n v="685"/>
    <n v="168"/>
    <n v="92"/>
    <n v="129"/>
    <n v="2018"/>
    <n v="1"/>
    <n v="3"/>
    <n v="2"/>
    <n v="13"/>
    <n v="1"/>
    <n v="0"/>
    <n v="0"/>
    <n v="0"/>
    <n v="0"/>
    <n v="0"/>
    <n v="0"/>
    <n v="0"/>
  </r>
  <r>
    <d v="2013-05-17T00:00:00"/>
    <n v="675"/>
    <n v="1973"/>
    <x v="0"/>
    <s v="Master"/>
    <s v="Divorced"/>
    <n v="52034"/>
    <n v="2"/>
    <n v="67"/>
    <n v="146"/>
    <n v="0"/>
    <n v="93"/>
    <n v="7"/>
    <n v="13"/>
    <n v="73"/>
    <n v="332"/>
    <n v="5"/>
    <n v="4"/>
    <n v="2"/>
    <n v="5"/>
    <n v="7"/>
    <n v="0"/>
    <n v="0"/>
    <n v="0"/>
    <n v="0"/>
    <n v="0"/>
    <n v="0"/>
    <n v="0"/>
  </r>
  <r>
    <d v="2013-04-17T00:00:00"/>
    <n v="4483"/>
    <n v="1993"/>
    <x v="6"/>
    <s v="Graduation"/>
    <s v="Single"/>
    <n v="72354"/>
    <n v="0"/>
    <n v="67"/>
    <n v="315"/>
    <n v="26"/>
    <n v="473"/>
    <n v="220"/>
    <n v="12"/>
    <n v="182"/>
    <n v="1228"/>
    <n v="1"/>
    <n v="2"/>
    <n v="10"/>
    <n v="6"/>
    <n v="1"/>
    <n v="0"/>
    <n v="0"/>
    <n v="0"/>
    <n v="0"/>
    <n v="0"/>
    <n v="0"/>
    <n v="0"/>
  </r>
  <r>
    <d v="2013-03-21T00:00:00"/>
    <n v="1502"/>
    <n v="1983"/>
    <x v="0"/>
    <s v="Graduation"/>
    <s v="Together"/>
    <n v="28427"/>
    <n v="1"/>
    <n v="67"/>
    <n v="18"/>
    <n v="3"/>
    <n v="19"/>
    <n v="3"/>
    <n v="3"/>
    <n v="6"/>
    <n v="52"/>
    <n v="2"/>
    <n v="2"/>
    <n v="0"/>
    <n v="3"/>
    <n v="8"/>
    <n v="0"/>
    <n v="0"/>
    <n v="0"/>
    <n v="0"/>
    <n v="0"/>
    <n v="0"/>
    <n v="0"/>
  </r>
  <r>
    <d v="2013-03-21T00:00:00"/>
    <n v="736"/>
    <n v="1983"/>
    <x v="5"/>
    <s v="Graduation"/>
    <s v="Together"/>
    <n v="28427"/>
    <n v="1"/>
    <n v="67"/>
    <n v="18"/>
    <n v="3"/>
    <n v="19"/>
    <n v="3"/>
    <n v="3"/>
    <n v="6"/>
    <n v="52"/>
    <n v="2"/>
    <n v="2"/>
    <n v="0"/>
    <n v="3"/>
    <n v="8"/>
    <n v="0"/>
    <n v="0"/>
    <n v="0"/>
    <n v="0"/>
    <n v="0"/>
    <n v="0"/>
    <n v="0"/>
  </r>
  <r>
    <d v="2013-01-24T00:00:00"/>
    <n v="4487"/>
    <n v="1969"/>
    <x v="6"/>
    <s v="Master"/>
    <s v="Single"/>
    <n v="39858"/>
    <n v="1"/>
    <n v="67"/>
    <n v="15"/>
    <n v="20"/>
    <n v="25"/>
    <n v="2"/>
    <n v="7"/>
    <n v="26"/>
    <n v="95"/>
    <n v="1"/>
    <n v="2"/>
    <n v="0"/>
    <n v="4"/>
    <n v="6"/>
    <n v="0"/>
    <n v="0"/>
    <n v="0"/>
    <n v="0"/>
    <n v="0"/>
    <n v="1"/>
    <n v="0"/>
  </r>
  <r>
    <d v="2013-01-15T00:00:00"/>
    <n v="3412"/>
    <n v="1951"/>
    <x v="0"/>
    <s v="Master"/>
    <s v="Married"/>
    <n v="67381"/>
    <n v="1"/>
    <n v="67"/>
    <n v="815"/>
    <n v="8"/>
    <n v="53"/>
    <n v="11"/>
    <n v="0"/>
    <n v="70"/>
    <n v="957"/>
    <n v="4"/>
    <n v="2"/>
    <n v="2"/>
    <n v="9"/>
    <n v="7"/>
    <n v="0"/>
    <n v="1"/>
    <n v="0"/>
    <n v="0"/>
    <n v="0"/>
    <n v="0"/>
    <n v="0"/>
  </r>
  <r>
    <d v="2013-01-07T00:00:00"/>
    <n v="1744"/>
    <n v="1965"/>
    <x v="0"/>
    <s v="Basic"/>
    <s v="Single"/>
    <n v="23529"/>
    <n v="1"/>
    <n v="67"/>
    <n v="9"/>
    <n v="7"/>
    <n v="13"/>
    <n v="3"/>
    <n v="2"/>
    <n v="20"/>
    <n v="54"/>
    <n v="1"/>
    <n v="1"/>
    <n v="1"/>
    <n v="2"/>
    <n v="6"/>
    <n v="0"/>
    <n v="0"/>
    <n v="0"/>
    <n v="0"/>
    <n v="0"/>
    <n v="0"/>
    <n v="0"/>
  </r>
  <r>
    <d v="2012-12-28T00:00:00"/>
    <n v="5837"/>
    <n v="1967"/>
    <x v="0"/>
    <s v="Graduation"/>
    <s v="Married"/>
    <n v="51479"/>
    <n v="2"/>
    <n v="67"/>
    <n v="247"/>
    <n v="8"/>
    <n v="160"/>
    <n v="6"/>
    <n v="8"/>
    <n v="65"/>
    <n v="494"/>
    <n v="7"/>
    <n v="6"/>
    <n v="3"/>
    <n v="6"/>
    <n v="7"/>
    <n v="0"/>
    <n v="0"/>
    <n v="0"/>
    <n v="0"/>
    <n v="0"/>
    <n v="0"/>
    <n v="0"/>
  </r>
  <r>
    <d v="2012-11-29T00:00:00"/>
    <n v="3422"/>
    <n v="1975"/>
    <x v="4"/>
    <s v="Graduation"/>
    <s v="Married"/>
    <n v="76068"/>
    <n v="1"/>
    <n v="67"/>
    <n v="1115"/>
    <n v="12"/>
    <n v="128"/>
    <n v="33"/>
    <n v="12"/>
    <n v="76"/>
    <n v="1376"/>
    <n v="1"/>
    <n v="2"/>
    <n v="3"/>
    <n v="4"/>
    <n v="6"/>
    <n v="0"/>
    <n v="1"/>
    <n v="0"/>
    <n v="0"/>
    <n v="1"/>
    <n v="0"/>
    <n v="0"/>
  </r>
  <r>
    <d v="2012-11-24T00:00:00"/>
    <n v="7462"/>
    <n v="1954"/>
    <x v="1"/>
    <s v="Graduation"/>
    <s v="Single"/>
    <n v="22507"/>
    <n v="0"/>
    <n v="67"/>
    <n v="68"/>
    <n v="0"/>
    <n v="226"/>
    <n v="51"/>
    <n v="157"/>
    <n v="68"/>
    <n v="570"/>
    <n v="3"/>
    <n v="10"/>
    <n v="2"/>
    <n v="4"/>
    <n v="9"/>
    <n v="0"/>
    <n v="0"/>
    <n v="0"/>
    <n v="0"/>
    <n v="0"/>
    <n v="0"/>
    <n v="0"/>
  </r>
  <r>
    <d v="2012-11-03T00:00:00"/>
    <n v="10702"/>
    <n v="1984"/>
    <x v="0"/>
    <s v="Graduation"/>
    <s v="Single"/>
    <n v="52413"/>
    <n v="1"/>
    <n v="67"/>
    <n v="185"/>
    <n v="8"/>
    <n v="133"/>
    <n v="56"/>
    <n v="56"/>
    <n v="12"/>
    <n v="450"/>
    <n v="2"/>
    <n v="7"/>
    <n v="1"/>
    <n v="7"/>
    <n v="7"/>
    <n v="0"/>
    <n v="0"/>
    <n v="0"/>
    <n v="0"/>
    <n v="0"/>
    <n v="0"/>
    <n v="0"/>
  </r>
  <r>
    <d v="2014-06-20T00:00:00"/>
    <n v="2115"/>
    <n v="1957"/>
    <x v="4"/>
    <s v="Graduation"/>
    <s v="Together"/>
    <n v="50116"/>
    <n v="2"/>
    <n v="68"/>
    <n v="54"/>
    <n v="0"/>
    <n v="10"/>
    <n v="0"/>
    <n v="0"/>
    <n v="2"/>
    <n v="66"/>
    <n v="2"/>
    <n v="1"/>
    <n v="0"/>
    <n v="4"/>
    <n v="5"/>
    <n v="0"/>
    <n v="1"/>
    <n v="0"/>
    <n v="0"/>
    <n v="0"/>
    <n v="0"/>
    <n v="0"/>
  </r>
  <r>
    <d v="2014-05-24T00:00:00"/>
    <n v="4138"/>
    <n v="1962"/>
    <x v="0"/>
    <s v="Graduation"/>
    <s v="Single"/>
    <n v="76624"/>
    <n v="1"/>
    <n v="68"/>
    <n v="411"/>
    <n v="106"/>
    <n v="147"/>
    <n v="54"/>
    <n v="115"/>
    <n v="66"/>
    <n v="899"/>
    <n v="1"/>
    <n v="5"/>
    <n v="10"/>
    <n v="7"/>
    <n v="1"/>
    <n v="1"/>
    <n v="0"/>
    <n v="0"/>
    <n v="0"/>
    <n v="0"/>
    <n v="0"/>
    <n v="0"/>
  </r>
  <r>
    <d v="2014-05-16T00:00:00"/>
    <n v="11091"/>
    <n v="1953"/>
    <x v="4"/>
    <s v="Graduation"/>
    <s v="Together"/>
    <n v="34587"/>
    <n v="2"/>
    <n v="68"/>
    <n v="7"/>
    <n v="2"/>
    <n v="9"/>
    <n v="2"/>
    <n v="0"/>
    <n v="2"/>
    <n v="22"/>
    <n v="2"/>
    <n v="1"/>
    <n v="0"/>
    <n v="3"/>
    <n v="4"/>
    <n v="0"/>
    <n v="0"/>
    <n v="0"/>
    <n v="0"/>
    <n v="0"/>
    <n v="0"/>
    <n v="0"/>
  </r>
  <r>
    <d v="2014-04-28T00:00:00"/>
    <n v="7712"/>
    <n v="1946"/>
    <x v="2"/>
    <s v="PhD"/>
    <s v="Single"/>
    <n v="62159"/>
    <n v="0"/>
    <n v="68"/>
    <n v="182"/>
    <n v="17"/>
    <n v="259"/>
    <n v="77"/>
    <n v="70"/>
    <n v="29"/>
    <n v="634"/>
    <n v="1"/>
    <n v="6"/>
    <n v="2"/>
    <n v="10"/>
    <n v="4"/>
    <n v="0"/>
    <n v="0"/>
    <n v="0"/>
    <n v="0"/>
    <n v="0"/>
    <n v="0"/>
    <n v="0"/>
  </r>
  <r>
    <d v="2014-03-17T00:00:00"/>
    <n v="3535"/>
    <n v="1965"/>
    <x v="0"/>
    <s v="Graduation"/>
    <s v="Single"/>
    <n v="66294"/>
    <n v="0"/>
    <n v="68"/>
    <n v="251"/>
    <n v="108"/>
    <n v="334"/>
    <n v="65"/>
    <n v="92"/>
    <n v="117"/>
    <n v="967"/>
    <n v="1"/>
    <n v="4"/>
    <n v="3"/>
    <n v="5"/>
    <n v="2"/>
    <n v="0"/>
    <n v="0"/>
    <n v="0"/>
    <n v="0"/>
    <n v="0"/>
    <n v="0"/>
    <n v="0"/>
  </r>
  <r>
    <d v="2014-03-13T00:00:00"/>
    <n v="5899"/>
    <n v="1950"/>
    <x v="2"/>
    <s v="PhD"/>
    <s v="Together"/>
    <n v="5648"/>
    <n v="2"/>
    <n v="68"/>
    <n v="28"/>
    <n v="0"/>
    <n v="6"/>
    <n v="1"/>
    <n v="1"/>
    <n v="13"/>
    <n v="49"/>
    <n v="1"/>
    <n v="1"/>
    <n v="0"/>
    <n v="0"/>
    <n v="20"/>
    <n v="1"/>
    <n v="0"/>
    <n v="0"/>
    <n v="0"/>
    <n v="0"/>
    <n v="0"/>
    <n v="0"/>
  </r>
  <r>
    <d v="2014-02-01T00:00:00"/>
    <n v="8749"/>
    <n v="1984"/>
    <x v="0"/>
    <s v="Graduation"/>
    <s v="Together"/>
    <n v="37235"/>
    <n v="1"/>
    <n v="68"/>
    <n v="20"/>
    <n v="2"/>
    <n v="9"/>
    <n v="4"/>
    <n v="6"/>
    <n v="20"/>
    <n v="61"/>
    <n v="1"/>
    <n v="1"/>
    <n v="1"/>
    <n v="2"/>
    <n v="4"/>
    <n v="0"/>
    <n v="0"/>
    <n v="0"/>
    <n v="0"/>
    <n v="0"/>
    <n v="0"/>
    <n v="0"/>
  </r>
  <r>
    <d v="2014-01-07T00:00:00"/>
    <n v="10955"/>
    <n v="1964"/>
    <x v="0"/>
    <s v="Graduation"/>
    <s v="Widow"/>
    <n v="85620"/>
    <n v="0"/>
    <n v="68"/>
    <n v="416"/>
    <n v="46"/>
    <n v="925"/>
    <n v="60"/>
    <n v="107"/>
    <n v="46"/>
    <n v="1600"/>
    <n v="1"/>
    <n v="3"/>
    <n v="6"/>
    <n v="4"/>
    <n v="1"/>
    <n v="0"/>
    <n v="0"/>
    <n v="0"/>
    <n v="0"/>
    <n v="0"/>
    <n v="1"/>
    <n v="0"/>
  </r>
  <r>
    <d v="2013-12-27T00:00:00"/>
    <n v="9491"/>
    <n v="1984"/>
    <x v="6"/>
    <s v="Graduation"/>
    <s v="Together"/>
    <n v="23976"/>
    <n v="1"/>
    <n v="68"/>
    <n v="14"/>
    <n v="1"/>
    <n v="21"/>
    <n v="2"/>
    <n v="3"/>
    <n v="25"/>
    <n v="66"/>
    <n v="3"/>
    <n v="3"/>
    <n v="1"/>
    <n v="3"/>
    <n v="7"/>
    <n v="0"/>
    <n v="0"/>
    <n v="0"/>
    <n v="0"/>
    <n v="0"/>
    <n v="0"/>
    <n v="0"/>
  </r>
  <r>
    <d v="2013-10-28T00:00:00"/>
    <n v="5286"/>
    <n v="1987"/>
    <x v="1"/>
    <s v="Master"/>
    <s v="Single"/>
    <n v="41020"/>
    <n v="0"/>
    <n v="68"/>
    <n v="112"/>
    <n v="1"/>
    <n v="54"/>
    <n v="7"/>
    <n v="7"/>
    <n v="36"/>
    <n v="217"/>
    <n v="1"/>
    <n v="3"/>
    <n v="2"/>
    <n v="4"/>
    <n v="3"/>
    <n v="0"/>
    <n v="0"/>
    <n v="0"/>
    <n v="0"/>
    <n v="0"/>
    <n v="0"/>
    <n v="0"/>
  </r>
  <r>
    <d v="2013-10-15T00:00:00"/>
    <n v="3409"/>
    <n v="1984"/>
    <x v="6"/>
    <s v="Graduation"/>
    <s v="Single"/>
    <n v="36108"/>
    <n v="1"/>
    <n v="68"/>
    <n v="141"/>
    <n v="8"/>
    <n v="129"/>
    <n v="3"/>
    <n v="11"/>
    <n v="47"/>
    <n v="339"/>
    <n v="3"/>
    <n v="7"/>
    <n v="1"/>
    <n v="4"/>
    <n v="9"/>
    <n v="1"/>
    <n v="0"/>
    <n v="0"/>
    <n v="0"/>
    <n v="0"/>
    <n v="0"/>
    <n v="0"/>
  </r>
  <r>
    <d v="2013-10-12T00:00:00"/>
    <n v="2544"/>
    <n v="1951"/>
    <x v="5"/>
    <s v="Master"/>
    <s v="Divorced"/>
    <n v="57530"/>
    <n v="1"/>
    <n v="68"/>
    <n v="50"/>
    <n v="1"/>
    <n v="27"/>
    <n v="6"/>
    <n v="7"/>
    <n v="1"/>
    <n v="92"/>
    <n v="1"/>
    <n v="1"/>
    <n v="1"/>
    <n v="4"/>
    <n v="1"/>
    <n v="0"/>
    <n v="0"/>
    <n v="0"/>
    <n v="0"/>
    <n v="0"/>
    <n v="0"/>
    <n v="0"/>
  </r>
  <r>
    <d v="2013-09-10T00:00:00"/>
    <n v="2118"/>
    <n v="1964"/>
    <x v="0"/>
    <s v="2n Cycle"/>
    <s v="Married"/>
    <n v="62905"/>
    <n v="1"/>
    <n v="68"/>
    <n v="166"/>
    <n v="75"/>
    <n v="96"/>
    <n v="119"/>
    <n v="107"/>
    <n v="59"/>
    <n v="622"/>
    <n v="3"/>
    <n v="7"/>
    <n v="2"/>
    <n v="8"/>
    <n v="4"/>
    <n v="0"/>
    <n v="0"/>
    <n v="0"/>
    <n v="0"/>
    <n v="0"/>
    <n v="0"/>
    <n v="0"/>
  </r>
  <r>
    <d v="2013-05-17T00:00:00"/>
    <n v="9370"/>
    <n v="1945"/>
    <x v="1"/>
    <s v="PhD"/>
    <s v="Married"/>
    <n v="65846"/>
    <n v="0"/>
    <n v="68"/>
    <n v="562"/>
    <n v="81"/>
    <n v="276"/>
    <n v="80"/>
    <n v="40"/>
    <n v="81"/>
    <n v="1120"/>
    <n v="1"/>
    <n v="6"/>
    <n v="3"/>
    <n v="6"/>
    <n v="4"/>
    <n v="0"/>
    <n v="0"/>
    <n v="0"/>
    <n v="0"/>
    <n v="0"/>
    <n v="0"/>
    <n v="0"/>
  </r>
  <r>
    <d v="2013-05-02T00:00:00"/>
    <n v="4864"/>
    <n v="1977"/>
    <x v="1"/>
    <s v="Graduation"/>
    <s v="Married"/>
    <n v="34380"/>
    <n v="1"/>
    <n v="68"/>
    <n v="72"/>
    <n v="7"/>
    <n v="58"/>
    <n v="13"/>
    <n v="1"/>
    <n v="24"/>
    <n v="175"/>
    <n v="4"/>
    <n v="4"/>
    <n v="1"/>
    <n v="3"/>
    <n v="8"/>
    <n v="0"/>
    <n v="0"/>
    <n v="0"/>
    <n v="0"/>
    <n v="0"/>
    <n v="0"/>
    <n v="0"/>
  </r>
  <r>
    <d v="2013-02-13T00:00:00"/>
    <n v="405"/>
    <n v="1964"/>
    <x v="0"/>
    <s v="Graduation"/>
    <s v="Divorced"/>
    <n v="41638"/>
    <n v="1"/>
    <n v="68"/>
    <n v="315"/>
    <n v="0"/>
    <n v="31"/>
    <n v="4"/>
    <n v="0"/>
    <n v="91"/>
    <n v="441"/>
    <n v="4"/>
    <n v="5"/>
    <n v="5"/>
    <n v="3"/>
    <n v="8"/>
    <n v="1"/>
    <n v="0"/>
    <n v="0"/>
    <n v="0"/>
    <n v="0"/>
    <n v="0"/>
    <n v="0"/>
  </r>
  <r>
    <d v="2013-01-20T00:00:00"/>
    <n v="10513"/>
    <n v="1992"/>
    <x v="0"/>
    <s v="Graduation"/>
    <s v="Together"/>
    <n v="63207"/>
    <n v="0"/>
    <n v="68"/>
    <n v="438"/>
    <n v="169"/>
    <n v="565"/>
    <n v="91"/>
    <n v="169"/>
    <n v="70"/>
    <n v="1502"/>
    <n v="1"/>
    <n v="2"/>
    <n v="3"/>
    <n v="6"/>
    <n v="7"/>
    <n v="0"/>
    <n v="0"/>
    <n v="0"/>
    <n v="1"/>
    <n v="0"/>
    <n v="0"/>
    <n v="0"/>
  </r>
  <r>
    <d v="2013-01-14T00:00:00"/>
    <n v="5138"/>
    <n v="1950"/>
    <x v="0"/>
    <s v="Graduation"/>
    <s v="Together"/>
    <n v="28320"/>
    <n v="1"/>
    <n v="68"/>
    <n v="19"/>
    <n v="1"/>
    <n v="14"/>
    <n v="3"/>
    <n v="2"/>
    <n v="4"/>
    <n v="43"/>
    <n v="1"/>
    <n v="1"/>
    <n v="0"/>
    <n v="3"/>
    <n v="8"/>
    <n v="0"/>
    <n v="0"/>
    <n v="0"/>
    <n v="0"/>
    <n v="0"/>
    <n v="0"/>
    <n v="0"/>
  </r>
  <r>
    <d v="2013-01-05T00:00:00"/>
    <n v="8387"/>
    <n v="1957"/>
    <x v="0"/>
    <s v="Graduation"/>
    <s v="Married"/>
    <n v="43140"/>
    <n v="1"/>
    <n v="68"/>
    <n v="134"/>
    <n v="8"/>
    <n v="76"/>
    <n v="6"/>
    <n v="0"/>
    <n v="11"/>
    <n v="235"/>
    <n v="1"/>
    <n v="4"/>
    <n v="1"/>
    <n v="5"/>
    <n v="6"/>
    <n v="0"/>
    <n v="0"/>
    <n v="0"/>
    <n v="0"/>
    <n v="0"/>
    <n v="0"/>
    <n v="0"/>
  </r>
  <r>
    <d v="2012-12-30T00:00:00"/>
    <n v="378"/>
    <n v="1971"/>
    <x v="0"/>
    <s v="Graduation"/>
    <s v="Married"/>
    <n v="52531"/>
    <n v="0"/>
    <n v="68"/>
    <n v="283"/>
    <n v="112"/>
    <n v="151"/>
    <n v="51"/>
    <n v="72"/>
    <n v="125"/>
    <n v="794"/>
    <n v="2"/>
    <n v="7"/>
    <n v="2"/>
    <n v="10"/>
    <n v="6"/>
    <n v="0"/>
    <n v="0"/>
    <n v="0"/>
    <n v="0"/>
    <n v="0"/>
    <n v="0"/>
    <n v="0"/>
  </r>
  <r>
    <d v="2012-12-19T00:00:00"/>
    <n v="5846"/>
    <n v="1977"/>
    <x v="4"/>
    <s v="Graduation"/>
    <s v="Divorced"/>
    <n v="40246"/>
    <n v="1"/>
    <n v="68"/>
    <n v="2"/>
    <n v="1"/>
    <n v="6"/>
    <n v="2"/>
    <n v="1"/>
    <n v="1"/>
    <n v="13"/>
    <n v="1"/>
    <n v="1"/>
    <n v="0"/>
    <n v="2"/>
    <n v="6"/>
    <n v="0"/>
    <n v="0"/>
    <n v="0"/>
    <n v="0"/>
    <n v="0"/>
    <n v="0"/>
    <n v="0"/>
  </r>
  <r>
    <d v="2012-11-13T00:00:00"/>
    <n v="8870"/>
    <n v="1984"/>
    <x v="0"/>
    <s v="Graduation"/>
    <s v="Together"/>
    <n v="35196"/>
    <n v="1"/>
    <n v="68"/>
    <n v="75"/>
    <n v="12"/>
    <n v="141"/>
    <n v="43"/>
    <n v="39"/>
    <n v="187"/>
    <n v="497"/>
    <n v="6"/>
    <n v="6"/>
    <n v="1"/>
    <n v="5"/>
    <n v="8"/>
    <n v="0"/>
    <n v="0"/>
    <n v="0"/>
    <n v="0"/>
    <n v="0"/>
    <n v="1"/>
    <n v="0"/>
  </r>
  <r>
    <d v="2012-11-13T00:00:00"/>
    <n v="10340"/>
    <n v="1984"/>
    <x v="0"/>
    <s v="Graduation"/>
    <s v="Together"/>
    <n v="35196"/>
    <n v="1"/>
    <n v="68"/>
    <n v="75"/>
    <n v="12"/>
    <n v="141"/>
    <n v="43"/>
    <n v="39"/>
    <n v="187"/>
    <n v="497"/>
    <n v="6"/>
    <n v="6"/>
    <n v="1"/>
    <n v="5"/>
    <n v="8"/>
    <n v="0"/>
    <n v="0"/>
    <n v="0"/>
    <n v="0"/>
    <n v="0"/>
    <n v="0"/>
    <n v="0"/>
  </r>
  <r>
    <d v="2012-10-05T00:00:00"/>
    <n v="7290"/>
    <n v="1985"/>
    <x v="0"/>
    <s v="Graduation"/>
    <s v="Single"/>
    <n v="70596"/>
    <n v="0"/>
    <n v="68"/>
    <n v="347"/>
    <n v="44"/>
    <n v="534"/>
    <n v="17"/>
    <n v="0"/>
    <n v="26"/>
    <n v="968"/>
    <n v="1"/>
    <n v="3"/>
    <n v="5"/>
    <n v="12"/>
    <n v="2"/>
    <n v="0"/>
    <n v="0"/>
    <n v="0"/>
    <n v="0"/>
    <n v="0"/>
    <n v="0"/>
    <n v="0"/>
  </r>
  <r>
    <d v="2012-10-05T00:00:00"/>
    <n v="8895"/>
    <n v="1985"/>
    <x v="0"/>
    <s v="Graduation"/>
    <s v="Single"/>
    <n v="70596"/>
    <n v="0"/>
    <n v="68"/>
    <n v="347"/>
    <n v="44"/>
    <n v="534"/>
    <n v="17"/>
    <n v="0"/>
    <n v="26"/>
    <n v="968"/>
    <n v="1"/>
    <n v="3"/>
    <n v="5"/>
    <n v="12"/>
    <n v="2"/>
    <n v="0"/>
    <n v="0"/>
    <n v="0"/>
    <n v="0"/>
    <n v="0"/>
    <n v="0"/>
    <n v="0"/>
  </r>
  <r>
    <d v="2014-05-07T00:00:00"/>
    <n v="3635"/>
    <n v="1962"/>
    <x v="6"/>
    <s v="PhD"/>
    <s v="Single"/>
    <n v="52597"/>
    <n v="1"/>
    <n v="69"/>
    <n v="492"/>
    <n v="0"/>
    <n v="37"/>
    <n v="7"/>
    <n v="0"/>
    <n v="42"/>
    <n v="578"/>
    <n v="3"/>
    <n v="6"/>
    <n v="3"/>
    <n v="8"/>
    <n v="5"/>
    <n v="0"/>
    <n v="0"/>
    <n v="0"/>
    <n v="0"/>
    <n v="0"/>
    <n v="0"/>
    <n v="0"/>
  </r>
  <r>
    <d v="2014-03-23T00:00:00"/>
    <n v="11178"/>
    <n v="1972"/>
    <x v="4"/>
    <s v="Master"/>
    <s v="Single"/>
    <n v="42394"/>
    <n v="1"/>
    <n v="69"/>
    <n v="15"/>
    <n v="2"/>
    <n v="10"/>
    <n v="0"/>
    <n v="1"/>
    <n v="4"/>
    <n v="32"/>
    <n v="1"/>
    <n v="1"/>
    <n v="0"/>
    <n v="3"/>
    <n v="7"/>
    <n v="0"/>
    <n v="0"/>
    <n v="0"/>
    <n v="0"/>
    <n v="0"/>
    <n v="0"/>
    <n v="0"/>
  </r>
  <r>
    <d v="2014-01-22T00:00:00"/>
    <n v="2410"/>
    <n v="1969"/>
    <x v="0"/>
    <s v="Graduation"/>
    <s v="Single"/>
    <n v="81657"/>
    <n v="0"/>
    <n v="69"/>
    <n v="364"/>
    <n v="40"/>
    <n v="425"/>
    <n v="158"/>
    <n v="60"/>
    <n v="50"/>
    <n v="1097"/>
    <n v="1"/>
    <n v="3"/>
    <n v="4"/>
    <n v="8"/>
    <n v="1"/>
    <n v="0"/>
    <n v="0"/>
    <n v="0"/>
    <n v="0"/>
    <n v="0"/>
    <n v="0"/>
    <n v="0"/>
  </r>
  <r>
    <d v="2013-11-03T00:00:00"/>
    <n v="3281"/>
    <n v="1960"/>
    <x v="0"/>
    <s v="PhD"/>
    <s v="Married"/>
    <n v="49154"/>
    <n v="2"/>
    <n v="69"/>
    <n v="206"/>
    <n v="10"/>
    <n v="67"/>
    <n v="30"/>
    <n v="27"/>
    <n v="71"/>
    <n v="411"/>
    <n v="6"/>
    <n v="4"/>
    <n v="1"/>
    <n v="8"/>
    <n v="6"/>
    <n v="0"/>
    <n v="0"/>
    <n v="0"/>
    <n v="0"/>
    <n v="0"/>
    <n v="0"/>
    <n v="0"/>
  </r>
  <r>
    <d v="2013-07-13T00:00:00"/>
    <n v="9905"/>
    <n v="1952"/>
    <x v="0"/>
    <s v="Graduation"/>
    <s v="Together"/>
    <n v="34074"/>
    <n v="2"/>
    <n v="69"/>
    <n v="135"/>
    <n v="1"/>
    <n v="41"/>
    <n v="10"/>
    <n v="1"/>
    <n v="67"/>
    <n v="255"/>
    <n v="5"/>
    <n v="3"/>
    <n v="3"/>
    <n v="3"/>
    <n v="6"/>
    <n v="1"/>
    <n v="0"/>
    <n v="0"/>
    <n v="0"/>
    <n v="0"/>
    <n v="0"/>
    <n v="0"/>
  </r>
  <r>
    <d v="2013-06-03T00:00:00"/>
    <n v="2437"/>
    <n v="1989"/>
    <x v="0"/>
    <s v="Graduation"/>
    <s v="Married"/>
    <n v="53790.45"/>
    <n v="0"/>
    <n v="69"/>
    <n v="861"/>
    <n v="138"/>
    <n v="461"/>
    <n v="60"/>
    <n v="30"/>
    <n v="61"/>
    <n v="1611"/>
    <n v="1"/>
    <n v="6"/>
    <n v="5"/>
    <n v="12"/>
    <n v="3"/>
    <n v="0"/>
    <n v="1"/>
    <n v="0"/>
    <n v="1"/>
    <n v="0"/>
    <n v="0"/>
    <n v="0"/>
  </r>
  <r>
    <d v="2013-06-01T00:00:00"/>
    <n v="2565"/>
    <n v="1955"/>
    <x v="6"/>
    <s v="Master"/>
    <s v="Divorced"/>
    <n v="70638"/>
    <n v="0"/>
    <n v="69"/>
    <n v="1016"/>
    <n v="12"/>
    <n v="215"/>
    <n v="16"/>
    <n v="12"/>
    <n v="63"/>
    <n v="1334"/>
    <n v="1"/>
    <n v="4"/>
    <n v="5"/>
    <n v="10"/>
    <n v="3"/>
    <n v="0"/>
    <n v="1"/>
    <n v="0"/>
    <n v="0"/>
    <n v="0"/>
    <n v="0"/>
    <n v="0"/>
  </r>
  <r>
    <d v="2013-04-22T00:00:00"/>
    <n v="7912"/>
    <n v="1978"/>
    <x v="2"/>
    <s v="Graduation"/>
    <s v="Married"/>
    <n v="38136"/>
    <n v="1"/>
    <n v="69"/>
    <n v="8"/>
    <n v="15"/>
    <n v="27"/>
    <n v="0"/>
    <n v="20"/>
    <n v="33"/>
    <n v="103"/>
    <n v="2"/>
    <n v="3"/>
    <n v="1"/>
    <n v="2"/>
    <n v="8"/>
    <n v="1"/>
    <n v="0"/>
    <n v="0"/>
    <n v="0"/>
    <n v="0"/>
    <n v="0"/>
    <n v="0"/>
  </r>
  <r>
    <d v="2013-03-29T00:00:00"/>
    <n v="7072"/>
    <n v="1973"/>
    <x v="3"/>
    <s v="Graduation"/>
    <s v="Married"/>
    <n v="67432"/>
    <n v="1"/>
    <n v="69"/>
    <n v="432"/>
    <n v="79"/>
    <n v="341"/>
    <n v="177"/>
    <n v="136"/>
    <n v="170"/>
    <n v="1335"/>
    <n v="2"/>
    <n v="8"/>
    <n v="5"/>
    <n v="4"/>
    <n v="4"/>
    <n v="0"/>
    <n v="0"/>
    <n v="0"/>
    <n v="0"/>
    <n v="0"/>
    <n v="0"/>
    <n v="0"/>
  </r>
  <r>
    <d v="2013-03-18T00:00:00"/>
    <n v="1409"/>
    <n v="1951"/>
    <x v="2"/>
    <s v="Graduation"/>
    <s v="Together"/>
    <n v="40689"/>
    <n v="1"/>
    <n v="69"/>
    <n v="270"/>
    <n v="3"/>
    <n v="27"/>
    <n v="39"/>
    <n v="6"/>
    <n v="99"/>
    <n v="444"/>
    <n v="7"/>
    <n v="7"/>
    <n v="1"/>
    <n v="5"/>
    <n v="8"/>
    <n v="0"/>
    <n v="0"/>
    <n v="0"/>
    <n v="0"/>
    <n v="0"/>
    <n v="0"/>
    <n v="0"/>
  </r>
  <r>
    <d v="2013-03-18T00:00:00"/>
    <n v="5314"/>
    <n v="1951"/>
    <x v="0"/>
    <s v="Graduation"/>
    <s v="Together"/>
    <n v="40689"/>
    <n v="1"/>
    <n v="69"/>
    <n v="270"/>
    <n v="3"/>
    <n v="27"/>
    <n v="39"/>
    <n v="6"/>
    <n v="99"/>
    <n v="444"/>
    <n v="7"/>
    <n v="7"/>
    <n v="1"/>
    <n v="5"/>
    <n v="8"/>
    <n v="0"/>
    <n v="0"/>
    <n v="0"/>
    <n v="0"/>
    <n v="0"/>
    <n v="0"/>
    <n v="0"/>
  </r>
  <r>
    <d v="2013-03-12T00:00:00"/>
    <n v="7215"/>
    <n v="1983"/>
    <x v="1"/>
    <s v="Graduation"/>
    <s v="Single"/>
    <n v="101970"/>
    <n v="0"/>
    <n v="69"/>
    <n v="722"/>
    <n v="27"/>
    <n v="102"/>
    <n v="44"/>
    <n v="72"/>
    <n v="168"/>
    <n v="1135"/>
    <n v="0"/>
    <n v="6"/>
    <n v="8"/>
    <n v="13"/>
    <n v="2"/>
    <n v="0"/>
    <n v="1"/>
    <n v="1"/>
    <n v="1"/>
    <n v="0"/>
    <n v="1"/>
    <n v="0"/>
  </r>
  <r>
    <d v="2013-03-07T00:00:00"/>
    <n v="8858"/>
    <n v="1972"/>
    <x v="1"/>
    <s v="PhD"/>
    <s v="Married"/>
    <n v="44325"/>
    <n v="1"/>
    <n v="69"/>
    <n v="516"/>
    <n v="0"/>
    <n v="21"/>
    <n v="0"/>
    <n v="0"/>
    <n v="5"/>
    <n v="542"/>
    <n v="4"/>
    <n v="8"/>
    <n v="2"/>
    <n v="7"/>
    <n v="8"/>
    <n v="0"/>
    <n v="1"/>
    <n v="0"/>
    <n v="0"/>
    <n v="0"/>
    <n v="0"/>
    <n v="0"/>
  </r>
  <r>
    <d v="2012-12-09T00:00:00"/>
    <n v="895"/>
    <n v="1948"/>
    <x v="0"/>
    <s v="PhD"/>
    <s v="Married"/>
    <n v="61467"/>
    <n v="2"/>
    <n v="69"/>
    <n v="410"/>
    <n v="16"/>
    <n v="114"/>
    <n v="0"/>
    <n v="5"/>
    <n v="49"/>
    <n v="594"/>
    <n v="3"/>
    <n v="5"/>
    <n v="2"/>
    <n v="10"/>
    <n v="5"/>
    <n v="0"/>
    <n v="0"/>
    <n v="0"/>
    <n v="0"/>
    <n v="0"/>
    <n v="0"/>
    <n v="0"/>
  </r>
  <r>
    <d v="2012-10-28T00:00:00"/>
    <n v="10313"/>
    <n v="1975"/>
    <x v="0"/>
    <s v="Graduation"/>
    <s v="Married"/>
    <n v="48178"/>
    <n v="2"/>
    <n v="69"/>
    <n v="159"/>
    <n v="4"/>
    <n v="45"/>
    <n v="6"/>
    <n v="2"/>
    <n v="38"/>
    <n v="254"/>
    <n v="6"/>
    <n v="5"/>
    <n v="1"/>
    <n v="4"/>
    <n v="8"/>
    <n v="0"/>
    <n v="0"/>
    <n v="0"/>
    <n v="0"/>
    <n v="0"/>
    <n v="0"/>
    <n v="0"/>
  </r>
  <r>
    <d v="2012-08-14T00:00:00"/>
    <n v="642"/>
    <n v="1980"/>
    <x v="1"/>
    <s v="Basic"/>
    <s v="Married"/>
    <n v="16005"/>
    <n v="1"/>
    <n v="69"/>
    <n v="1"/>
    <n v="3"/>
    <n v="2"/>
    <n v="20"/>
    <n v="30"/>
    <n v="47"/>
    <n v="103"/>
    <n v="3"/>
    <n v="2"/>
    <n v="1"/>
    <n v="2"/>
    <n v="8"/>
    <n v="0"/>
    <n v="0"/>
    <n v="0"/>
    <n v="0"/>
    <n v="0"/>
    <n v="0"/>
    <n v="0"/>
  </r>
  <r>
    <d v="2014-05-12T00:00:00"/>
    <n v="8504"/>
    <n v="1973"/>
    <x v="4"/>
    <s v="Graduation"/>
    <s v="Married"/>
    <n v="79593"/>
    <n v="0"/>
    <n v="70"/>
    <n v="350"/>
    <n v="60"/>
    <n v="568"/>
    <n v="110"/>
    <n v="133"/>
    <n v="145"/>
    <n v="1366"/>
    <n v="1"/>
    <n v="5"/>
    <n v="6"/>
    <n v="7"/>
    <n v="2"/>
    <n v="0"/>
    <n v="0"/>
    <n v="1"/>
    <n v="0"/>
    <n v="0"/>
    <n v="0"/>
    <n v="0"/>
  </r>
  <r>
    <d v="2014-05-12T00:00:00"/>
    <n v="1020"/>
    <n v="1973"/>
    <x v="0"/>
    <s v="Graduation"/>
    <s v="Married"/>
    <n v="79593"/>
    <n v="0"/>
    <n v="70"/>
    <n v="350"/>
    <n v="60"/>
    <n v="568"/>
    <n v="110"/>
    <n v="133"/>
    <n v="145"/>
    <n v="1366"/>
    <n v="1"/>
    <n v="5"/>
    <n v="6"/>
    <n v="7"/>
    <n v="2"/>
    <n v="0"/>
    <n v="0"/>
    <n v="1"/>
    <n v="0"/>
    <n v="0"/>
    <n v="0"/>
    <n v="0"/>
  </r>
  <r>
    <d v="2014-04-23T00:00:00"/>
    <n v="3717"/>
    <n v="1959"/>
    <x v="0"/>
    <s v="Graduation"/>
    <s v="Married"/>
    <n v="61180"/>
    <n v="1"/>
    <n v="70"/>
    <n v="403"/>
    <n v="24"/>
    <n v="29"/>
    <n v="6"/>
    <n v="24"/>
    <n v="218"/>
    <n v="704"/>
    <n v="2"/>
    <n v="5"/>
    <n v="5"/>
    <n v="6"/>
    <n v="3"/>
    <n v="1"/>
    <n v="0"/>
    <n v="0"/>
    <n v="0"/>
    <n v="0"/>
    <n v="0"/>
    <n v="0"/>
  </r>
  <r>
    <d v="2014-02-18T00:00:00"/>
    <n v="7646"/>
    <n v="1989"/>
    <x v="0"/>
    <s v="Graduation"/>
    <s v="Single"/>
    <n v="64449"/>
    <n v="1"/>
    <n v="70"/>
    <n v="218"/>
    <n v="63"/>
    <n v="282"/>
    <n v="137"/>
    <n v="35"/>
    <n v="70"/>
    <n v="805"/>
    <n v="4"/>
    <n v="5"/>
    <n v="3"/>
    <n v="12"/>
    <n v="4"/>
    <n v="0"/>
    <n v="0"/>
    <n v="0"/>
    <n v="0"/>
    <n v="0"/>
    <n v="0"/>
    <n v="0"/>
  </r>
  <r>
    <d v="2013-11-26T00:00:00"/>
    <n v="5796"/>
    <n v="1963"/>
    <x v="0"/>
    <s v="Graduation"/>
    <s v="Married"/>
    <n v="77437"/>
    <n v="0"/>
    <n v="70"/>
    <n v="560"/>
    <n v="21"/>
    <n v="442"/>
    <n v="29"/>
    <n v="44"/>
    <n v="29"/>
    <n v="1125"/>
    <n v="1"/>
    <n v="4"/>
    <n v="5"/>
    <n v="13"/>
    <n v="1"/>
    <n v="0"/>
    <n v="0"/>
    <n v="1"/>
    <n v="0"/>
    <n v="0"/>
    <n v="0"/>
    <n v="0"/>
  </r>
  <r>
    <d v="2013-11-12T00:00:00"/>
    <n v="8625"/>
    <n v="1976"/>
    <x v="2"/>
    <s v="Graduation"/>
    <s v="Married"/>
    <n v="17649"/>
    <n v="1"/>
    <n v="70"/>
    <n v="15"/>
    <n v="1"/>
    <n v="23"/>
    <n v="0"/>
    <n v="5"/>
    <n v="1"/>
    <n v="45"/>
    <n v="3"/>
    <n v="3"/>
    <n v="0"/>
    <n v="3"/>
    <n v="8"/>
    <n v="0"/>
    <n v="0"/>
    <n v="0"/>
    <n v="0"/>
    <n v="0"/>
    <n v="0"/>
    <n v="0"/>
  </r>
  <r>
    <d v="2013-09-12T00:00:00"/>
    <n v="5407"/>
    <n v="1954"/>
    <x v="6"/>
    <s v="Graduation"/>
    <s v="Together"/>
    <n v="53103"/>
    <n v="1"/>
    <n v="70"/>
    <n v="729"/>
    <n v="17"/>
    <n v="133"/>
    <n v="11"/>
    <n v="0"/>
    <n v="195"/>
    <n v="1085"/>
    <n v="5"/>
    <n v="10"/>
    <n v="6"/>
    <n v="7"/>
    <n v="7"/>
    <n v="1"/>
    <n v="0"/>
    <n v="0"/>
    <n v="0"/>
    <n v="0"/>
    <n v="0"/>
    <n v="0"/>
  </r>
  <r>
    <d v="2013-08-28T00:00:00"/>
    <n v="4356"/>
    <n v="1971"/>
    <x v="0"/>
    <s v="Graduation"/>
    <s v="Together"/>
    <n v="71819"/>
    <n v="1"/>
    <n v="70"/>
    <n v="1224"/>
    <n v="28"/>
    <n v="140"/>
    <n v="0"/>
    <n v="14"/>
    <n v="168"/>
    <n v="1574"/>
    <n v="3"/>
    <n v="3"/>
    <n v="3"/>
    <n v="5"/>
    <n v="6"/>
    <n v="0"/>
    <n v="1"/>
    <n v="1"/>
    <n v="0"/>
    <n v="0"/>
    <n v="0"/>
    <n v="0"/>
  </r>
  <r>
    <d v="2013-08-12T00:00:00"/>
    <n v="2886"/>
    <n v="1971"/>
    <x v="0"/>
    <s v="Master"/>
    <s v="Divorced"/>
    <n v="74290"/>
    <n v="1"/>
    <n v="70"/>
    <n v="1121"/>
    <n v="0"/>
    <n v="72"/>
    <n v="0"/>
    <n v="12"/>
    <n v="12"/>
    <n v="1217"/>
    <n v="4"/>
    <n v="10"/>
    <n v="8"/>
    <n v="10"/>
    <n v="6"/>
    <n v="0"/>
    <n v="1"/>
    <n v="0"/>
    <n v="1"/>
    <n v="0"/>
    <n v="0"/>
    <n v="0"/>
  </r>
  <r>
    <d v="2013-07-19T00:00:00"/>
    <n v="10057"/>
    <n v="1951"/>
    <x v="0"/>
    <s v="Graduation"/>
    <s v="Single"/>
    <n v="72282"/>
    <n v="0"/>
    <n v="70"/>
    <n v="503"/>
    <n v="27"/>
    <n v="419"/>
    <n v="90"/>
    <n v="139"/>
    <n v="153"/>
    <n v="1331"/>
    <n v="1"/>
    <n v="5"/>
    <n v="7"/>
    <n v="9"/>
    <n v="7"/>
    <n v="0"/>
    <n v="0"/>
    <n v="0"/>
    <n v="0"/>
    <n v="0"/>
    <n v="1"/>
    <n v="0"/>
  </r>
  <r>
    <d v="2013-04-11T00:00:00"/>
    <n v="10741"/>
    <n v="1951"/>
    <x v="0"/>
    <s v="Master"/>
    <s v="Together"/>
    <n v="47352"/>
    <n v="1"/>
    <n v="70"/>
    <n v="172"/>
    <n v="12"/>
    <n v="112"/>
    <n v="8"/>
    <n v="0"/>
    <n v="15"/>
    <n v="319"/>
    <n v="4"/>
    <n v="6"/>
    <n v="1"/>
    <n v="5"/>
    <n v="7"/>
    <n v="0"/>
    <n v="0"/>
    <n v="0"/>
    <n v="0"/>
    <n v="0"/>
    <n v="0"/>
    <n v="0"/>
  </r>
  <r>
    <d v="2013-04-11T00:00:00"/>
    <n v="5491"/>
    <n v="1951"/>
    <x v="3"/>
    <s v="Master"/>
    <s v="Together"/>
    <n v="47352"/>
    <n v="1"/>
    <n v="70"/>
    <n v="172"/>
    <n v="12"/>
    <n v="112"/>
    <n v="8"/>
    <n v="0"/>
    <n v="15"/>
    <n v="319"/>
    <n v="4"/>
    <n v="6"/>
    <n v="1"/>
    <n v="5"/>
    <n v="7"/>
    <n v="0"/>
    <n v="0"/>
    <n v="0"/>
    <n v="0"/>
    <n v="0"/>
    <n v="0"/>
    <n v="0"/>
  </r>
  <r>
    <d v="2013-04-05T00:00:00"/>
    <n v="4442"/>
    <n v="1961"/>
    <x v="1"/>
    <s v="Graduation"/>
    <s v="Single"/>
    <n v="46524"/>
    <n v="1"/>
    <n v="70"/>
    <n v="31"/>
    <n v="19"/>
    <n v="35"/>
    <n v="26"/>
    <n v="14"/>
    <n v="52"/>
    <n v="177"/>
    <n v="2"/>
    <n v="1"/>
    <n v="1"/>
    <n v="5"/>
    <n v="3"/>
    <n v="0"/>
    <n v="0"/>
    <n v="0"/>
    <n v="0"/>
    <n v="0"/>
    <n v="0"/>
    <n v="0"/>
  </r>
  <r>
    <d v="2013-04-03T00:00:00"/>
    <n v="3972"/>
    <n v="1976"/>
    <x v="0"/>
    <s v="Graduation"/>
    <s v="Together"/>
    <n v="50200"/>
    <n v="2"/>
    <n v="70"/>
    <n v="266"/>
    <n v="6"/>
    <n v="51"/>
    <n v="8"/>
    <n v="6"/>
    <n v="64"/>
    <n v="401"/>
    <n v="6"/>
    <n v="7"/>
    <n v="1"/>
    <n v="5"/>
    <n v="8"/>
    <n v="0"/>
    <n v="0"/>
    <n v="0"/>
    <n v="0"/>
    <n v="0"/>
    <n v="0"/>
    <n v="0"/>
  </r>
  <r>
    <d v="2012-12-31T00:00:00"/>
    <n v="2431"/>
    <n v="1990"/>
    <x v="0"/>
    <s v="Graduation"/>
    <s v="Married"/>
    <n v="18222"/>
    <n v="0"/>
    <n v="70"/>
    <n v="12"/>
    <n v="4"/>
    <n v="19"/>
    <n v="12"/>
    <n v="6"/>
    <n v="14"/>
    <n v="67"/>
    <n v="1"/>
    <n v="2"/>
    <n v="0"/>
    <n v="3"/>
    <n v="8"/>
    <n v="0"/>
    <n v="0"/>
    <n v="0"/>
    <n v="0"/>
    <n v="0"/>
    <n v="0"/>
    <n v="0"/>
  </r>
  <r>
    <d v="2012-10-29T00:00:00"/>
    <n v="7899"/>
    <n v="1952"/>
    <x v="3"/>
    <s v="PhD"/>
    <s v="Married"/>
    <n v="77610"/>
    <n v="1"/>
    <n v="70"/>
    <n v="1245"/>
    <n v="33"/>
    <n v="332"/>
    <n v="21"/>
    <n v="33"/>
    <n v="16"/>
    <n v="1680"/>
    <n v="2"/>
    <n v="4"/>
    <n v="7"/>
    <n v="4"/>
    <n v="7"/>
    <n v="0"/>
    <n v="0"/>
    <n v="0"/>
    <n v="0"/>
    <n v="0"/>
    <n v="0"/>
    <n v="0"/>
  </r>
  <r>
    <d v="2012-10-15T00:00:00"/>
    <n v="9703"/>
    <n v="1970"/>
    <x v="6"/>
    <s v="PhD"/>
    <s v="Married"/>
    <n v="38097"/>
    <n v="2"/>
    <n v="70"/>
    <n v="77"/>
    <n v="2"/>
    <n v="35"/>
    <n v="0"/>
    <n v="1"/>
    <n v="69"/>
    <n v="184"/>
    <n v="4"/>
    <n v="3"/>
    <n v="2"/>
    <n v="2"/>
    <n v="7"/>
    <n v="1"/>
    <n v="0"/>
    <n v="0"/>
    <n v="0"/>
    <n v="0"/>
    <n v="1"/>
    <n v="0"/>
  </r>
  <r>
    <d v="2012-10-05T00:00:00"/>
    <n v="6927"/>
    <n v="1968"/>
    <x v="6"/>
    <s v="PhD"/>
    <s v="Married"/>
    <n v="44377"/>
    <n v="2"/>
    <n v="70"/>
    <n v="224"/>
    <n v="0"/>
    <n v="30"/>
    <n v="0"/>
    <n v="0"/>
    <n v="10"/>
    <n v="264"/>
    <n v="8"/>
    <n v="5"/>
    <n v="1"/>
    <n v="5"/>
    <n v="8"/>
    <n v="0"/>
    <n v="0"/>
    <n v="0"/>
    <n v="0"/>
    <n v="0"/>
    <n v="0"/>
    <n v="0"/>
  </r>
  <r>
    <d v="2014-06-16T00:00:00"/>
    <n v="7005"/>
    <n v="1981"/>
    <x v="6"/>
    <s v="Graduation"/>
    <s v="Single"/>
    <n v="58684"/>
    <n v="0"/>
    <n v="71"/>
    <n v="479"/>
    <n v="35"/>
    <n v="179"/>
    <n v="28"/>
    <n v="7"/>
    <n v="85"/>
    <n v="813"/>
    <n v="1"/>
    <n v="5"/>
    <n v="3"/>
    <n v="12"/>
    <n v="2"/>
    <n v="0"/>
    <n v="1"/>
    <n v="0"/>
    <n v="0"/>
    <n v="0"/>
    <n v="0"/>
    <n v="0"/>
  </r>
  <r>
    <d v="2014-05-31T00:00:00"/>
    <n v="246"/>
    <n v="1965"/>
    <x v="0"/>
    <s v="Graduation"/>
    <s v="Married"/>
    <n v="66480"/>
    <n v="2"/>
    <n v="71"/>
    <n v="199"/>
    <n v="9"/>
    <n v="57"/>
    <n v="20"/>
    <n v="21"/>
    <n v="6"/>
    <n v="312"/>
    <n v="7"/>
    <n v="4"/>
    <n v="1"/>
    <n v="7"/>
    <n v="4"/>
    <n v="0"/>
    <n v="0"/>
    <n v="0"/>
    <n v="0"/>
    <n v="0"/>
    <n v="0"/>
    <n v="0"/>
  </r>
  <r>
    <d v="2014-04-19T00:00:00"/>
    <n v="4796"/>
    <n v="1952"/>
    <x v="0"/>
    <s v="Graduation"/>
    <s v="Divorced"/>
    <n v="49638"/>
    <n v="1"/>
    <n v="71"/>
    <n v="18"/>
    <n v="10"/>
    <n v="3"/>
    <n v="3"/>
    <n v="5"/>
    <n v="0"/>
    <n v="39"/>
    <n v="1"/>
    <n v="1"/>
    <n v="0"/>
    <n v="3"/>
    <n v="2"/>
    <n v="0"/>
    <n v="0"/>
    <n v="0"/>
    <n v="0"/>
    <n v="0"/>
    <n v="0"/>
    <n v="0"/>
  </r>
  <r>
    <d v="2014-04-13T00:00:00"/>
    <n v="4725"/>
    <n v="1950"/>
    <x v="0"/>
    <s v="PhD"/>
    <s v="Together"/>
    <n v="50616"/>
    <n v="1"/>
    <n v="71"/>
    <n v="30"/>
    <n v="2"/>
    <n v="25"/>
    <n v="0"/>
    <n v="1"/>
    <n v="9"/>
    <n v="67"/>
    <n v="1"/>
    <n v="1"/>
    <n v="1"/>
    <n v="4"/>
    <n v="2"/>
    <n v="0"/>
    <n v="0"/>
    <n v="0"/>
    <n v="0"/>
    <n v="0"/>
    <n v="0"/>
    <n v="0"/>
  </r>
  <r>
    <d v="2014-03-01T00:00:00"/>
    <n v="3286"/>
    <n v="1967"/>
    <x v="0"/>
    <s v="PhD"/>
    <s v="Divorced"/>
    <n v="26642"/>
    <n v="1"/>
    <n v="71"/>
    <n v="13"/>
    <n v="2"/>
    <n v="15"/>
    <n v="2"/>
    <n v="2"/>
    <n v="8"/>
    <n v="42"/>
    <n v="2"/>
    <n v="2"/>
    <n v="0"/>
    <n v="3"/>
    <n v="6"/>
    <n v="0"/>
    <n v="0"/>
    <n v="0"/>
    <n v="0"/>
    <n v="0"/>
    <n v="0"/>
    <n v="0"/>
  </r>
  <r>
    <d v="2014-02-05T00:00:00"/>
    <n v="10680"/>
    <n v="1986"/>
    <x v="0"/>
    <s v="Graduation"/>
    <s v="Together"/>
    <n v="33235"/>
    <n v="1"/>
    <n v="71"/>
    <n v="45"/>
    <n v="0"/>
    <n v="16"/>
    <n v="2"/>
    <n v="1"/>
    <n v="6"/>
    <n v="70"/>
    <n v="1"/>
    <n v="3"/>
    <n v="0"/>
    <n v="3"/>
    <n v="7"/>
    <n v="0"/>
    <n v="0"/>
    <n v="0"/>
    <n v="0"/>
    <n v="0"/>
    <n v="0"/>
    <n v="0"/>
  </r>
  <r>
    <d v="2014-01-26T00:00:00"/>
    <n v="4297"/>
    <n v="1969"/>
    <x v="5"/>
    <s v="Graduation"/>
    <s v="Together"/>
    <n v="23228"/>
    <n v="1"/>
    <n v="71"/>
    <n v="13"/>
    <n v="2"/>
    <n v="18"/>
    <n v="6"/>
    <n v="1"/>
    <n v="0"/>
    <n v="40"/>
    <n v="2"/>
    <n v="2"/>
    <n v="0"/>
    <n v="3"/>
    <n v="8"/>
    <n v="0"/>
    <n v="0"/>
    <n v="0"/>
    <n v="0"/>
    <n v="0"/>
    <n v="0"/>
    <n v="0"/>
  </r>
  <r>
    <d v="2013-12-29T00:00:00"/>
    <n v="7327"/>
    <n v="1959"/>
    <x v="0"/>
    <s v="PhD"/>
    <s v="Married"/>
    <n v="36732"/>
    <n v="2"/>
    <n v="71"/>
    <n v="21"/>
    <n v="5"/>
    <n v="3"/>
    <n v="10"/>
    <n v="1"/>
    <n v="7"/>
    <n v="47"/>
    <n v="3"/>
    <n v="1"/>
    <n v="1"/>
    <n v="4"/>
    <n v="2"/>
    <n v="0"/>
    <n v="0"/>
    <n v="0"/>
    <n v="0"/>
    <n v="0"/>
    <n v="0"/>
    <n v="0"/>
  </r>
  <r>
    <d v="2013-09-27T00:00:00"/>
    <n v="1553"/>
    <n v="1946"/>
    <x v="4"/>
    <s v="Graduation"/>
    <s v="Together"/>
    <n v="82657"/>
    <n v="0"/>
    <n v="71"/>
    <n v="966"/>
    <n v="168"/>
    <n v="672"/>
    <n v="246"/>
    <n v="105"/>
    <n v="126"/>
    <n v="2283"/>
    <n v="1"/>
    <n v="7"/>
    <n v="5"/>
    <n v="10"/>
    <n v="4"/>
    <n v="0"/>
    <n v="1"/>
    <n v="0"/>
    <n v="1"/>
    <n v="0"/>
    <n v="0"/>
    <n v="0"/>
  </r>
  <r>
    <d v="2013-09-23T00:00:00"/>
    <n v="1665"/>
    <n v="1964"/>
    <x v="6"/>
    <s v="PhD"/>
    <s v="Divorced"/>
    <n v="64140"/>
    <n v="2"/>
    <n v="71"/>
    <n v="1459"/>
    <n v="0"/>
    <n v="61"/>
    <n v="0"/>
    <n v="15"/>
    <n v="215"/>
    <n v="1750"/>
    <n v="5"/>
    <n v="2"/>
    <n v="5"/>
    <n v="6"/>
    <n v="5"/>
    <n v="1"/>
    <n v="0"/>
    <n v="1"/>
    <n v="0"/>
    <n v="1"/>
    <n v="1"/>
    <n v="0"/>
  </r>
  <r>
    <d v="2013-09-05T00:00:00"/>
    <n v="10640"/>
    <n v="1974"/>
    <x v="0"/>
    <s v="Graduation"/>
    <s v="Together"/>
    <n v="44392"/>
    <n v="2"/>
    <n v="71"/>
    <n v="87"/>
    <n v="5"/>
    <n v="71"/>
    <n v="7"/>
    <n v="12"/>
    <n v="29"/>
    <n v="211"/>
    <n v="5"/>
    <n v="4"/>
    <n v="1"/>
    <n v="4"/>
    <n v="7"/>
    <n v="0"/>
    <n v="0"/>
    <n v="0"/>
    <n v="0"/>
    <n v="0"/>
    <n v="0"/>
    <n v="0"/>
  </r>
  <r>
    <d v="2013-08-05T00:00:00"/>
    <n v="7620"/>
    <n v="1990"/>
    <x v="5"/>
    <s v="Basic"/>
    <s v="Single"/>
    <n v="16185"/>
    <n v="1"/>
    <n v="71"/>
    <n v="5"/>
    <n v="11"/>
    <n v="16"/>
    <n v="21"/>
    <n v="8"/>
    <n v="45"/>
    <n v="106"/>
    <n v="2"/>
    <n v="2"/>
    <n v="2"/>
    <n v="2"/>
    <n v="8"/>
    <n v="0"/>
    <n v="0"/>
    <n v="0"/>
    <n v="0"/>
    <n v="0"/>
    <n v="0"/>
    <n v="0"/>
  </r>
  <r>
    <d v="2013-08-01T00:00:00"/>
    <n v="7761"/>
    <n v="1978"/>
    <x v="3"/>
    <s v="2n Cycle"/>
    <s v="Together"/>
    <n v="38702"/>
    <n v="1"/>
    <n v="71"/>
    <n v="13"/>
    <n v="11"/>
    <n v="24"/>
    <n v="13"/>
    <n v="8"/>
    <n v="40"/>
    <n v="109"/>
    <n v="2"/>
    <n v="3"/>
    <n v="0"/>
    <n v="4"/>
    <n v="6"/>
    <n v="0"/>
    <n v="0"/>
    <n v="0"/>
    <n v="0"/>
    <n v="0"/>
    <n v="0"/>
    <n v="0"/>
  </r>
  <r>
    <d v="2013-07-27T00:00:00"/>
    <n v="5062"/>
    <n v="1963"/>
    <x v="6"/>
    <s v="PhD"/>
    <s v="Married"/>
    <n v="54072"/>
    <n v="2"/>
    <n v="71"/>
    <n v="35"/>
    <n v="0"/>
    <n v="4"/>
    <n v="0"/>
    <n v="0"/>
    <n v="0"/>
    <n v="39"/>
    <n v="1"/>
    <n v="2"/>
    <n v="0"/>
    <n v="2"/>
    <n v="8"/>
    <n v="0"/>
    <n v="0"/>
    <n v="0"/>
    <n v="0"/>
    <n v="0"/>
    <n v="0"/>
    <n v="0"/>
  </r>
  <r>
    <d v="2013-07-06T00:00:00"/>
    <n v="6349"/>
    <n v="1987"/>
    <x v="0"/>
    <s v="Master"/>
    <s v="Divorced"/>
    <n v="61787"/>
    <n v="0"/>
    <n v="71"/>
    <n v="621"/>
    <n v="73"/>
    <n v="414"/>
    <n v="78"/>
    <n v="48"/>
    <n v="85"/>
    <n v="1319"/>
    <n v="1"/>
    <n v="8"/>
    <n v="4"/>
    <n v="6"/>
    <n v="5"/>
    <n v="0"/>
    <n v="0"/>
    <n v="0"/>
    <n v="0"/>
    <n v="0"/>
    <n v="0"/>
    <n v="0"/>
  </r>
  <r>
    <d v="2013-06-21T00:00:00"/>
    <n v="3386"/>
    <n v="1992"/>
    <x v="0"/>
    <s v="Graduation"/>
    <s v="Married"/>
    <n v="34935"/>
    <n v="0"/>
    <n v="71"/>
    <n v="34"/>
    <n v="4"/>
    <n v="66"/>
    <n v="3"/>
    <n v="10"/>
    <n v="20"/>
    <n v="137"/>
    <n v="1"/>
    <n v="2"/>
    <n v="1"/>
    <n v="4"/>
    <n v="7"/>
    <n v="0"/>
    <n v="0"/>
    <n v="0"/>
    <n v="0"/>
    <n v="0"/>
    <n v="0"/>
    <n v="0"/>
  </r>
  <r>
    <d v="2013-06-21T00:00:00"/>
    <n v="8175"/>
    <n v="1992"/>
    <x v="6"/>
    <s v="Graduation"/>
    <s v="Married"/>
    <n v="34935"/>
    <n v="0"/>
    <n v="71"/>
    <n v="34"/>
    <n v="4"/>
    <n v="66"/>
    <n v="3"/>
    <n v="10"/>
    <n v="20"/>
    <n v="137"/>
    <n v="1"/>
    <n v="2"/>
    <n v="1"/>
    <n v="4"/>
    <n v="7"/>
    <n v="0"/>
    <n v="0"/>
    <n v="0"/>
    <n v="0"/>
    <n v="0"/>
    <n v="0"/>
    <n v="0"/>
  </r>
  <r>
    <d v="2013-06-13T00:00:00"/>
    <n v="6245"/>
    <n v="1950"/>
    <x v="0"/>
    <s v="PhD"/>
    <s v="Together"/>
    <n v="59292"/>
    <n v="1"/>
    <n v="71"/>
    <n v="378"/>
    <n v="14"/>
    <n v="68"/>
    <n v="19"/>
    <n v="14"/>
    <n v="14"/>
    <n v="507"/>
    <n v="2"/>
    <n v="3"/>
    <n v="5"/>
    <n v="8"/>
    <n v="3"/>
    <n v="0"/>
    <n v="0"/>
    <n v="0"/>
    <n v="0"/>
    <n v="0"/>
    <n v="0"/>
    <n v="0"/>
  </r>
  <r>
    <d v="2013-06-13T00:00:00"/>
    <n v="8780"/>
    <n v="1950"/>
    <x v="0"/>
    <s v="PhD"/>
    <s v="Together"/>
    <n v="59292"/>
    <n v="1"/>
    <n v="71"/>
    <n v="378"/>
    <n v="14"/>
    <n v="68"/>
    <n v="19"/>
    <n v="14"/>
    <n v="14"/>
    <n v="507"/>
    <n v="2"/>
    <n v="3"/>
    <n v="5"/>
    <n v="8"/>
    <n v="3"/>
    <n v="0"/>
    <n v="0"/>
    <n v="0"/>
    <n v="0"/>
    <n v="0"/>
    <n v="0"/>
    <n v="0"/>
  </r>
  <r>
    <d v="2013-05-02T00:00:00"/>
    <n v="2276"/>
    <n v="1955"/>
    <x v="0"/>
    <s v="Graduation"/>
    <s v="Single"/>
    <n v="57959"/>
    <n v="1"/>
    <n v="71"/>
    <n v="430"/>
    <n v="16"/>
    <n v="322"/>
    <n v="43"/>
    <n v="24"/>
    <n v="33"/>
    <n v="868"/>
    <n v="5"/>
    <n v="4"/>
    <n v="7"/>
    <n v="11"/>
    <n v="3"/>
    <n v="0"/>
    <n v="0"/>
    <n v="0"/>
    <n v="0"/>
    <n v="0"/>
    <n v="0"/>
    <n v="0"/>
  </r>
  <r>
    <d v="2013-05-01T00:00:00"/>
    <n v="1172"/>
    <n v="1983"/>
    <x v="0"/>
    <s v="PhD"/>
    <s v="Married"/>
    <n v="92491"/>
    <n v="0"/>
    <n v="71"/>
    <n v="979"/>
    <n v="44"/>
    <n v="935"/>
    <n v="29"/>
    <n v="25"/>
    <n v="22"/>
    <n v="2034"/>
    <n v="1"/>
    <n v="7"/>
    <n v="5"/>
    <n v="12"/>
    <n v="3"/>
    <n v="0"/>
    <n v="1"/>
    <n v="1"/>
    <n v="1"/>
    <n v="0"/>
    <n v="1"/>
    <n v="0"/>
  </r>
  <r>
    <d v="2013-04-01T00:00:00"/>
    <n v="3225"/>
    <n v="1984"/>
    <x v="0"/>
    <s v="Master"/>
    <s v="Married"/>
    <n v="42207"/>
    <n v="1"/>
    <n v="71"/>
    <n v="116"/>
    <n v="11"/>
    <n v="72"/>
    <n v="3"/>
    <n v="17"/>
    <n v="46"/>
    <n v="265"/>
    <n v="4"/>
    <n v="4"/>
    <n v="1"/>
    <n v="5"/>
    <n v="6"/>
    <n v="1"/>
    <n v="0"/>
    <n v="0"/>
    <n v="0"/>
    <n v="0"/>
    <n v="1"/>
    <n v="0"/>
  </r>
  <r>
    <d v="2013-03-26T00:00:00"/>
    <n v="8629"/>
    <n v="1956"/>
    <x v="1"/>
    <s v="Graduation"/>
    <s v="Widow"/>
    <n v="46984"/>
    <n v="2"/>
    <n v="71"/>
    <n v="19"/>
    <n v="1"/>
    <n v="10"/>
    <n v="2"/>
    <n v="1"/>
    <n v="8"/>
    <n v="41"/>
    <n v="1"/>
    <n v="1"/>
    <n v="0"/>
    <n v="3"/>
    <n v="5"/>
    <n v="0"/>
    <n v="0"/>
    <n v="0"/>
    <n v="0"/>
    <n v="0"/>
    <n v="0"/>
    <n v="0"/>
  </r>
  <r>
    <d v="2012-12-24T00:00:00"/>
    <n v="798"/>
    <n v="1987"/>
    <x v="0"/>
    <s v="Graduation"/>
    <s v="Single"/>
    <n v="23442"/>
    <n v="1"/>
    <n v="71"/>
    <n v="2"/>
    <n v="0"/>
    <n v="6"/>
    <n v="8"/>
    <n v="6"/>
    <n v="5"/>
    <n v="27"/>
    <n v="1"/>
    <n v="1"/>
    <n v="0"/>
    <n v="3"/>
    <n v="7"/>
    <n v="0"/>
    <n v="0"/>
    <n v="0"/>
    <n v="0"/>
    <n v="0"/>
    <n v="0"/>
    <n v="0"/>
  </r>
  <r>
    <d v="2012-11-16T00:00:00"/>
    <n v="269"/>
    <n v="1963"/>
    <x v="0"/>
    <s v="PhD"/>
    <s v="Single"/>
    <n v="46757"/>
    <n v="1"/>
    <n v="71"/>
    <n v="777"/>
    <n v="30"/>
    <n v="163"/>
    <n v="0"/>
    <n v="51"/>
    <n v="122"/>
    <n v="1143"/>
    <n v="6"/>
    <n v="4"/>
    <n v="4"/>
    <n v="7"/>
    <n v="9"/>
    <n v="0"/>
    <n v="0"/>
    <n v="0"/>
    <n v="0"/>
    <n v="0"/>
    <n v="0"/>
    <n v="0"/>
  </r>
  <r>
    <d v="2012-11-09T00:00:00"/>
    <n v="8213"/>
    <n v="1980"/>
    <x v="0"/>
    <s v="2n Cycle"/>
    <s v="Together"/>
    <n v="14515"/>
    <n v="1"/>
    <n v="71"/>
    <n v="6"/>
    <n v="4"/>
    <n v="9"/>
    <n v="6"/>
    <n v="36"/>
    <n v="35"/>
    <n v="96"/>
    <n v="4"/>
    <n v="2"/>
    <n v="2"/>
    <n v="3"/>
    <n v="7"/>
    <n v="0"/>
    <n v="0"/>
    <n v="0"/>
    <n v="0"/>
    <n v="0"/>
    <n v="1"/>
    <n v="0"/>
  </r>
  <r>
    <d v="2012-10-31T00:00:00"/>
    <n v="10245"/>
    <n v="1986"/>
    <x v="0"/>
    <s v="2n Cycle"/>
    <s v="Single"/>
    <n v="80910"/>
    <n v="0"/>
    <n v="71"/>
    <n v="160"/>
    <n v="80"/>
    <n v="369"/>
    <n v="67"/>
    <n v="39"/>
    <n v="41"/>
    <n v="756"/>
    <n v="1"/>
    <n v="3"/>
    <n v="3"/>
    <n v="8"/>
    <n v="1"/>
    <n v="0"/>
    <n v="0"/>
    <n v="0"/>
    <n v="0"/>
    <n v="0"/>
    <n v="0"/>
    <n v="0"/>
  </r>
  <r>
    <d v="2012-10-17T00:00:00"/>
    <n v="2447"/>
    <n v="1979"/>
    <x v="5"/>
    <s v="Graduation"/>
    <s v="Together"/>
    <n v="30545"/>
    <n v="1"/>
    <n v="71"/>
    <n v="4"/>
    <n v="12"/>
    <n v="15"/>
    <n v="19"/>
    <n v="7"/>
    <n v="12"/>
    <n v="69"/>
    <n v="2"/>
    <n v="2"/>
    <n v="0"/>
    <n v="3"/>
    <n v="7"/>
    <n v="0"/>
    <n v="0"/>
    <n v="0"/>
    <n v="0"/>
    <n v="0"/>
    <n v="0"/>
    <n v="0"/>
  </r>
  <r>
    <d v="2012-08-21T00:00:00"/>
    <n v="9817"/>
    <n v="1970"/>
    <x v="5"/>
    <s v="Master"/>
    <s v="Single"/>
    <n v="44802"/>
    <n v="0"/>
    <n v="71"/>
    <n v="853"/>
    <n v="10"/>
    <n v="143"/>
    <n v="13"/>
    <n v="10"/>
    <n v="20"/>
    <n v="1049"/>
    <n v="2"/>
    <n v="9"/>
    <n v="4"/>
    <n v="12"/>
    <n v="8"/>
    <n v="0"/>
    <n v="0"/>
    <n v="0"/>
    <n v="0"/>
    <n v="0"/>
    <n v="0"/>
    <n v="0"/>
  </r>
  <r>
    <d v="2014-06-28T00:00:00"/>
    <n v="1371"/>
    <n v="1976"/>
    <x v="3"/>
    <s v="Graduation"/>
    <s v="Single"/>
    <n v="79941"/>
    <n v="0"/>
    <n v="72"/>
    <n v="123"/>
    <n v="164"/>
    <n v="266"/>
    <n v="227"/>
    <n v="30"/>
    <n v="174"/>
    <n v="984"/>
    <n v="1"/>
    <n v="2"/>
    <n v="4"/>
    <n v="9"/>
    <n v="1"/>
    <n v="0"/>
    <n v="0"/>
    <n v="0"/>
    <n v="0"/>
    <n v="0"/>
    <n v="0"/>
    <n v="0"/>
  </r>
  <r>
    <d v="2014-06-28T00:00:00"/>
    <n v="8093"/>
    <n v="1969"/>
    <x v="0"/>
    <s v="Master"/>
    <s v="Married"/>
    <n v="79734"/>
    <n v="0"/>
    <n v="72"/>
    <n v="572"/>
    <n v="8"/>
    <n v="232"/>
    <n v="23"/>
    <n v="62"/>
    <n v="17"/>
    <n v="914"/>
    <n v="1"/>
    <n v="4"/>
    <n v="3"/>
    <n v="6"/>
    <n v="1"/>
    <n v="0"/>
    <n v="0"/>
    <n v="0"/>
    <n v="1"/>
    <n v="0"/>
    <n v="0"/>
    <n v="0"/>
  </r>
  <r>
    <d v="2014-06-08T00:00:00"/>
    <n v="713"/>
    <n v="1977"/>
    <x v="0"/>
    <s v="Master"/>
    <s v="Married"/>
    <n v="50353"/>
    <n v="0"/>
    <n v="72"/>
    <n v="141"/>
    <n v="15"/>
    <n v="153"/>
    <n v="67"/>
    <n v="31"/>
    <n v="35"/>
    <n v="442"/>
    <n v="1"/>
    <n v="4"/>
    <n v="4"/>
    <n v="6"/>
    <n v="3"/>
    <n v="0"/>
    <n v="0"/>
    <n v="0"/>
    <n v="0"/>
    <n v="0"/>
    <n v="0"/>
    <n v="0"/>
  </r>
  <r>
    <d v="2014-05-10T00:00:00"/>
    <n v="11051"/>
    <n v="1956"/>
    <x v="1"/>
    <s v="PhD"/>
    <s v="Together"/>
    <n v="77376"/>
    <n v="2"/>
    <n v="72"/>
    <n v="492"/>
    <n v="19"/>
    <n v="110"/>
    <n v="16"/>
    <n v="12"/>
    <n v="12"/>
    <n v="661"/>
    <n v="4"/>
    <n v="6"/>
    <n v="3"/>
    <n v="10"/>
    <n v="4"/>
    <n v="0"/>
    <n v="0"/>
    <n v="0"/>
    <n v="0"/>
    <n v="0"/>
    <n v="0"/>
    <n v="0"/>
  </r>
  <r>
    <d v="2014-04-05T00:00:00"/>
    <n v="5545"/>
    <n v="1972"/>
    <x v="0"/>
    <s v="PhD"/>
    <s v="Married"/>
    <n v="78075"/>
    <n v="0"/>
    <n v="72"/>
    <n v="572"/>
    <n v="8"/>
    <n v="259"/>
    <n v="34"/>
    <n v="35"/>
    <n v="80"/>
    <n v="988"/>
    <n v="1"/>
    <n v="3"/>
    <n v="5"/>
    <n v="5"/>
    <n v="1"/>
    <n v="0"/>
    <n v="0"/>
    <n v="0"/>
    <n v="0"/>
    <n v="0"/>
    <n v="0"/>
    <n v="0"/>
  </r>
  <r>
    <d v="2014-02-17T00:00:00"/>
    <n v="5283"/>
    <n v="1976"/>
    <x v="0"/>
    <s v="PhD"/>
    <s v="Single"/>
    <n v="42473"/>
    <n v="2"/>
    <n v="72"/>
    <n v="93"/>
    <n v="1"/>
    <n v="21"/>
    <n v="0"/>
    <n v="4"/>
    <n v="25"/>
    <n v="144"/>
    <n v="3"/>
    <n v="2"/>
    <n v="1"/>
    <n v="4"/>
    <n v="5"/>
    <n v="0"/>
    <n v="0"/>
    <n v="0"/>
    <n v="0"/>
    <n v="0"/>
    <n v="0"/>
    <n v="0"/>
  </r>
  <r>
    <d v="2014-02-02T00:00:00"/>
    <n v="5010"/>
    <n v="1988"/>
    <x v="0"/>
    <s v="Graduation"/>
    <s v="Single"/>
    <n v="25008"/>
    <n v="1"/>
    <n v="72"/>
    <n v="2"/>
    <n v="8"/>
    <n v="8"/>
    <n v="6"/>
    <n v="1"/>
    <n v="9"/>
    <n v="34"/>
    <n v="2"/>
    <n v="1"/>
    <n v="0"/>
    <n v="3"/>
    <n v="8"/>
    <n v="0"/>
    <n v="0"/>
    <n v="0"/>
    <n v="0"/>
    <n v="0"/>
    <n v="0"/>
    <n v="0"/>
  </r>
  <r>
    <d v="2013-12-20T00:00:00"/>
    <n v="7495"/>
    <n v="1948"/>
    <x v="0"/>
    <s v="PhD"/>
    <s v="Married"/>
    <n v="56223"/>
    <n v="1"/>
    <n v="72"/>
    <n v="77"/>
    <n v="28"/>
    <n v="31"/>
    <n v="16"/>
    <n v="0"/>
    <n v="4"/>
    <n v="156"/>
    <n v="2"/>
    <n v="2"/>
    <n v="1"/>
    <n v="5"/>
    <n v="4"/>
    <n v="0"/>
    <n v="0"/>
    <n v="0"/>
    <n v="0"/>
    <n v="0"/>
    <n v="0"/>
    <n v="0"/>
  </r>
  <r>
    <d v="2013-12-03T00:00:00"/>
    <n v="4368"/>
    <n v="1980"/>
    <x v="0"/>
    <s v="Graduation"/>
    <s v="Married"/>
    <n v="47850"/>
    <n v="1"/>
    <n v="72"/>
    <n v="42"/>
    <n v="7"/>
    <n v="43"/>
    <n v="20"/>
    <n v="12"/>
    <n v="10"/>
    <n v="134"/>
    <n v="1"/>
    <n v="3"/>
    <n v="0"/>
    <n v="4"/>
    <n v="6"/>
    <n v="0"/>
    <n v="0"/>
    <n v="0"/>
    <n v="0"/>
    <n v="0"/>
    <n v="0"/>
    <n v="0"/>
  </r>
  <r>
    <d v="2013-11-23T00:00:00"/>
    <n v="6303"/>
    <n v="1986"/>
    <x v="1"/>
    <s v="PhD"/>
    <s v="Together"/>
    <n v="91820"/>
    <n v="0"/>
    <n v="72"/>
    <n v="410"/>
    <n v="73"/>
    <n v="747"/>
    <n v="76"/>
    <n v="161"/>
    <n v="30"/>
    <n v="1497"/>
    <n v="0"/>
    <n v="5"/>
    <n v="5"/>
    <n v="12"/>
    <n v="1"/>
    <n v="0"/>
    <n v="0"/>
    <n v="0"/>
    <n v="0"/>
    <n v="0"/>
    <n v="0"/>
    <n v="0"/>
  </r>
  <r>
    <d v="2013-07-17T00:00:00"/>
    <n v="1030"/>
    <n v="1965"/>
    <x v="6"/>
    <s v="PhD"/>
    <s v="Single"/>
    <n v="40637"/>
    <n v="2"/>
    <n v="72"/>
    <n v="22"/>
    <n v="0"/>
    <n v="13"/>
    <n v="0"/>
    <n v="0"/>
    <n v="3"/>
    <n v="38"/>
    <n v="2"/>
    <n v="1"/>
    <n v="0"/>
    <n v="3"/>
    <n v="7"/>
    <n v="0"/>
    <n v="0"/>
    <n v="0"/>
    <n v="0"/>
    <n v="0"/>
    <n v="0"/>
    <n v="0"/>
  </r>
  <r>
    <d v="2013-07-13T00:00:00"/>
    <n v="10364"/>
    <n v="1959"/>
    <x v="0"/>
    <s v="Graduation"/>
    <s v="Divorced"/>
    <n v="23295"/>
    <n v="0"/>
    <n v="72"/>
    <n v="0"/>
    <n v="0"/>
    <n v="1"/>
    <n v="2"/>
    <n v="12"/>
    <n v="5"/>
    <n v="20"/>
    <n v="1"/>
    <n v="1"/>
    <n v="0"/>
    <n v="2"/>
    <n v="8"/>
    <n v="0"/>
    <n v="0"/>
    <n v="0"/>
    <n v="0"/>
    <n v="0"/>
    <n v="0"/>
    <n v="0"/>
  </r>
  <r>
    <d v="2013-06-04T00:00:00"/>
    <n v="6945"/>
    <n v="1952"/>
    <x v="0"/>
    <s v="Graduation"/>
    <s v="Single"/>
    <n v="84574"/>
    <n v="0"/>
    <n v="72"/>
    <n v="387"/>
    <n v="20"/>
    <n v="713"/>
    <n v="38"/>
    <n v="54"/>
    <n v="163"/>
    <n v="1375"/>
    <n v="1"/>
    <n v="9"/>
    <n v="11"/>
    <n v="11"/>
    <n v="5"/>
    <n v="0"/>
    <n v="0"/>
    <n v="0"/>
    <n v="0"/>
    <n v="0"/>
    <n v="0"/>
    <n v="0"/>
  </r>
  <r>
    <d v="2013-05-28T00:00:00"/>
    <n v="8562"/>
    <n v="1969"/>
    <x v="0"/>
    <s v="Graduation"/>
    <s v="Together"/>
    <n v="54165"/>
    <n v="0"/>
    <n v="72"/>
    <n v="127"/>
    <n v="4"/>
    <n v="73"/>
    <n v="15"/>
    <n v="6"/>
    <n v="11"/>
    <n v="236"/>
    <n v="1"/>
    <n v="2"/>
    <n v="1"/>
    <n v="7"/>
    <n v="2"/>
    <n v="0"/>
    <n v="0"/>
    <n v="0"/>
    <n v="0"/>
    <n v="0"/>
    <n v="0"/>
    <n v="0"/>
  </r>
  <r>
    <d v="2013-04-13T00:00:00"/>
    <n v="2918"/>
    <n v="1981"/>
    <x v="0"/>
    <s v="Graduation"/>
    <s v="Divorced"/>
    <n v="28510"/>
    <n v="2"/>
    <n v="72"/>
    <n v="44"/>
    <n v="5"/>
    <n v="19"/>
    <n v="0"/>
    <n v="4"/>
    <n v="19"/>
    <n v="91"/>
    <n v="3"/>
    <n v="2"/>
    <n v="0"/>
    <n v="4"/>
    <n v="5"/>
    <n v="0"/>
    <n v="0"/>
    <n v="0"/>
    <n v="0"/>
    <n v="0"/>
    <n v="0"/>
    <n v="0"/>
  </r>
  <r>
    <d v="2013-03-26T00:00:00"/>
    <n v="9167"/>
    <n v="1956"/>
    <x v="0"/>
    <s v="Graduation"/>
    <s v="Married"/>
    <n v="67131"/>
    <n v="1"/>
    <n v="72"/>
    <n v="465"/>
    <n v="71"/>
    <n v="250"/>
    <n v="93"/>
    <n v="35"/>
    <n v="62"/>
    <n v="976"/>
    <n v="3"/>
    <n v="9"/>
    <n v="2"/>
    <n v="12"/>
    <n v="6"/>
    <n v="0"/>
    <n v="0"/>
    <n v="0"/>
    <n v="0"/>
    <n v="0"/>
    <n v="0"/>
    <n v="0"/>
  </r>
  <r>
    <d v="2013-03-03T00:00:00"/>
    <n v="4743"/>
    <n v="1969"/>
    <x v="2"/>
    <s v="PhD"/>
    <s v="Married"/>
    <n v="56242"/>
    <n v="1"/>
    <n v="72"/>
    <n v="689"/>
    <n v="8"/>
    <n v="167"/>
    <n v="11"/>
    <n v="8"/>
    <n v="88"/>
    <n v="971"/>
    <n v="5"/>
    <n v="8"/>
    <n v="4"/>
    <n v="11"/>
    <n v="6"/>
    <n v="0"/>
    <n v="0"/>
    <n v="0"/>
    <n v="0"/>
    <n v="0"/>
    <n v="0"/>
    <n v="0"/>
  </r>
  <r>
    <d v="2013-02-27T00:00:00"/>
    <n v="10742"/>
    <n v="1983"/>
    <x v="0"/>
    <s v="PhD"/>
    <s v="Married"/>
    <n v="86580"/>
    <n v="0"/>
    <n v="72"/>
    <n v="532"/>
    <n v="21"/>
    <n v="127"/>
    <n v="26"/>
    <n v="20"/>
    <n v="20"/>
    <n v="746"/>
    <n v="0"/>
    <n v="4"/>
    <n v="2"/>
    <n v="5"/>
    <n v="1"/>
    <n v="0"/>
    <n v="0"/>
    <n v="1"/>
    <n v="0"/>
    <n v="0"/>
    <n v="0"/>
    <n v="0"/>
  </r>
  <r>
    <d v="2013-02-22T00:00:00"/>
    <n v="10965"/>
    <n v="1955"/>
    <x v="0"/>
    <s v="Graduation"/>
    <s v="Together"/>
    <n v="76005"/>
    <n v="0"/>
    <n v="72"/>
    <n v="983"/>
    <n v="20"/>
    <n v="389"/>
    <n v="240"/>
    <n v="50"/>
    <n v="40"/>
    <n v="1722"/>
    <n v="1"/>
    <n v="3"/>
    <n v="5"/>
    <n v="13"/>
    <n v="6"/>
    <n v="0"/>
    <n v="0"/>
    <n v="0"/>
    <n v="1"/>
    <n v="0"/>
    <n v="0"/>
    <n v="0"/>
  </r>
  <r>
    <d v="2013-02-17T00:00:00"/>
    <n v="7129"/>
    <n v="1962"/>
    <x v="0"/>
    <s v="PhD"/>
    <s v="Married"/>
    <n v="54693"/>
    <n v="1"/>
    <n v="72"/>
    <n v="686"/>
    <n v="17"/>
    <n v="142"/>
    <n v="23"/>
    <n v="26"/>
    <n v="35"/>
    <n v="929"/>
    <n v="8"/>
    <n v="6"/>
    <n v="4"/>
    <n v="13"/>
    <n v="6"/>
    <n v="0"/>
    <n v="0"/>
    <n v="0"/>
    <n v="0"/>
    <n v="0"/>
    <n v="0"/>
    <n v="0"/>
  </r>
  <r>
    <d v="2013-02-04T00:00:00"/>
    <n v="3732"/>
    <n v="1955"/>
    <x v="1"/>
    <s v="Master"/>
    <s v="Married"/>
    <n v="52750"/>
    <n v="1"/>
    <n v="72"/>
    <n v="393"/>
    <n v="0"/>
    <n v="239"/>
    <n v="90"/>
    <n v="69"/>
    <n v="69"/>
    <n v="860"/>
    <n v="6"/>
    <n v="5"/>
    <n v="7"/>
    <n v="9"/>
    <n v="4"/>
    <n v="0"/>
    <n v="0"/>
    <n v="0"/>
    <n v="0"/>
    <n v="0"/>
    <n v="0"/>
    <n v="0"/>
  </r>
  <r>
    <d v="2013-02-01T00:00:00"/>
    <n v="7124"/>
    <n v="1968"/>
    <x v="1"/>
    <s v="Graduation"/>
    <s v="Divorced"/>
    <n v="36997"/>
    <n v="2"/>
    <n v="72"/>
    <n v="43"/>
    <n v="4"/>
    <n v="12"/>
    <n v="8"/>
    <n v="0"/>
    <n v="27"/>
    <n v="94"/>
    <n v="5"/>
    <n v="2"/>
    <n v="1"/>
    <n v="4"/>
    <n v="5"/>
    <n v="0"/>
    <n v="0"/>
    <n v="0"/>
    <n v="0"/>
    <n v="0"/>
    <n v="0"/>
    <n v="0"/>
  </r>
  <r>
    <d v="2012-12-26T00:00:00"/>
    <n v="10686"/>
    <n v="1965"/>
    <x v="0"/>
    <s v="PhD"/>
    <s v="Together"/>
    <n v="34230"/>
    <n v="2"/>
    <n v="72"/>
    <n v="15"/>
    <n v="0"/>
    <n v="4"/>
    <n v="0"/>
    <n v="0"/>
    <n v="2"/>
    <n v="21"/>
    <n v="1"/>
    <n v="1"/>
    <n v="0"/>
    <n v="2"/>
    <n v="7"/>
    <n v="0"/>
    <n v="0"/>
    <n v="0"/>
    <n v="0"/>
    <n v="0"/>
    <n v="0"/>
    <n v="0"/>
  </r>
  <r>
    <d v="2012-11-22T00:00:00"/>
    <n v="7247"/>
    <n v="1960"/>
    <x v="4"/>
    <s v="Graduation"/>
    <s v="Widow"/>
    <n v="47916"/>
    <n v="1"/>
    <n v="72"/>
    <n v="505"/>
    <n v="0"/>
    <n v="26"/>
    <n v="0"/>
    <n v="0"/>
    <n v="75"/>
    <n v="606"/>
    <n v="5"/>
    <n v="7"/>
    <n v="4"/>
    <n v="6"/>
    <n v="6"/>
    <n v="0"/>
    <n v="1"/>
    <n v="0"/>
    <n v="0"/>
    <n v="0"/>
    <n v="0"/>
    <n v="0"/>
  </r>
  <r>
    <d v="2012-08-28T00:00:00"/>
    <n v="1513"/>
    <n v="1979"/>
    <x v="0"/>
    <s v="2n Cycle"/>
    <s v="Together"/>
    <n v="60839"/>
    <n v="2"/>
    <n v="72"/>
    <n v="600"/>
    <n v="21"/>
    <n v="128"/>
    <n v="223"/>
    <n v="150"/>
    <n v="128"/>
    <n v="1250"/>
    <n v="13"/>
    <n v="2"/>
    <n v="2"/>
    <n v="12"/>
    <n v="8"/>
    <n v="0"/>
    <n v="0"/>
    <n v="0"/>
    <n v="0"/>
    <n v="0"/>
    <n v="0"/>
    <n v="0"/>
  </r>
  <r>
    <d v="2012-08-08T00:00:00"/>
    <n v="460"/>
    <n v="1972"/>
    <x v="6"/>
    <s v="PhD"/>
    <s v="Married"/>
    <n v="79930"/>
    <n v="0"/>
    <n v="72"/>
    <n v="792"/>
    <n v="86"/>
    <n v="740"/>
    <n v="67"/>
    <n v="51"/>
    <n v="17"/>
    <n v="1753"/>
    <n v="1"/>
    <n v="3"/>
    <n v="5"/>
    <n v="8"/>
    <n v="2"/>
    <n v="0"/>
    <n v="0"/>
    <n v="0"/>
    <n v="0"/>
    <n v="0"/>
    <n v="0"/>
    <n v="0"/>
  </r>
  <r>
    <d v="2012-07-30T00:00:00"/>
    <n v="6653"/>
    <n v="1970"/>
    <x v="0"/>
    <s v="PhD"/>
    <s v="Married"/>
    <n v="55158"/>
    <n v="2"/>
    <n v="72"/>
    <n v="293"/>
    <n v="0"/>
    <n v="87"/>
    <n v="4"/>
    <n v="11"/>
    <n v="23"/>
    <n v="418"/>
    <n v="4"/>
    <n v="7"/>
    <n v="2"/>
    <n v="5"/>
    <n v="7"/>
    <n v="0"/>
    <n v="0"/>
    <n v="0"/>
    <n v="0"/>
    <n v="0"/>
    <n v="1"/>
    <n v="0"/>
  </r>
  <r>
    <d v="2014-06-21T00:00:00"/>
    <n v="9400"/>
    <n v="1958"/>
    <x v="0"/>
    <s v="2n Cycle"/>
    <s v="Single"/>
    <n v="85485"/>
    <n v="0"/>
    <n v="73"/>
    <n v="630"/>
    <n v="26"/>
    <n v="611"/>
    <n v="44"/>
    <n v="18"/>
    <n v="54"/>
    <n v="1383"/>
    <n v="1"/>
    <n v="6"/>
    <n v="6"/>
    <n v="6"/>
    <n v="2"/>
    <n v="0"/>
    <n v="0"/>
    <n v="0"/>
    <n v="0"/>
    <n v="0"/>
    <n v="0"/>
    <n v="0"/>
  </r>
  <r>
    <d v="2014-03-31T00:00:00"/>
    <n v="7106"/>
    <n v="1943"/>
    <x v="0"/>
    <s v="PhD"/>
    <s v="Married"/>
    <n v="75865"/>
    <n v="0"/>
    <n v="73"/>
    <n v="483"/>
    <n v="0"/>
    <n v="591"/>
    <n v="156"/>
    <n v="0"/>
    <n v="12"/>
    <n v="1242"/>
    <n v="1"/>
    <n v="3"/>
    <n v="5"/>
    <n v="10"/>
    <n v="1"/>
    <n v="0"/>
    <n v="0"/>
    <n v="0"/>
    <n v="0"/>
    <n v="0"/>
    <n v="0"/>
    <n v="0"/>
  </r>
  <r>
    <d v="2014-03-23T00:00:00"/>
    <n v="4252"/>
    <n v="1965"/>
    <x v="0"/>
    <s v="Graduation"/>
    <s v="Married"/>
    <n v="44375"/>
    <n v="1"/>
    <n v="73"/>
    <n v="213"/>
    <n v="5"/>
    <n v="28"/>
    <n v="7"/>
    <n v="7"/>
    <n v="41"/>
    <n v="301"/>
    <n v="1"/>
    <n v="4"/>
    <n v="1"/>
    <n v="6"/>
    <n v="5"/>
    <n v="0"/>
    <n v="0"/>
    <n v="0"/>
    <n v="0"/>
    <n v="0"/>
    <n v="0"/>
    <n v="0"/>
  </r>
  <r>
    <d v="2014-02-07T00:00:00"/>
    <n v="9240"/>
    <n v="1971"/>
    <x v="0"/>
    <s v="PhD"/>
    <s v="Single"/>
    <n v="60504"/>
    <n v="1"/>
    <n v="73"/>
    <n v="458"/>
    <n v="0"/>
    <n v="24"/>
    <n v="6"/>
    <n v="4"/>
    <n v="34"/>
    <n v="526"/>
    <n v="2"/>
    <n v="6"/>
    <n v="2"/>
    <n v="8"/>
    <n v="6"/>
    <n v="0"/>
    <n v="0"/>
    <n v="0"/>
    <n v="0"/>
    <n v="0"/>
    <n v="0"/>
    <n v="0"/>
  </r>
  <r>
    <d v="2014-01-26T00:00:00"/>
    <n v="10770"/>
    <n v="1959"/>
    <x v="1"/>
    <s v="Graduation"/>
    <s v="Married"/>
    <n v="65492"/>
    <n v="0"/>
    <n v="73"/>
    <n v="247"/>
    <n v="161"/>
    <n v="295"/>
    <n v="210"/>
    <n v="85"/>
    <n v="47"/>
    <n v="1045"/>
    <n v="2"/>
    <n v="4"/>
    <n v="7"/>
    <n v="13"/>
    <n v="2"/>
    <n v="0"/>
    <n v="0"/>
    <n v="0"/>
    <n v="0"/>
    <n v="0"/>
    <n v="0"/>
    <n v="0"/>
  </r>
  <r>
    <d v="2014-01-02T00:00:00"/>
    <n v="176"/>
    <n v="1980"/>
    <x v="0"/>
    <s v="2n Cycle"/>
    <s v="Single"/>
    <n v="67506"/>
    <n v="1"/>
    <n v="73"/>
    <n v="90"/>
    <n v="38"/>
    <n v="67"/>
    <n v="33"/>
    <n v="36"/>
    <n v="67"/>
    <n v="331"/>
    <n v="1"/>
    <n v="4"/>
    <n v="1"/>
    <n v="6"/>
    <n v="3"/>
    <n v="0"/>
    <n v="0"/>
    <n v="0"/>
    <n v="0"/>
    <n v="0"/>
    <n v="0"/>
    <n v="0"/>
  </r>
  <r>
    <d v="2013-09-17T00:00:00"/>
    <n v="6870"/>
    <n v="1959"/>
    <x v="0"/>
    <s v="PhD"/>
    <s v="Divorced"/>
    <n v="68805"/>
    <n v="1"/>
    <n v="73"/>
    <n v="182"/>
    <n v="2"/>
    <n v="49"/>
    <n v="17"/>
    <n v="13"/>
    <n v="20"/>
    <n v="283"/>
    <n v="1"/>
    <n v="3"/>
    <n v="1"/>
    <n v="7"/>
    <n v="2"/>
    <n v="0"/>
    <n v="0"/>
    <n v="0"/>
    <n v="0"/>
    <n v="0"/>
    <n v="0"/>
    <n v="0"/>
  </r>
  <r>
    <d v="2013-08-25T00:00:00"/>
    <n v="143"/>
    <n v="1970"/>
    <x v="2"/>
    <s v="Graduation"/>
    <s v="Single"/>
    <n v="61209"/>
    <n v="0"/>
    <n v="73"/>
    <n v="466"/>
    <n v="0"/>
    <n v="224"/>
    <n v="119"/>
    <n v="49"/>
    <n v="99"/>
    <n v="957"/>
    <n v="1"/>
    <n v="5"/>
    <n v="3"/>
    <n v="4"/>
    <n v="2"/>
    <n v="0"/>
    <n v="0"/>
    <n v="0"/>
    <n v="0"/>
    <n v="0"/>
    <n v="0"/>
    <n v="0"/>
  </r>
  <r>
    <d v="2013-07-14T00:00:00"/>
    <n v="6445"/>
    <n v="1967"/>
    <x v="6"/>
    <s v="Graduation"/>
    <s v="Together"/>
    <n v="66825"/>
    <n v="0"/>
    <n v="73"/>
    <n v="243"/>
    <n v="101"/>
    <n v="405"/>
    <n v="29"/>
    <n v="40"/>
    <n v="40"/>
    <n v="858"/>
    <n v="1"/>
    <n v="4"/>
    <n v="5"/>
    <n v="6"/>
    <n v="2"/>
    <n v="0"/>
    <n v="0"/>
    <n v="0"/>
    <n v="0"/>
    <n v="0"/>
    <n v="0"/>
    <n v="0"/>
  </r>
  <r>
    <d v="2013-06-03T00:00:00"/>
    <n v="4278"/>
    <n v="1983"/>
    <x v="5"/>
    <s v="PhD"/>
    <s v="Single"/>
    <n v="87188"/>
    <n v="0"/>
    <n v="73"/>
    <n v="910"/>
    <n v="111"/>
    <n v="724"/>
    <n v="49"/>
    <n v="74"/>
    <n v="55"/>
    <n v="1923"/>
    <n v="1"/>
    <n v="10"/>
    <n v="2"/>
    <n v="6"/>
    <n v="3"/>
    <n v="0"/>
    <n v="0"/>
    <n v="0"/>
    <n v="0"/>
    <n v="0"/>
    <n v="1"/>
    <n v="0"/>
  </r>
  <r>
    <d v="2013-06-03T00:00:00"/>
    <n v="6906"/>
    <n v="1953"/>
    <x v="0"/>
    <s v="Master"/>
    <s v="Widow"/>
    <n v="84953"/>
    <n v="0"/>
    <n v="73"/>
    <n v="167"/>
    <n v="48"/>
    <n v="602"/>
    <n v="63"/>
    <n v="72"/>
    <n v="72"/>
    <n v="1024"/>
    <n v="1"/>
    <n v="3"/>
    <n v="10"/>
    <n v="4"/>
    <n v="2"/>
    <n v="0"/>
    <n v="1"/>
    <n v="1"/>
    <n v="1"/>
    <n v="0"/>
    <n v="1"/>
    <n v="0"/>
  </r>
  <r>
    <d v="2013-05-18T00:00:00"/>
    <n v="4637"/>
    <n v="1954"/>
    <x v="6"/>
    <s v="PhD"/>
    <s v="Single"/>
    <n v="74637"/>
    <n v="0"/>
    <n v="73"/>
    <n v="960"/>
    <n v="64"/>
    <n v="464"/>
    <n v="146"/>
    <n v="0"/>
    <n v="16"/>
    <n v="1650"/>
    <n v="1"/>
    <n v="6"/>
    <n v="9"/>
    <n v="9"/>
    <n v="3"/>
    <n v="0"/>
    <n v="0"/>
    <n v="0"/>
    <n v="1"/>
    <n v="0"/>
    <n v="0"/>
    <n v="0"/>
  </r>
  <r>
    <d v="2013-04-19T00:00:00"/>
    <n v="8690"/>
    <n v="1962"/>
    <x v="1"/>
    <s v="Graduation"/>
    <s v="Married"/>
    <n v="86111"/>
    <n v="0"/>
    <n v="73"/>
    <n v="399"/>
    <n v="28"/>
    <n v="756"/>
    <n v="36"/>
    <n v="40"/>
    <n v="126"/>
    <n v="1385"/>
    <n v="1"/>
    <n v="5"/>
    <n v="7"/>
    <n v="10"/>
    <n v="2"/>
    <n v="0"/>
    <n v="0"/>
    <n v="0"/>
    <n v="0"/>
    <n v="0"/>
    <n v="0"/>
    <n v="0"/>
  </r>
  <r>
    <d v="2013-03-10T00:00:00"/>
    <n v="1173"/>
    <n v="1947"/>
    <x v="0"/>
    <s v="Master"/>
    <s v="Together"/>
    <n v="77632"/>
    <n v="0"/>
    <n v="73"/>
    <n v="1200"/>
    <n v="105"/>
    <n v="758"/>
    <n v="0"/>
    <n v="42"/>
    <n v="147"/>
    <n v="2252"/>
    <n v="1"/>
    <n v="4"/>
    <n v="2"/>
    <n v="6"/>
    <n v="2"/>
    <n v="0"/>
    <n v="1"/>
    <n v="1"/>
    <n v="0"/>
    <n v="0"/>
    <n v="1"/>
    <n v="0"/>
  </r>
  <r>
    <d v="2013-02-09T00:00:00"/>
    <n v="1928"/>
    <n v="1973"/>
    <x v="6"/>
    <s v="Graduation"/>
    <s v="Married"/>
    <n v="31814"/>
    <n v="1"/>
    <n v="73"/>
    <n v="35"/>
    <n v="3"/>
    <n v="20"/>
    <n v="4"/>
    <n v="1"/>
    <n v="20"/>
    <n v="83"/>
    <n v="2"/>
    <n v="2"/>
    <n v="0"/>
    <n v="3"/>
    <n v="9"/>
    <n v="1"/>
    <n v="0"/>
    <n v="0"/>
    <n v="0"/>
    <n v="0"/>
    <n v="0"/>
    <n v="0"/>
  </r>
  <r>
    <d v="2013-01-26T00:00:00"/>
    <n v="9029"/>
    <n v="1972"/>
    <x v="0"/>
    <s v="PhD"/>
    <s v="Married"/>
    <n v="70116"/>
    <n v="0"/>
    <n v="73"/>
    <n v="707"/>
    <n v="44"/>
    <n v="603"/>
    <n v="95"/>
    <n v="58"/>
    <n v="29"/>
    <n v="1536"/>
    <n v="1"/>
    <n v="2"/>
    <n v="8"/>
    <n v="12"/>
    <n v="1"/>
    <n v="0"/>
    <n v="0"/>
    <n v="0"/>
    <n v="0"/>
    <n v="0"/>
    <n v="0"/>
    <n v="0"/>
  </r>
  <r>
    <d v="2012-11-09T00:00:00"/>
    <n v="10299"/>
    <n v="1969"/>
    <x v="0"/>
    <s v="PhD"/>
    <s v="Single"/>
    <n v="48240"/>
    <n v="0"/>
    <n v="73"/>
    <n v="389"/>
    <n v="91"/>
    <n v="248"/>
    <n v="64"/>
    <n v="49"/>
    <n v="41"/>
    <n v="882"/>
    <n v="3"/>
    <n v="6"/>
    <n v="3"/>
    <n v="13"/>
    <n v="5"/>
    <n v="0"/>
    <n v="0"/>
    <n v="0"/>
    <n v="0"/>
    <n v="0"/>
    <n v="1"/>
    <n v="0"/>
  </r>
  <r>
    <d v="2012-10-14T00:00:00"/>
    <n v="9246"/>
    <n v="1985"/>
    <x v="5"/>
    <s v="Master"/>
    <s v="Together"/>
    <n v="40101"/>
    <n v="1"/>
    <n v="73"/>
    <n v="171"/>
    <n v="3"/>
    <n v="129"/>
    <n v="26"/>
    <n v="24"/>
    <n v="62"/>
    <n v="415"/>
    <n v="4"/>
    <n v="6"/>
    <n v="1"/>
    <n v="6"/>
    <n v="7"/>
    <n v="0"/>
    <n v="0"/>
    <n v="0"/>
    <n v="0"/>
    <n v="0"/>
    <n v="0"/>
    <n v="0"/>
  </r>
  <r>
    <d v="2012-09-30T00:00:00"/>
    <n v="4943"/>
    <n v="1953"/>
    <x v="0"/>
    <s v="Graduation"/>
    <s v="Married"/>
    <n v="70503"/>
    <n v="0"/>
    <n v="73"/>
    <n v="1379"/>
    <n v="33"/>
    <n v="216"/>
    <n v="0"/>
    <n v="33"/>
    <n v="66"/>
    <n v="1727"/>
    <n v="1"/>
    <n v="2"/>
    <n v="4"/>
    <n v="9"/>
    <n v="6"/>
    <n v="0"/>
    <n v="1"/>
    <n v="1"/>
    <n v="0"/>
    <n v="0"/>
    <n v="0"/>
    <n v="0"/>
  </r>
  <r>
    <d v="2012-08-29T00:00:00"/>
    <n v="4122"/>
    <n v="1975"/>
    <x v="0"/>
    <s v="Graduation"/>
    <s v="Married"/>
    <n v="79205"/>
    <n v="0"/>
    <n v="73"/>
    <n v="504"/>
    <n v="23"/>
    <n v="117"/>
    <n v="179"/>
    <n v="28"/>
    <n v="44"/>
    <n v="895"/>
    <n v="1"/>
    <n v="6"/>
    <n v="5"/>
    <n v="4"/>
    <n v="4"/>
    <n v="0"/>
    <n v="0"/>
    <n v="0"/>
    <n v="1"/>
    <n v="0"/>
    <n v="1"/>
    <n v="0"/>
  </r>
  <r>
    <d v="2014-03-11T00:00:00"/>
    <n v="2853"/>
    <n v="1980"/>
    <x v="1"/>
    <s v="Graduation"/>
    <s v="Single"/>
    <n v="51766"/>
    <n v="1"/>
    <n v="74"/>
    <n v="60"/>
    <n v="51"/>
    <n v="87"/>
    <n v="6"/>
    <n v="20"/>
    <n v="51"/>
    <n v="275"/>
    <n v="2"/>
    <n v="4"/>
    <n v="2"/>
    <n v="4"/>
    <n v="5"/>
    <n v="0"/>
    <n v="0"/>
    <n v="0"/>
    <n v="0"/>
    <n v="0"/>
    <n v="0"/>
    <n v="0"/>
  </r>
  <r>
    <d v="2014-03-04T00:00:00"/>
    <n v="902"/>
    <n v="1980"/>
    <x v="1"/>
    <s v="Graduation"/>
    <s v="Together"/>
    <n v="62994"/>
    <n v="1"/>
    <n v="74"/>
    <n v="224"/>
    <n v="12"/>
    <n v="48"/>
    <n v="4"/>
    <n v="12"/>
    <n v="12"/>
    <n v="312"/>
    <n v="1"/>
    <n v="6"/>
    <n v="2"/>
    <n v="4"/>
    <n v="6"/>
    <n v="0"/>
    <n v="0"/>
    <n v="0"/>
    <n v="0"/>
    <n v="0"/>
    <n v="0"/>
    <n v="0"/>
  </r>
  <r>
    <d v="2014-03-01T00:00:00"/>
    <n v="1672"/>
    <n v="1974"/>
    <x v="6"/>
    <s v="PhD"/>
    <s v="Together"/>
    <n v="65640"/>
    <n v="1"/>
    <n v="74"/>
    <n v="204"/>
    <n v="7"/>
    <n v="149"/>
    <n v="20"/>
    <n v="15"/>
    <n v="66"/>
    <n v="461"/>
    <n v="1"/>
    <n v="5"/>
    <n v="1"/>
    <n v="8"/>
    <n v="2"/>
    <n v="0"/>
    <n v="0"/>
    <n v="0"/>
    <n v="0"/>
    <n v="0"/>
    <n v="0"/>
    <n v="0"/>
  </r>
  <r>
    <d v="2013-12-27T00:00:00"/>
    <n v="7254"/>
    <n v="1969"/>
    <x v="6"/>
    <s v="Graduation"/>
    <s v="Together"/>
    <n v="38361"/>
    <n v="1"/>
    <n v="74"/>
    <n v="39"/>
    <n v="0"/>
    <n v="56"/>
    <n v="20"/>
    <n v="8"/>
    <n v="14"/>
    <n v="137"/>
    <n v="3"/>
    <n v="3"/>
    <n v="1"/>
    <n v="3"/>
    <n v="7"/>
    <n v="0"/>
    <n v="0"/>
    <n v="0"/>
    <n v="0"/>
    <n v="0"/>
    <n v="0"/>
    <n v="0"/>
  </r>
  <r>
    <d v="2013-12-27T00:00:00"/>
    <n v="8775"/>
    <n v="1969"/>
    <x v="3"/>
    <s v="Graduation"/>
    <s v="Together"/>
    <n v="38361"/>
    <n v="1"/>
    <n v="74"/>
    <n v="39"/>
    <n v="0"/>
    <n v="56"/>
    <n v="20"/>
    <n v="8"/>
    <n v="14"/>
    <n v="137"/>
    <n v="3"/>
    <n v="3"/>
    <n v="1"/>
    <n v="3"/>
    <n v="7"/>
    <n v="0"/>
    <n v="0"/>
    <n v="0"/>
    <n v="0"/>
    <n v="0"/>
    <n v="0"/>
    <n v="0"/>
  </r>
  <r>
    <d v="2013-11-14T00:00:00"/>
    <n v="9543"/>
    <n v="1985"/>
    <x v="0"/>
    <s v="Graduation"/>
    <s v="Married"/>
    <n v="19986"/>
    <n v="1"/>
    <n v="74"/>
    <n v="3"/>
    <n v="6"/>
    <n v="5"/>
    <n v="0"/>
    <n v="2"/>
    <n v="6"/>
    <n v="22"/>
    <n v="1"/>
    <n v="0"/>
    <n v="0"/>
    <n v="3"/>
    <n v="7"/>
    <n v="0"/>
    <n v="0"/>
    <n v="0"/>
    <n v="0"/>
    <n v="0"/>
    <n v="0"/>
    <n v="0"/>
  </r>
  <r>
    <d v="2013-11-14T00:00:00"/>
    <n v="7093"/>
    <n v="1985"/>
    <x v="0"/>
    <s v="Graduation"/>
    <s v="Married"/>
    <n v="19986"/>
    <n v="1"/>
    <n v="74"/>
    <n v="3"/>
    <n v="6"/>
    <n v="5"/>
    <n v="0"/>
    <n v="2"/>
    <n v="6"/>
    <n v="22"/>
    <n v="1"/>
    <n v="0"/>
    <n v="0"/>
    <n v="3"/>
    <n v="7"/>
    <n v="0"/>
    <n v="0"/>
    <n v="0"/>
    <n v="0"/>
    <n v="0"/>
    <n v="0"/>
    <n v="0"/>
  </r>
  <r>
    <d v="2013-10-29T00:00:00"/>
    <n v="2894"/>
    <n v="1985"/>
    <x v="0"/>
    <s v="Graduation"/>
    <s v="Single"/>
    <n v="72903"/>
    <n v="0"/>
    <n v="74"/>
    <n v="1067"/>
    <n v="138"/>
    <n v="750"/>
    <n v="0"/>
    <n v="19"/>
    <n v="39"/>
    <n v="2013"/>
    <n v="1"/>
    <n v="7"/>
    <n v="5"/>
    <n v="8"/>
    <n v="4"/>
    <n v="0"/>
    <n v="1"/>
    <n v="1"/>
    <n v="1"/>
    <n v="0"/>
    <n v="1"/>
    <n v="0"/>
  </r>
  <r>
    <d v="2013-10-16T00:00:00"/>
    <n v="5956"/>
    <n v="1948"/>
    <x v="3"/>
    <s v="PhD"/>
    <s v="Divorced"/>
    <n v="45072"/>
    <n v="3"/>
    <n v="74"/>
    <n v="144"/>
    <n v="2"/>
    <n v="99"/>
    <n v="7"/>
    <n v="2"/>
    <n v="30"/>
    <n v="284"/>
    <n v="5"/>
    <n v="6"/>
    <n v="1"/>
    <n v="4"/>
    <n v="8"/>
    <n v="0"/>
    <n v="0"/>
    <n v="0"/>
    <n v="0"/>
    <n v="0"/>
    <n v="0"/>
    <n v="0"/>
  </r>
  <r>
    <d v="2013-10-03T00:00:00"/>
    <n v="1921"/>
    <n v="1967"/>
    <x v="0"/>
    <s v="PhD"/>
    <s v="Married"/>
    <n v="59062"/>
    <n v="3"/>
    <n v="74"/>
    <n v="46"/>
    <n v="1"/>
    <n v="12"/>
    <n v="3"/>
    <n v="0"/>
    <n v="9"/>
    <n v="71"/>
    <n v="2"/>
    <n v="2"/>
    <n v="0"/>
    <n v="3"/>
    <n v="4"/>
    <n v="0"/>
    <n v="0"/>
    <n v="0"/>
    <n v="0"/>
    <n v="0"/>
    <n v="0"/>
    <n v="0"/>
  </r>
  <r>
    <d v="2013-09-14T00:00:00"/>
    <n v="5057"/>
    <n v="1961"/>
    <x v="0"/>
    <s v="Master"/>
    <s v="Married"/>
    <n v="61794"/>
    <n v="1"/>
    <n v="74"/>
    <n v="264"/>
    <n v="47"/>
    <n v="188"/>
    <n v="54"/>
    <n v="47"/>
    <n v="11"/>
    <n v="611"/>
    <n v="2"/>
    <n v="4"/>
    <n v="4"/>
    <n v="10"/>
    <n v="2"/>
    <n v="0"/>
    <n v="0"/>
    <n v="0"/>
    <n v="0"/>
    <n v="0"/>
    <n v="0"/>
    <n v="0"/>
  </r>
  <r>
    <d v="2013-08-26T00:00:00"/>
    <n v="10260"/>
    <n v="1965"/>
    <x v="0"/>
    <s v="Master"/>
    <s v="Together"/>
    <n v="45143"/>
    <n v="1"/>
    <n v="74"/>
    <n v="202"/>
    <n v="5"/>
    <n v="74"/>
    <n v="11"/>
    <n v="5"/>
    <n v="14"/>
    <n v="311"/>
    <n v="3"/>
    <n v="6"/>
    <n v="1"/>
    <n v="5"/>
    <n v="7"/>
    <n v="0"/>
    <n v="0"/>
    <n v="0"/>
    <n v="0"/>
    <n v="0"/>
    <n v="0"/>
    <n v="0"/>
  </r>
  <r>
    <d v="2013-08-26T00:00:00"/>
    <n v="2262"/>
    <n v="1965"/>
    <x v="6"/>
    <s v="Master"/>
    <s v="Together"/>
    <n v="45143"/>
    <n v="1"/>
    <n v="74"/>
    <n v="202"/>
    <n v="5"/>
    <n v="74"/>
    <n v="11"/>
    <n v="5"/>
    <n v="14"/>
    <n v="311"/>
    <n v="3"/>
    <n v="6"/>
    <n v="1"/>
    <n v="5"/>
    <n v="7"/>
    <n v="0"/>
    <n v="0"/>
    <n v="0"/>
    <n v="0"/>
    <n v="0"/>
    <n v="0"/>
    <n v="0"/>
  </r>
  <r>
    <d v="2013-08-19T00:00:00"/>
    <n v="7930"/>
    <n v="1969"/>
    <x v="0"/>
    <s v="Master"/>
    <s v="Single"/>
    <n v="26877"/>
    <n v="0"/>
    <n v="74"/>
    <n v="101"/>
    <n v="13"/>
    <n v="76"/>
    <n v="20"/>
    <n v="18"/>
    <n v="40"/>
    <n v="268"/>
    <n v="2"/>
    <n v="3"/>
    <n v="1"/>
    <n v="6"/>
    <n v="6"/>
    <n v="0"/>
    <n v="0"/>
    <n v="0"/>
    <n v="0"/>
    <n v="0"/>
    <n v="0"/>
    <n v="0"/>
  </r>
  <r>
    <d v="2013-07-28T00:00:00"/>
    <n v="1461"/>
    <n v="1965"/>
    <x v="1"/>
    <s v="PhD"/>
    <s v="Divorced"/>
    <n v="36921"/>
    <n v="2"/>
    <n v="74"/>
    <n v="17"/>
    <n v="1"/>
    <n v="12"/>
    <n v="3"/>
    <n v="1"/>
    <n v="4"/>
    <n v="38"/>
    <n v="2"/>
    <n v="2"/>
    <n v="0"/>
    <n v="3"/>
    <n v="7"/>
    <n v="0"/>
    <n v="0"/>
    <n v="0"/>
    <n v="0"/>
    <n v="0"/>
    <n v="0"/>
    <n v="0"/>
  </r>
  <r>
    <d v="2013-07-03T00:00:00"/>
    <n v="7514"/>
    <n v="1956"/>
    <x v="3"/>
    <s v="2n Cycle"/>
    <s v="Together"/>
    <n v="54342"/>
    <n v="2"/>
    <n v="74"/>
    <n v="84"/>
    <n v="10"/>
    <n v="34"/>
    <n v="11"/>
    <n v="10"/>
    <n v="28"/>
    <n v="177"/>
    <n v="4"/>
    <n v="3"/>
    <n v="1"/>
    <n v="4"/>
    <n v="6"/>
    <n v="0"/>
    <n v="0"/>
    <n v="0"/>
    <n v="0"/>
    <n v="0"/>
    <n v="0"/>
    <n v="0"/>
  </r>
  <r>
    <d v="2013-05-19T00:00:00"/>
    <n v="6461"/>
    <n v="1969"/>
    <x v="0"/>
    <s v="Master"/>
    <s v="Single"/>
    <n v="62772"/>
    <n v="1"/>
    <n v="74"/>
    <n v="581"/>
    <n v="49"/>
    <n v="157"/>
    <n v="43"/>
    <n v="8"/>
    <n v="108"/>
    <n v="946"/>
    <n v="1"/>
    <n v="5"/>
    <n v="6"/>
    <n v="11"/>
    <n v="2"/>
    <n v="0"/>
    <n v="1"/>
    <n v="0"/>
    <n v="0"/>
    <n v="0"/>
    <n v="0"/>
    <n v="0"/>
  </r>
  <r>
    <d v="2013-04-28T00:00:00"/>
    <n v="257"/>
    <n v="1959"/>
    <x v="0"/>
    <s v="PhD"/>
    <s v="Married"/>
    <n v="75032"/>
    <n v="1"/>
    <n v="74"/>
    <n v="952"/>
    <n v="12"/>
    <n v="180"/>
    <n v="47"/>
    <n v="12"/>
    <n v="12"/>
    <n v="1215"/>
    <n v="2"/>
    <n v="5"/>
    <n v="4"/>
    <n v="9"/>
    <n v="3"/>
    <n v="0"/>
    <n v="0"/>
    <n v="0"/>
    <n v="0"/>
    <n v="0"/>
    <n v="0"/>
    <n v="0"/>
  </r>
  <r>
    <d v="2013-04-18T00:00:00"/>
    <n v="9460"/>
    <n v="1963"/>
    <x v="0"/>
    <s v="Graduation"/>
    <s v="Married"/>
    <n v="22419"/>
    <n v="0"/>
    <n v="74"/>
    <n v="30"/>
    <n v="3"/>
    <n v="47"/>
    <n v="19"/>
    <n v="21"/>
    <n v="42"/>
    <n v="162"/>
    <n v="1"/>
    <n v="3"/>
    <n v="2"/>
    <n v="2"/>
    <n v="8"/>
    <n v="0"/>
    <n v="0"/>
    <n v="0"/>
    <n v="0"/>
    <n v="0"/>
    <n v="0"/>
    <n v="0"/>
  </r>
  <r>
    <d v="2013-04-18T00:00:00"/>
    <n v="3855"/>
    <n v="1963"/>
    <x v="1"/>
    <s v="Graduation"/>
    <s v="Married"/>
    <n v="22419"/>
    <n v="0"/>
    <n v="74"/>
    <n v="30"/>
    <n v="3"/>
    <n v="47"/>
    <n v="19"/>
    <n v="21"/>
    <n v="42"/>
    <n v="162"/>
    <n v="1"/>
    <n v="3"/>
    <n v="2"/>
    <n v="2"/>
    <n v="8"/>
    <n v="0"/>
    <n v="0"/>
    <n v="0"/>
    <n v="0"/>
    <n v="0"/>
    <n v="0"/>
    <n v="0"/>
  </r>
  <r>
    <d v="2013-02-19T00:00:00"/>
    <n v="367"/>
    <n v="1978"/>
    <x v="1"/>
    <s v="2n Cycle"/>
    <s v="Married"/>
    <n v="36550"/>
    <n v="1"/>
    <n v="74"/>
    <n v="47"/>
    <n v="90"/>
    <n v="94"/>
    <n v="123"/>
    <n v="103"/>
    <n v="120"/>
    <n v="577"/>
    <n v="5"/>
    <n v="9"/>
    <n v="1"/>
    <n v="5"/>
    <n v="9"/>
    <n v="0"/>
    <n v="0"/>
    <n v="0"/>
    <n v="0"/>
    <n v="0"/>
    <n v="0"/>
    <n v="0"/>
  </r>
  <r>
    <d v="2013-01-09T00:00:00"/>
    <n v="9265"/>
    <n v="1953"/>
    <x v="6"/>
    <s v="Graduation"/>
    <s v="Married"/>
    <n v="75027"/>
    <n v="1"/>
    <n v="74"/>
    <n v="925"/>
    <n v="64"/>
    <n v="179"/>
    <n v="133"/>
    <n v="12"/>
    <n v="77"/>
    <n v="1390"/>
    <n v="2"/>
    <n v="9"/>
    <n v="4"/>
    <n v="6"/>
    <n v="5"/>
    <n v="0"/>
    <n v="0"/>
    <n v="0"/>
    <n v="0"/>
    <n v="0"/>
    <n v="0"/>
    <n v="0"/>
  </r>
  <r>
    <d v="2012-11-05T00:00:00"/>
    <n v="1990"/>
    <n v="1974"/>
    <x v="0"/>
    <s v="PhD"/>
    <s v="Single"/>
    <n v="63159"/>
    <n v="0"/>
    <n v="74"/>
    <n v="965"/>
    <n v="34"/>
    <n v="586"/>
    <n v="89"/>
    <n v="86"/>
    <n v="37"/>
    <n v="1797"/>
    <n v="1"/>
    <n v="3"/>
    <n v="5"/>
    <n v="8"/>
    <n v="3"/>
    <n v="1"/>
    <n v="0"/>
    <n v="0"/>
    <n v="0"/>
    <n v="0"/>
    <n v="0"/>
    <n v="0"/>
  </r>
  <r>
    <d v="2012-11-05T00:00:00"/>
    <n v="3594"/>
    <n v="1973"/>
    <x v="1"/>
    <s v="Master"/>
    <s v="Married"/>
    <n v="54108"/>
    <n v="2"/>
    <n v="74"/>
    <n v="539"/>
    <n v="6"/>
    <n v="91"/>
    <n v="8"/>
    <n v="6"/>
    <n v="97"/>
    <n v="747"/>
    <n v="13"/>
    <n v="8"/>
    <n v="2"/>
    <n v="9"/>
    <n v="8"/>
    <n v="0"/>
    <n v="0"/>
    <n v="0"/>
    <n v="0"/>
    <n v="0"/>
    <n v="0"/>
    <n v="0"/>
  </r>
  <r>
    <d v="2012-10-26T00:00:00"/>
    <n v="9292"/>
    <n v="1952"/>
    <x v="0"/>
    <s v="Graduation"/>
    <s v="Married"/>
    <n v="81795"/>
    <n v="0"/>
    <n v="74"/>
    <n v="324"/>
    <n v="132"/>
    <n v="693"/>
    <n v="27"/>
    <n v="118"/>
    <n v="88"/>
    <n v="1382"/>
    <n v="1"/>
    <n v="4"/>
    <n v="11"/>
    <n v="7"/>
    <n v="2"/>
    <n v="0"/>
    <n v="0"/>
    <n v="0"/>
    <n v="0"/>
    <n v="0"/>
    <n v="0"/>
    <n v="0"/>
  </r>
  <r>
    <d v="2012-10-20T00:00:00"/>
    <n v="6218"/>
    <n v="1965"/>
    <x v="0"/>
    <s v="Graduation"/>
    <s v="Married"/>
    <n v="59594"/>
    <n v="1"/>
    <n v="74"/>
    <n v="457"/>
    <n v="4"/>
    <n v="29"/>
    <n v="0"/>
    <n v="0"/>
    <n v="9"/>
    <n v="499"/>
    <n v="1"/>
    <n v="8"/>
    <n v="1"/>
    <n v="7"/>
    <n v="7"/>
    <n v="0"/>
    <n v="1"/>
    <n v="0"/>
    <n v="0"/>
    <n v="0"/>
    <n v="0"/>
    <n v="0"/>
  </r>
  <r>
    <d v="2014-06-05T00:00:00"/>
    <n v="6528"/>
    <n v="1982"/>
    <x v="0"/>
    <s v="Master"/>
    <s v="Together"/>
    <n v="18492"/>
    <n v="1"/>
    <n v="75"/>
    <n v="2"/>
    <n v="2"/>
    <n v="2"/>
    <n v="2"/>
    <n v="1"/>
    <n v="1"/>
    <n v="10"/>
    <n v="1"/>
    <n v="1"/>
    <n v="0"/>
    <n v="2"/>
    <n v="8"/>
    <n v="0"/>
    <n v="0"/>
    <n v="0"/>
    <n v="0"/>
    <n v="0"/>
    <n v="0"/>
    <n v="0"/>
  </r>
  <r>
    <d v="2014-04-03T00:00:00"/>
    <n v="10164"/>
    <n v="1958"/>
    <x v="0"/>
    <s v="Graduation"/>
    <s v="Single"/>
    <n v="94472"/>
    <n v="1"/>
    <n v="75"/>
    <n v="1017"/>
    <n v="33"/>
    <n v="417"/>
    <n v="108"/>
    <n v="100"/>
    <n v="16"/>
    <n v="1691"/>
    <n v="1"/>
    <n v="5"/>
    <n v="5"/>
    <n v="5"/>
    <n v="5"/>
    <n v="0"/>
    <n v="1"/>
    <n v="1"/>
    <n v="0"/>
    <n v="0"/>
    <n v="0"/>
    <n v="0"/>
  </r>
  <r>
    <d v="2014-01-02T00:00:00"/>
    <n v="9937"/>
    <n v="1979"/>
    <x v="2"/>
    <s v="Graduation"/>
    <s v="Single"/>
    <n v="70337"/>
    <n v="0"/>
    <n v="75"/>
    <n v="187"/>
    <n v="81"/>
    <n v="149"/>
    <n v="25"/>
    <n v="43"/>
    <n v="91"/>
    <n v="576"/>
    <n v="1"/>
    <n v="2"/>
    <n v="2"/>
    <n v="12"/>
    <n v="1"/>
    <n v="0"/>
    <n v="0"/>
    <n v="0"/>
    <n v="0"/>
    <n v="0"/>
    <n v="0"/>
    <n v="0"/>
  </r>
  <r>
    <d v="2013-12-23T00:00:00"/>
    <n v="274"/>
    <n v="1973"/>
    <x v="4"/>
    <s v="Graduation"/>
    <s v="Single"/>
    <n v="34853"/>
    <n v="2"/>
    <n v="75"/>
    <n v="9"/>
    <n v="3"/>
    <n v="15"/>
    <n v="2"/>
    <n v="3"/>
    <n v="2"/>
    <n v="34"/>
    <n v="2"/>
    <n v="2"/>
    <n v="0"/>
    <n v="3"/>
    <n v="6"/>
    <n v="0"/>
    <n v="0"/>
    <n v="0"/>
    <n v="0"/>
    <n v="0"/>
    <n v="0"/>
    <n v="0"/>
  </r>
  <r>
    <d v="2013-10-30T00:00:00"/>
    <n v="5250"/>
    <n v="1943"/>
    <x v="3"/>
    <s v="Master"/>
    <s v="Widow"/>
    <n v="53790.45"/>
    <n v="0"/>
    <n v="75"/>
    <n v="532"/>
    <n v="126"/>
    <n v="490"/>
    <n v="164"/>
    <n v="126"/>
    <n v="126"/>
    <n v="1564"/>
    <n v="1"/>
    <n v="5"/>
    <n v="5"/>
    <n v="11"/>
    <n v="1"/>
    <n v="0"/>
    <n v="0"/>
    <n v="1"/>
    <n v="0"/>
    <n v="0"/>
    <n v="1"/>
    <n v="0"/>
  </r>
  <r>
    <d v="2013-08-30T00:00:00"/>
    <n v="11010"/>
    <n v="1984"/>
    <x v="0"/>
    <s v="PhD"/>
    <s v="Single"/>
    <n v="16269"/>
    <n v="1"/>
    <n v="75"/>
    <n v="19"/>
    <n v="3"/>
    <n v="18"/>
    <n v="3"/>
    <n v="1"/>
    <n v="0"/>
    <n v="44"/>
    <n v="3"/>
    <n v="3"/>
    <n v="0"/>
    <n v="3"/>
    <n v="8"/>
    <n v="0"/>
    <n v="0"/>
    <n v="0"/>
    <n v="0"/>
    <n v="0"/>
    <n v="0"/>
    <n v="0"/>
  </r>
  <r>
    <d v="2013-08-07T00:00:00"/>
    <n v="6969"/>
    <n v="1982"/>
    <x v="3"/>
    <s v="Graduation"/>
    <s v="Together"/>
    <n v="50272"/>
    <n v="1"/>
    <n v="75"/>
    <n v="99"/>
    <n v="13"/>
    <n v="66"/>
    <n v="43"/>
    <n v="8"/>
    <n v="4"/>
    <n v="233"/>
    <n v="3"/>
    <n v="4"/>
    <n v="1"/>
    <n v="5"/>
    <n v="7"/>
    <n v="0"/>
    <n v="0"/>
    <n v="0"/>
    <n v="0"/>
    <n v="0"/>
    <n v="0"/>
    <n v="0"/>
  </r>
  <r>
    <d v="2013-07-31T00:00:00"/>
    <n v="10735"/>
    <n v="1971"/>
    <x v="6"/>
    <s v="Graduation"/>
    <s v="Single"/>
    <n v="22804"/>
    <n v="1"/>
    <n v="75"/>
    <n v="14"/>
    <n v="1"/>
    <n v="7"/>
    <n v="2"/>
    <n v="1"/>
    <n v="1"/>
    <n v="26"/>
    <n v="1"/>
    <n v="2"/>
    <n v="0"/>
    <n v="2"/>
    <n v="9"/>
    <n v="0"/>
    <n v="0"/>
    <n v="0"/>
    <n v="0"/>
    <n v="0"/>
    <n v="0"/>
    <n v="0"/>
  </r>
  <r>
    <d v="2013-07-31T00:00:00"/>
    <n v="5068"/>
    <n v="1971"/>
    <x v="0"/>
    <s v="Graduation"/>
    <s v="Single"/>
    <n v="22804"/>
    <n v="1"/>
    <n v="75"/>
    <n v="14"/>
    <n v="1"/>
    <n v="7"/>
    <n v="2"/>
    <n v="1"/>
    <n v="1"/>
    <n v="26"/>
    <n v="1"/>
    <n v="2"/>
    <n v="0"/>
    <n v="2"/>
    <n v="9"/>
    <n v="0"/>
    <n v="0"/>
    <n v="0"/>
    <n v="0"/>
    <n v="0"/>
    <n v="0"/>
    <n v="0"/>
  </r>
  <r>
    <d v="2013-07-12T00:00:00"/>
    <n v="9974"/>
    <n v="1974"/>
    <x v="6"/>
    <s v="Graduation"/>
    <s v="Married"/>
    <n v="30631"/>
    <n v="1"/>
    <n v="75"/>
    <n v="15"/>
    <n v="6"/>
    <n v="20"/>
    <n v="4"/>
    <n v="5"/>
    <n v="20"/>
    <n v="70"/>
    <n v="1"/>
    <n v="3"/>
    <n v="1"/>
    <n v="2"/>
    <n v="7"/>
    <n v="0"/>
    <n v="0"/>
    <n v="0"/>
    <n v="0"/>
    <n v="0"/>
    <n v="0"/>
    <n v="0"/>
  </r>
  <r>
    <d v="2013-06-29T00:00:00"/>
    <n v="7053"/>
    <n v="1966"/>
    <x v="6"/>
    <s v="PhD"/>
    <s v="Single"/>
    <n v="78420"/>
    <n v="0"/>
    <n v="75"/>
    <n v="604"/>
    <n v="28"/>
    <n v="674"/>
    <n v="91"/>
    <n v="28"/>
    <n v="28"/>
    <n v="1453"/>
    <n v="1"/>
    <n v="3"/>
    <n v="10"/>
    <n v="8"/>
    <n v="1"/>
    <n v="0"/>
    <n v="0"/>
    <n v="0"/>
    <n v="0"/>
    <n v="0"/>
    <n v="0"/>
    <n v="0"/>
  </r>
  <r>
    <d v="2013-06-16T00:00:00"/>
    <n v="3179"/>
    <n v="1980"/>
    <x v="0"/>
    <s v="Graduation"/>
    <s v="Single"/>
    <n v="81741"/>
    <n v="0"/>
    <n v="75"/>
    <n v="249"/>
    <n v="153"/>
    <n v="940"/>
    <n v="58"/>
    <n v="134"/>
    <n v="38"/>
    <n v="1572"/>
    <n v="0"/>
    <n v="6"/>
    <n v="6"/>
    <n v="7"/>
    <n v="2"/>
    <n v="0"/>
    <n v="0"/>
    <n v="0"/>
    <n v="0"/>
    <n v="0"/>
    <n v="0"/>
    <n v="0"/>
  </r>
  <r>
    <d v="2013-05-21T00:00:00"/>
    <n v="8082"/>
    <n v="1971"/>
    <x v="3"/>
    <s v="Graduation"/>
    <s v="Married"/>
    <n v="25721"/>
    <n v="1"/>
    <n v="75"/>
    <n v="1"/>
    <n v="3"/>
    <n v="6"/>
    <n v="3"/>
    <n v="6"/>
    <n v="15"/>
    <n v="34"/>
    <n v="1"/>
    <n v="1"/>
    <n v="1"/>
    <n v="2"/>
    <n v="7"/>
    <n v="0"/>
    <n v="0"/>
    <n v="0"/>
    <n v="0"/>
    <n v="0"/>
    <n v="1"/>
    <n v="0"/>
  </r>
  <r>
    <d v="2013-03-04T00:00:00"/>
    <n v="1362"/>
    <n v="1972"/>
    <x v="4"/>
    <s v="Graduation"/>
    <s v="Single"/>
    <n v="31907"/>
    <n v="0"/>
    <n v="75"/>
    <n v="33"/>
    <n v="87"/>
    <n v="64"/>
    <n v="175"/>
    <n v="16"/>
    <n v="74"/>
    <n v="449"/>
    <n v="1"/>
    <n v="6"/>
    <n v="1"/>
    <n v="6"/>
    <n v="7"/>
    <n v="0"/>
    <n v="0"/>
    <n v="0"/>
    <n v="0"/>
    <n v="0"/>
    <n v="0"/>
    <n v="0"/>
  </r>
  <r>
    <d v="2013-01-12T00:00:00"/>
    <n v="6768"/>
    <n v="1962"/>
    <x v="1"/>
    <s v="Graduation"/>
    <s v="Divorced"/>
    <n v="37859"/>
    <n v="3"/>
    <n v="75"/>
    <n v="22"/>
    <n v="1"/>
    <n v="8"/>
    <n v="2"/>
    <n v="1"/>
    <n v="2"/>
    <n v="36"/>
    <n v="2"/>
    <n v="1"/>
    <n v="0"/>
    <n v="3"/>
    <n v="8"/>
    <n v="0"/>
    <n v="0"/>
    <n v="0"/>
    <n v="0"/>
    <n v="0"/>
    <n v="0"/>
    <n v="0"/>
  </r>
  <r>
    <d v="2012-09-25T00:00:00"/>
    <n v="2375"/>
    <n v="1972"/>
    <x v="0"/>
    <s v="Graduation"/>
    <s v="Together"/>
    <n v="30261"/>
    <n v="3"/>
    <n v="75"/>
    <n v="8"/>
    <n v="0"/>
    <n v="5"/>
    <n v="0"/>
    <n v="3"/>
    <n v="6"/>
    <n v="22"/>
    <n v="1"/>
    <n v="0"/>
    <n v="0"/>
    <n v="3"/>
    <n v="8"/>
    <n v="0"/>
    <n v="0"/>
    <n v="0"/>
    <n v="0"/>
    <n v="0"/>
    <n v="0"/>
    <n v="0"/>
  </r>
  <r>
    <d v="2012-09-03T00:00:00"/>
    <n v="6856"/>
    <n v="1979"/>
    <x v="4"/>
    <s v="Graduation"/>
    <s v="Together"/>
    <n v="21645"/>
    <n v="1"/>
    <n v="75"/>
    <n v="14"/>
    <n v="0"/>
    <n v="23"/>
    <n v="4"/>
    <n v="5"/>
    <n v="19"/>
    <n v="65"/>
    <n v="3"/>
    <n v="3"/>
    <n v="0"/>
    <n v="3"/>
    <n v="9"/>
    <n v="0"/>
    <n v="0"/>
    <n v="0"/>
    <n v="0"/>
    <n v="0"/>
    <n v="1"/>
    <n v="0"/>
  </r>
  <r>
    <d v="2014-05-11T00:00:00"/>
    <n v="4066"/>
    <n v="1978"/>
    <x v="0"/>
    <s v="2n Cycle"/>
    <s v="Divorced"/>
    <n v="21282"/>
    <n v="1"/>
    <n v="76"/>
    <n v="1"/>
    <n v="5"/>
    <n v="8"/>
    <n v="4"/>
    <n v="8"/>
    <n v="20"/>
    <n v="46"/>
    <n v="2"/>
    <n v="2"/>
    <n v="1"/>
    <n v="2"/>
    <n v="6"/>
    <n v="0"/>
    <n v="0"/>
    <n v="0"/>
    <n v="0"/>
    <n v="0"/>
    <n v="0"/>
    <n v="0"/>
  </r>
  <r>
    <d v="2014-03-23T00:00:00"/>
    <n v="4333"/>
    <n v="1954"/>
    <x v="5"/>
    <s v="Graduation"/>
    <s v="Together"/>
    <n v="32144"/>
    <n v="2"/>
    <n v="76"/>
    <n v="41"/>
    <n v="0"/>
    <n v="10"/>
    <n v="0"/>
    <n v="0"/>
    <n v="3"/>
    <n v="54"/>
    <n v="4"/>
    <n v="2"/>
    <n v="1"/>
    <n v="3"/>
    <n v="7"/>
    <n v="0"/>
    <n v="1"/>
    <n v="0"/>
    <n v="0"/>
    <n v="0"/>
    <n v="0"/>
    <n v="0"/>
  </r>
  <r>
    <d v="2014-03-01T00:00:00"/>
    <n v="2948"/>
    <n v="1954"/>
    <x v="1"/>
    <s v="Master"/>
    <s v="Divorced"/>
    <n v="62637"/>
    <n v="1"/>
    <n v="76"/>
    <n v="104"/>
    <n v="12"/>
    <n v="48"/>
    <n v="4"/>
    <n v="12"/>
    <n v="5"/>
    <n v="185"/>
    <n v="1"/>
    <n v="2"/>
    <n v="2"/>
    <n v="5"/>
    <n v="2"/>
    <n v="0"/>
    <n v="0"/>
    <n v="0"/>
    <n v="0"/>
    <n v="0"/>
    <n v="0"/>
    <n v="0"/>
  </r>
  <r>
    <d v="2014-01-15T00:00:00"/>
    <n v="4927"/>
    <n v="1971"/>
    <x v="6"/>
    <s v="Graduation"/>
    <s v="Together"/>
    <n v="16626"/>
    <n v="2"/>
    <n v="76"/>
    <n v="8"/>
    <n v="3"/>
    <n v="22"/>
    <n v="21"/>
    <n v="1"/>
    <n v="13"/>
    <n v="68"/>
    <n v="3"/>
    <n v="3"/>
    <n v="0"/>
    <n v="3"/>
    <n v="9"/>
    <n v="0"/>
    <n v="0"/>
    <n v="0"/>
    <n v="0"/>
    <n v="0"/>
    <n v="0"/>
    <n v="0"/>
  </r>
  <r>
    <d v="2013-11-07T00:00:00"/>
    <n v="7426"/>
    <n v="1971"/>
    <x v="0"/>
    <s v="2n Cycle"/>
    <s v="Married"/>
    <n v="54690"/>
    <n v="2"/>
    <n v="76"/>
    <n v="111"/>
    <n v="16"/>
    <n v="37"/>
    <n v="7"/>
    <n v="9"/>
    <n v="18"/>
    <n v="198"/>
    <n v="3"/>
    <n v="3"/>
    <n v="1"/>
    <n v="5"/>
    <n v="3"/>
    <n v="0"/>
    <n v="0"/>
    <n v="0"/>
    <n v="0"/>
    <n v="0"/>
    <n v="0"/>
    <n v="0"/>
  </r>
  <r>
    <d v="2013-11-07T00:00:00"/>
    <n v="8360"/>
    <n v="1971"/>
    <x v="0"/>
    <s v="2n Cycle"/>
    <s v="Married"/>
    <n v="54690"/>
    <n v="2"/>
    <n v="76"/>
    <n v="111"/>
    <n v="16"/>
    <n v="37"/>
    <n v="7"/>
    <n v="9"/>
    <n v="18"/>
    <n v="198"/>
    <n v="3"/>
    <n v="3"/>
    <n v="1"/>
    <n v="5"/>
    <n v="3"/>
    <n v="0"/>
    <n v="0"/>
    <n v="0"/>
    <n v="0"/>
    <n v="0"/>
    <n v="0"/>
    <n v="0"/>
  </r>
  <r>
    <d v="2013-10-12T00:00:00"/>
    <n v="4058"/>
    <n v="1955"/>
    <x v="0"/>
    <s v="PhD"/>
    <s v="Single"/>
    <n v="61284"/>
    <n v="0"/>
    <n v="76"/>
    <n v="618"/>
    <n v="15"/>
    <n v="106"/>
    <n v="20"/>
    <n v="7"/>
    <n v="45"/>
    <n v="811"/>
    <n v="1"/>
    <n v="11"/>
    <n v="2"/>
    <n v="8"/>
    <n v="6"/>
    <n v="0"/>
    <n v="1"/>
    <n v="0"/>
    <n v="0"/>
    <n v="0"/>
    <n v="0"/>
    <n v="0"/>
  </r>
  <r>
    <d v="2013-09-02T00:00:00"/>
    <n v="10755"/>
    <n v="1976"/>
    <x v="3"/>
    <s v="2n Cycle"/>
    <s v="Married"/>
    <n v="23718"/>
    <n v="1"/>
    <n v="76"/>
    <n v="6"/>
    <n v="3"/>
    <n v="14"/>
    <n v="15"/>
    <n v="7"/>
    <n v="36"/>
    <n v="81"/>
    <n v="3"/>
    <n v="3"/>
    <n v="1"/>
    <n v="2"/>
    <n v="7"/>
    <n v="0"/>
    <n v="0"/>
    <n v="0"/>
    <n v="0"/>
    <n v="0"/>
    <n v="0"/>
    <n v="0"/>
  </r>
  <r>
    <d v="2013-08-17T00:00:00"/>
    <n v="8414"/>
    <n v="1962"/>
    <x v="0"/>
    <s v="PhD"/>
    <s v="Single"/>
    <n v="33419"/>
    <n v="1"/>
    <n v="76"/>
    <n v="56"/>
    <n v="0"/>
    <n v="12"/>
    <n v="0"/>
    <n v="0"/>
    <n v="18"/>
    <n v="86"/>
    <n v="2"/>
    <n v="2"/>
    <n v="0"/>
    <n v="4"/>
    <n v="7"/>
    <n v="0"/>
    <n v="0"/>
    <n v="0"/>
    <n v="0"/>
    <n v="0"/>
    <n v="0"/>
    <n v="0"/>
  </r>
  <r>
    <d v="2013-05-28T00:00:00"/>
    <n v="6810"/>
    <n v="1983"/>
    <x v="6"/>
    <s v="Graduation"/>
    <s v="Divorced"/>
    <n v="82025"/>
    <n v="0"/>
    <n v="76"/>
    <n v="267"/>
    <n v="98"/>
    <n v="606"/>
    <n v="48"/>
    <n v="70"/>
    <n v="98"/>
    <n v="1187"/>
    <n v="1"/>
    <n v="3"/>
    <n v="2"/>
    <n v="6"/>
    <n v="1"/>
    <n v="0"/>
    <n v="0"/>
    <n v="1"/>
    <n v="0"/>
    <n v="0"/>
    <n v="1"/>
    <n v="0"/>
  </r>
  <r>
    <d v="2013-05-03T00:00:00"/>
    <n v="3839"/>
    <n v="1958"/>
    <x v="0"/>
    <s v="Basic"/>
    <s v="Single"/>
    <n v="15056"/>
    <n v="2"/>
    <n v="76"/>
    <n v="6"/>
    <n v="12"/>
    <n v="3"/>
    <n v="21"/>
    <n v="6"/>
    <n v="40"/>
    <n v="88"/>
    <n v="5"/>
    <n v="2"/>
    <n v="2"/>
    <n v="3"/>
    <n v="5"/>
    <n v="0"/>
    <n v="0"/>
    <n v="0"/>
    <n v="0"/>
    <n v="0"/>
    <n v="0"/>
    <n v="0"/>
  </r>
  <r>
    <d v="2013-04-06T00:00:00"/>
    <n v="3483"/>
    <n v="1958"/>
    <x v="1"/>
    <s v="Graduation"/>
    <s v="Married"/>
    <n v="48192"/>
    <n v="0"/>
    <n v="76"/>
    <n v="1039"/>
    <n v="43"/>
    <n v="204"/>
    <n v="153"/>
    <n v="58"/>
    <n v="29"/>
    <n v="1526"/>
    <n v="3"/>
    <n v="2"/>
    <n v="8"/>
    <n v="12"/>
    <n v="8"/>
    <n v="0"/>
    <n v="1"/>
    <n v="0"/>
    <n v="1"/>
    <n v="1"/>
    <n v="1"/>
    <n v="0"/>
  </r>
  <r>
    <d v="2013-01-23T00:00:00"/>
    <n v="238"/>
    <n v="1967"/>
    <x v="0"/>
    <s v="2n Cycle"/>
    <s v="Together"/>
    <n v="67309"/>
    <n v="2"/>
    <n v="76"/>
    <n v="515"/>
    <n v="47"/>
    <n v="181"/>
    <n v="149"/>
    <n v="95"/>
    <n v="95"/>
    <n v="1082"/>
    <n v="15"/>
    <n v="9"/>
    <n v="6"/>
    <n v="9"/>
    <n v="7"/>
    <n v="0"/>
    <n v="0"/>
    <n v="0"/>
    <n v="0"/>
    <n v="0"/>
    <n v="0"/>
    <n v="0"/>
  </r>
  <r>
    <d v="2013-01-20T00:00:00"/>
    <n v="591"/>
    <n v="1957"/>
    <x v="5"/>
    <s v="Graduation"/>
    <s v="Widow"/>
    <n v="66033"/>
    <n v="1"/>
    <n v="76"/>
    <n v="293"/>
    <n v="35"/>
    <n v="179"/>
    <n v="46"/>
    <n v="59"/>
    <n v="65"/>
    <n v="677"/>
    <n v="2"/>
    <n v="8"/>
    <n v="3"/>
    <n v="7"/>
    <n v="7"/>
    <n v="0"/>
    <n v="0"/>
    <n v="0"/>
    <n v="0"/>
    <n v="0"/>
    <n v="0"/>
    <n v="0"/>
  </r>
  <r>
    <d v="2012-12-18T00:00:00"/>
    <n v="5063"/>
    <n v="1977"/>
    <x v="0"/>
    <s v="Graduation"/>
    <s v="Single"/>
    <n v="28769"/>
    <n v="1"/>
    <n v="76"/>
    <n v="41"/>
    <n v="5"/>
    <n v="129"/>
    <n v="10"/>
    <n v="3"/>
    <n v="3"/>
    <n v="191"/>
    <n v="3"/>
    <n v="4"/>
    <n v="1"/>
    <n v="4"/>
    <n v="9"/>
    <n v="0"/>
    <n v="0"/>
    <n v="0"/>
    <n v="0"/>
    <n v="0"/>
    <n v="0"/>
    <n v="0"/>
  </r>
  <r>
    <d v="2012-12-08T00:00:00"/>
    <n v="4303"/>
    <n v="1957"/>
    <x v="1"/>
    <s v="PhD"/>
    <s v="Together"/>
    <n v="6835"/>
    <n v="1"/>
    <n v="76"/>
    <n v="107"/>
    <n v="2"/>
    <n v="12"/>
    <n v="2"/>
    <n v="2"/>
    <n v="12"/>
    <n v="137"/>
    <n v="0"/>
    <n v="0"/>
    <n v="0"/>
    <n v="1"/>
    <n v="20"/>
    <n v="0"/>
    <n v="0"/>
    <n v="0"/>
    <n v="0"/>
    <n v="0"/>
    <n v="0"/>
    <n v="0"/>
  </r>
  <r>
    <d v="2012-12-04T00:00:00"/>
    <n v="2258"/>
    <n v="1986"/>
    <x v="0"/>
    <s v="Graduation"/>
    <s v="Married"/>
    <n v="32880"/>
    <n v="1"/>
    <n v="76"/>
    <n v="8"/>
    <n v="4"/>
    <n v="15"/>
    <n v="7"/>
    <n v="6"/>
    <n v="2"/>
    <n v="42"/>
    <n v="1"/>
    <n v="1"/>
    <n v="0"/>
    <n v="3"/>
    <n v="8"/>
    <n v="0"/>
    <n v="0"/>
    <n v="0"/>
    <n v="0"/>
    <n v="0"/>
    <n v="0"/>
    <n v="0"/>
  </r>
  <r>
    <d v="2012-11-17T00:00:00"/>
    <n v="7301"/>
    <n v="1982"/>
    <x v="0"/>
    <s v="2n Cycle"/>
    <s v="Single"/>
    <n v="23616"/>
    <n v="1"/>
    <n v="76"/>
    <n v="4"/>
    <n v="22"/>
    <n v="11"/>
    <n v="3"/>
    <n v="7"/>
    <n v="32"/>
    <n v="79"/>
    <n v="2"/>
    <n v="3"/>
    <n v="0"/>
    <n v="3"/>
    <n v="8"/>
    <n v="0"/>
    <n v="0"/>
    <n v="0"/>
    <n v="0"/>
    <n v="0"/>
    <n v="1"/>
    <n v="0"/>
  </r>
  <r>
    <d v="2012-11-10T00:00:00"/>
    <n v="11121"/>
    <n v="1981"/>
    <x v="5"/>
    <s v="Graduation"/>
    <s v="Married"/>
    <n v="19419"/>
    <n v="1"/>
    <n v="76"/>
    <n v="2"/>
    <n v="14"/>
    <n v="28"/>
    <n v="16"/>
    <n v="3"/>
    <n v="7"/>
    <n v="70"/>
    <n v="4"/>
    <n v="4"/>
    <n v="0"/>
    <n v="3"/>
    <n v="9"/>
    <n v="0"/>
    <n v="0"/>
    <n v="0"/>
    <n v="0"/>
    <n v="0"/>
    <n v="0"/>
    <n v="0"/>
  </r>
  <r>
    <d v="2014-06-19T00:00:00"/>
    <n v="5287"/>
    <n v="1973"/>
    <x v="0"/>
    <s v="Graduation"/>
    <s v="Married"/>
    <n v="34961"/>
    <n v="1"/>
    <n v="77"/>
    <n v="45"/>
    <n v="2"/>
    <n v="26"/>
    <n v="4"/>
    <n v="1"/>
    <n v="1"/>
    <n v="79"/>
    <n v="3"/>
    <n v="3"/>
    <n v="1"/>
    <n v="3"/>
    <n v="7"/>
    <n v="0"/>
    <n v="0"/>
    <n v="0"/>
    <n v="0"/>
    <n v="0"/>
    <n v="0"/>
    <n v="0"/>
  </r>
  <r>
    <d v="2014-05-29T00:00:00"/>
    <n v="6457"/>
    <n v="1976"/>
    <x v="6"/>
    <s v="Graduation"/>
    <s v="Divorced"/>
    <n v="64892"/>
    <n v="1"/>
    <n v="77"/>
    <n v="527"/>
    <n v="24"/>
    <n v="230"/>
    <n v="32"/>
    <n v="24"/>
    <n v="65"/>
    <n v="902"/>
    <n v="2"/>
    <n v="6"/>
    <n v="4"/>
    <n v="12"/>
    <n v="4"/>
    <n v="0"/>
    <n v="0"/>
    <n v="0"/>
    <n v="0"/>
    <n v="0"/>
    <n v="0"/>
    <n v="0"/>
  </r>
  <r>
    <d v="2014-05-10T00:00:00"/>
    <n v="3559"/>
    <n v="1988"/>
    <x v="5"/>
    <s v="2n Cycle"/>
    <s v="Married"/>
    <n v="16248"/>
    <n v="1"/>
    <n v="77"/>
    <n v="12"/>
    <n v="11"/>
    <n v="10"/>
    <n v="3"/>
    <n v="12"/>
    <n v="9"/>
    <n v="57"/>
    <n v="3"/>
    <n v="2"/>
    <n v="1"/>
    <n v="3"/>
    <n v="6"/>
    <n v="0"/>
    <n v="0"/>
    <n v="0"/>
    <n v="0"/>
    <n v="0"/>
    <n v="0"/>
    <n v="0"/>
  </r>
  <r>
    <d v="2014-05-03T00:00:00"/>
    <n v="5577"/>
    <n v="1983"/>
    <x v="0"/>
    <s v="Graduation"/>
    <s v="Together"/>
    <n v="43776"/>
    <n v="1"/>
    <n v="77"/>
    <n v="8"/>
    <n v="0"/>
    <n v="9"/>
    <n v="2"/>
    <n v="1"/>
    <n v="3"/>
    <n v="23"/>
    <n v="1"/>
    <n v="1"/>
    <n v="0"/>
    <n v="2"/>
    <n v="6"/>
    <n v="0"/>
    <n v="0"/>
    <n v="0"/>
    <n v="0"/>
    <n v="0"/>
    <n v="0"/>
    <n v="0"/>
  </r>
  <r>
    <d v="2014-04-04T00:00:00"/>
    <n v="641"/>
    <n v="1967"/>
    <x v="5"/>
    <s v="Graduation"/>
    <s v="Single"/>
    <n v="52074"/>
    <n v="1"/>
    <n v="77"/>
    <n v="59"/>
    <n v="0"/>
    <n v="12"/>
    <n v="0"/>
    <n v="0"/>
    <n v="48"/>
    <n v="119"/>
    <n v="1"/>
    <n v="2"/>
    <n v="2"/>
    <n v="2"/>
    <n v="4"/>
    <n v="1"/>
    <n v="0"/>
    <n v="0"/>
    <n v="0"/>
    <n v="0"/>
    <n v="0"/>
    <n v="0"/>
  </r>
  <r>
    <d v="2014-03-27T00:00:00"/>
    <n v="954"/>
    <n v="1960"/>
    <x v="3"/>
    <s v="Basic"/>
    <s v="Widow"/>
    <n v="22123"/>
    <n v="0"/>
    <n v="77"/>
    <n v="3"/>
    <n v="3"/>
    <n v="24"/>
    <n v="34"/>
    <n v="7"/>
    <n v="31"/>
    <n v="102"/>
    <n v="1"/>
    <n v="2"/>
    <n v="1"/>
    <n v="3"/>
    <n v="5"/>
    <n v="0"/>
    <n v="0"/>
    <n v="0"/>
    <n v="0"/>
    <n v="0"/>
    <n v="0"/>
    <n v="0"/>
  </r>
  <r>
    <d v="2014-03-08T00:00:00"/>
    <n v="1834"/>
    <n v="1978"/>
    <x v="6"/>
    <s v="Master"/>
    <s v="Single"/>
    <n v="35544"/>
    <n v="1"/>
    <n v="77"/>
    <n v="30"/>
    <n v="5"/>
    <n v="23"/>
    <n v="4"/>
    <n v="1"/>
    <n v="4"/>
    <n v="67"/>
    <n v="1"/>
    <n v="2"/>
    <n v="0"/>
    <n v="3"/>
    <n v="7"/>
    <n v="0"/>
    <n v="0"/>
    <n v="0"/>
    <n v="0"/>
    <n v="0"/>
    <n v="0"/>
    <n v="0"/>
  </r>
  <r>
    <d v="2014-01-11T00:00:00"/>
    <n v="8789"/>
    <n v="1989"/>
    <x v="0"/>
    <s v="2n Cycle"/>
    <s v="Married"/>
    <n v="59060"/>
    <n v="1"/>
    <n v="77"/>
    <n v="35"/>
    <n v="40"/>
    <n v="111"/>
    <n v="36"/>
    <n v="40"/>
    <n v="12"/>
    <n v="274"/>
    <n v="3"/>
    <n v="3"/>
    <n v="1"/>
    <n v="7"/>
    <n v="4"/>
    <n v="0"/>
    <n v="0"/>
    <n v="0"/>
    <n v="0"/>
    <n v="0"/>
    <n v="0"/>
    <n v="0"/>
  </r>
  <r>
    <d v="2013-12-02T00:00:00"/>
    <n v="10584"/>
    <n v="1976"/>
    <x v="0"/>
    <s v="Graduation"/>
    <s v="Married"/>
    <n v="65665"/>
    <n v="1"/>
    <n v="77"/>
    <n v="225"/>
    <n v="162"/>
    <n v="387"/>
    <n v="106"/>
    <n v="36"/>
    <n v="29"/>
    <n v="945"/>
    <n v="1"/>
    <n v="5"/>
    <n v="10"/>
    <n v="8"/>
    <n v="3"/>
    <n v="0"/>
    <n v="0"/>
    <n v="0"/>
    <n v="0"/>
    <n v="0"/>
    <n v="0"/>
    <n v="0"/>
  </r>
  <r>
    <d v="2013-10-24T00:00:00"/>
    <n v="2337"/>
    <n v="1971"/>
    <x v="0"/>
    <s v="Graduation"/>
    <s v="Divorced"/>
    <n v="29819"/>
    <n v="1"/>
    <n v="77"/>
    <n v="9"/>
    <n v="1"/>
    <n v="24"/>
    <n v="2"/>
    <n v="1"/>
    <n v="2"/>
    <n v="39"/>
    <n v="3"/>
    <n v="3"/>
    <n v="0"/>
    <n v="3"/>
    <n v="6"/>
    <n v="0"/>
    <n v="0"/>
    <n v="0"/>
    <n v="0"/>
    <n v="0"/>
    <n v="0"/>
    <n v="0"/>
  </r>
  <r>
    <d v="2013-07-19T00:00:00"/>
    <n v="6071"/>
    <n v="1989"/>
    <x v="0"/>
    <s v="Graduation"/>
    <s v="Single"/>
    <n v="81217"/>
    <n v="0"/>
    <n v="77"/>
    <n v="493"/>
    <n v="70"/>
    <n v="324"/>
    <n v="146"/>
    <n v="40"/>
    <n v="84"/>
    <n v="1157"/>
    <n v="1"/>
    <n v="3"/>
    <n v="7"/>
    <n v="11"/>
    <n v="1"/>
    <n v="0"/>
    <n v="0"/>
    <n v="0"/>
    <n v="0"/>
    <n v="0"/>
    <n v="0"/>
    <n v="0"/>
  </r>
  <r>
    <d v="2013-07-19T00:00:00"/>
    <n v="295"/>
    <n v="1989"/>
    <x v="0"/>
    <s v="Graduation"/>
    <s v="Single"/>
    <n v="81217"/>
    <n v="0"/>
    <n v="77"/>
    <n v="493"/>
    <n v="70"/>
    <n v="324"/>
    <n v="146"/>
    <n v="40"/>
    <n v="84"/>
    <n v="1157"/>
    <n v="1"/>
    <n v="3"/>
    <n v="7"/>
    <n v="11"/>
    <n v="1"/>
    <n v="0"/>
    <n v="0"/>
    <n v="0"/>
    <n v="0"/>
    <n v="0"/>
    <n v="0"/>
    <n v="0"/>
  </r>
  <r>
    <d v="2013-06-30T00:00:00"/>
    <n v="10203"/>
    <n v="1990"/>
    <x v="0"/>
    <s v="Graduation"/>
    <s v="Single"/>
    <n v="26095"/>
    <n v="1"/>
    <n v="77"/>
    <n v="11"/>
    <n v="7"/>
    <n v="9"/>
    <n v="3"/>
    <n v="1"/>
    <n v="11"/>
    <n v="42"/>
    <n v="1"/>
    <n v="1"/>
    <n v="0"/>
    <n v="3"/>
    <n v="7"/>
    <n v="0"/>
    <n v="0"/>
    <n v="0"/>
    <n v="0"/>
    <n v="0"/>
    <n v="0"/>
    <n v="0"/>
  </r>
  <r>
    <d v="2013-06-28T00:00:00"/>
    <n v="3968"/>
    <n v="1970"/>
    <x v="1"/>
    <s v="2n Cycle"/>
    <s v="Divorced"/>
    <n v="65706"/>
    <n v="0"/>
    <n v="77"/>
    <n v="918"/>
    <n v="10"/>
    <n v="129"/>
    <n v="13"/>
    <n v="0"/>
    <n v="129"/>
    <n v="1199"/>
    <n v="1"/>
    <n v="11"/>
    <n v="3"/>
    <n v="12"/>
    <n v="7"/>
    <n v="0"/>
    <n v="1"/>
    <n v="1"/>
    <n v="0"/>
    <n v="1"/>
    <n v="1"/>
    <n v="0"/>
  </r>
  <r>
    <d v="2013-06-14T00:00:00"/>
    <n v="4037"/>
    <n v="1976"/>
    <x v="6"/>
    <s v="Graduation"/>
    <s v="Divorced"/>
    <n v="31859"/>
    <n v="1"/>
    <n v="77"/>
    <n v="3"/>
    <n v="1"/>
    <n v="3"/>
    <n v="8"/>
    <n v="0"/>
    <n v="5"/>
    <n v="20"/>
    <n v="1"/>
    <n v="1"/>
    <n v="0"/>
    <n v="2"/>
    <n v="7"/>
    <n v="0"/>
    <n v="0"/>
    <n v="0"/>
    <n v="0"/>
    <n v="0"/>
    <n v="0"/>
    <n v="0"/>
  </r>
  <r>
    <d v="2013-04-13T00:00:00"/>
    <n v="6932"/>
    <n v="1941"/>
    <x v="0"/>
    <s v="PhD"/>
    <s v="Married"/>
    <n v="93027"/>
    <n v="0"/>
    <n v="77"/>
    <n v="1285"/>
    <n v="42"/>
    <n v="716"/>
    <n v="55"/>
    <n v="0"/>
    <n v="21"/>
    <n v="2119"/>
    <n v="0"/>
    <n v="7"/>
    <n v="10"/>
    <n v="5"/>
    <n v="2"/>
    <n v="0"/>
    <n v="0"/>
    <n v="1"/>
    <n v="0"/>
    <n v="0"/>
    <n v="0"/>
    <n v="0"/>
  </r>
  <r>
    <d v="2013-03-31T00:00:00"/>
    <n v="10159"/>
    <n v="1970"/>
    <x v="3"/>
    <s v="Graduation"/>
    <s v="Divorced"/>
    <n v="58710"/>
    <n v="1"/>
    <n v="77"/>
    <n v="440"/>
    <n v="81"/>
    <n v="368"/>
    <n v="0"/>
    <n v="122"/>
    <n v="174"/>
    <n v="1185"/>
    <n v="6"/>
    <n v="11"/>
    <n v="5"/>
    <n v="9"/>
    <n v="6"/>
    <n v="0"/>
    <n v="0"/>
    <n v="0"/>
    <n v="0"/>
    <n v="0"/>
    <n v="0"/>
    <n v="0"/>
  </r>
  <r>
    <d v="2013-01-26T00:00:00"/>
    <n v="1177"/>
    <n v="1966"/>
    <x v="0"/>
    <s v="Master"/>
    <s v="Together"/>
    <n v="49618"/>
    <n v="2"/>
    <n v="77"/>
    <n v="80"/>
    <n v="3"/>
    <n v="26"/>
    <n v="4"/>
    <n v="2"/>
    <n v="14"/>
    <n v="129"/>
    <n v="4"/>
    <n v="3"/>
    <n v="1"/>
    <n v="3"/>
    <n v="7"/>
    <n v="0"/>
    <n v="0"/>
    <n v="0"/>
    <n v="0"/>
    <n v="0"/>
    <n v="0"/>
    <n v="0"/>
  </r>
  <r>
    <d v="2013-01-12T00:00:00"/>
    <n v="9426"/>
    <n v="1964"/>
    <x v="0"/>
    <s v="Master"/>
    <s v="Single"/>
    <n v="58308"/>
    <n v="1"/>
    <n v="77"/>
    <n v="691"/>
    <n v="0"/>
    <n v="69"/>
    <n v="10"/>
    <n v="0"/>
    <n v="130"/>
    <n v="900"/>
    <n v="4"/>
    <n v="2"/>
    <n v="6"/>
    <n v="3"/>
    <n v="8"/>
    <n v="0"/>
    <n v="0"/>
    <n v="0"/>
    <n v="0"/>
    <n v="0"/>
    <n v="0"/>
    <n v="0"/>
  </r>
  <r>
    <d v="2013-01-01T00:00:00"/>
    <n v="10637"/>
    <n v="1964"/>
    <x v="0"/>
    <s v="Graduation"/>
    <s v="Married"/>
    <n v="40800"/>
    <n v="3"/>
    <n v="77"/>
    <n v="24"/>
    <n v="0"/>
    <n v="27"/>
    <n v="8"/>
    <n v="30"/>
    <n v="10"/>
    <n v="99"/>
    <n v="2"/>
    <n v="3"/>
    <n v="0"/>
    <n v="3"/>
    <n v="7"/>
    <n v="0"/>
    <n v="0"/>
    <n v="0"/>
    <n v="0"/>
    <n v="0"/>
    <n v="0"/>
    <n v="1"/>
  </r>
  <r>
    <d v="2012-12-28T00:00:00"/>
    <n v="10826"/>
    <n v="1959"/>
    <x v="0"/>
    <s v="Graduation"/>
    <s v="Married"/>
    <n v="18690"/>
    <n v="0"/>
    <n v="77"/>
    <n v="6"/>
    <n v="1"/>
    <n v="7"/>
    <n v="23"/>
    <n v="4"/>
    <n v="19"/>
    <n v="60"/>
    <n v="1"/>
    <n v="1"/>
    <n v="1"/>
    <n v="2"/>
    <n v="8"/>
    <n v="0"/>
    <n v="0"/>
    <n v="0"/>
    <n v="0"/>
    <n v="0"/>
    <n v="0"/>
    <n v="0"/>
  </r>
  <r>
    <d v="2012-12-28T00:00:00"/>
    <n v="4086"/>
    <n v="1959"/>
    <x v="4"/>
    <s v="Graduation"/>
    <s v="Married"/>
    <n v="18690"/>
    <n v="0"/>
    <n v="77"/>
    <n v="6"/>
    <n v="1"/>
    <n v="7"/>
    <n v="23"/>
    <n v="4"/>
    <n v="19"/>
    <n v="60"/>
    <n v="1"/>
    <n v="1"/>
    <n v="1"/>
    <n v="2"/>
    <n v="8"/>
    <n v="0"/>
    <n v="0"/>
    <n v="0"/>
    <n v="0"/>
    <n v="0"/>
    <n v="0"/>
    <n v="0"/>
  </r>
  <r>
    <d v="2012-12-28T00:00:00"/>
    <n v="10304"/>
    <n v="1959"/>
    <x v="0"/>
    <s v="Graduation"/>
    <s v="Married"/>
    <n v="18690"/>
    <n v="0"/>
    <n v="77"/>
    <n v="6"/>
    <n v="1"/>
    <n v="7"/>
    <n v="23"/>
    <n v="4"/>
    <n v="19"/>
    <n v="60"/>
    <n v="1"/>
    <n v="1"/>
    <n v="1"/>
    <n v="2"/>
    <n v="8"/>
    <n v="0"/>
    <n v="0"/>
    <n v="0"/>
    <n v="0"/>
    <n v="0"/>
    <n v="0"/>
    <n v="0"/>
  </r>
  <r>
    <d v="2012-12-11T00:00:00"/>
    <n v="7998"/>
    <n v="1958"/>
    <x v="5"/>
    <s v="Graduation"/>
    <s v="Together"/>
    <n v="28087"/>
    <n v="2"/>
    <n v="77"/>
    <n v="53"/>
    <n v="8"/>
    <n v="17"/>
    <n v="13"/>
    <n v="0"/>
    <n v="21"/>
    <n v="112"/>
    <n v="3"/>
    <n v="2"/>
    <n v="2"/>
    <n v="2"/>
    <n v="7"/>
    <n v="0"/>
    <n v="0"/>
    <n v="0"/>
    <n v="0"/>
    <n v="0"/>
    <n v="0"/>
    <n v="0"/>
  </r>
  <r>
    <d v="2012-08-29T00:00:00"/>
    <n v="10992"/>
    <n v="1967"/>
    <x v="6"/>
    <s v="Graduation"/>
    <s v="Together"/>
    <n v="75702"/>
    <n v="2"/>
    <n v="77"/>
    <n v="650"/>
    <n v="28"/>
    <n v="353"/>
    <n v="45"/>
    <n v="42"/>
    <n v="30"/>
    <n v="1148"/>
    <n v="5"/>
    <n v="4"/>
    <n v="6"/>
    <n v="11"/>
    <n v="8"/>
    <n v="0"/>
    <n v="0"/>
    <n v="0"/>
    <n v="0"/>
    <n v="0"/>
    <n v="0"/>
    <n v="0"/>
  </r>
  <r>
    <d v="2014-05-25T00:00:00"/>
    <n v="6383"/>
    <n v="1971"/>
    <x v="6"/>
    <s v="PhD"/>
    <s v="Together"/>
    <n v="32892"/>
    <n v="1"/>
    <n v="78"/>
    <n v="26"/>
    <n v="0"/>
    <n v="15"/>
    <n v="2"/>
    <n v="1"/>
    <n v="2"/>
    <n v="46"/>
    <n v="2"/>
    <n v="3"/>
    <n v="0"/>
    <n v="3"/>
    <n v="8"/>
    <n v="0"/>
    <n v="0"/>
    <n v="0"/>
    <n v="0"/>
    <n v="0"/>
    <n v="0"/>
    <n v="0"/>
  </r>
  <r>
    <d v="2014-05-25T00:00:00"/>
    <n v="10536"/>
    <n v="1971"/>
    <x v="0"/>
    <s v="PhD"/>
    <s v="Together"/>
    <n v="32892"/>
    <n v="1"/>
    <n v="78"/>
    <n v="26"/>
    <n v="0"/>
    <n v="15"/>
    <n v="2"/>
    <n v="1"/>
    <n v="2"/>
    <n v="46"/>
    <n v="2"/>
    <n v="3"/>
    <n v="0"/>
    <n v="3"/>
    <n v="8"/>
    <n v="0"/>
    <n v="0"/>
    <n v="0"/>
    <n v="0"/>
    <n v="0"/>
    <n v="0"/>
    <n v="0"/>
  </r>
  <r>
    <d v="2014-03-17T00:00:00"/>
    <n v="6036"/>
    <n v="1959"/>
    <x v="0"/>
    <s v="Master"/>
    <s v="Together"/>
    <n v="89120"/>
    <n v="0"/>
    <n v="78"/>
    <n v="1168"/>
    <n v="92"/>
    <n v="408"/>
    <n v="72"/>
    <n v="129"/>
    <n v="55"/>
    <n v="1924"/>
    <n v="1"/>
    <n v="5"/>
    <n v="6"/>
    <n v="7"/>
    <n v="1"/>
    <n v="0"/>
    <n v="0"/>
    <n v="1"/>
    <n v="0"/>
    <n v="0"/>
    <n v="0"/>
    <n v="0"/>
  </r>
  <r>
    <d v="2014-03-02T00:00:00"/>
    <n v="11092"/>
    <n v="1961"/>
    <x v="6"/>
    <s v="Graduation"/>
    <s v="Married"/>
    <n v="27116"/>
    <n v="2"/>
    <n v="78"/>
    <n v="12"/>
    <n v="1"/>
    <n v="21"/>
    <n v="2"/>
    <n v="2"/>
    <n v="3"/>
    <n v="41"/>
    <n v="2"/>
    <n v="2"/>
    <n v="0"/>
    <n v="3"/>
    <n v="7"/>
    <n v="0"/>
    <n v="0"/>
    <n v="0"/>
    <n v="0"/>
    <n v="0"/>
    <n v="0"/>
    <n v="0"/>
  </r>
  <r>
    <d v="2014-02-10T00:00:00"/>
    <n v="538"/>
    <n v="1989"/>
    <x v="6"/>
    <s v="Graduation"/>
    <s v="Single"/>
    <n v="46107"/>
    <n v="1"/>
    <n v="78"/>
    <n v="31"/>
    <n v="9"/>
    <n v="27"/>
    <n v="16"/>
    <n v="9"/>
    <n v="33"/>
    <n v="125"/>
    <n v="1"/>
    <n v="1"/>
    <n v="1"/>
    <n v="4"/>
    <n v="3"/>
    <n v="0"/>
    <n v="0"/>
    <n v="0"/>
    <n v="0"/>
    <n v="0"/>
    <n v="0"/>
    <n v="0"/>
  </r>
  <r>
    <d v="2014-02-09T00:00:00"/>
    <n v="10022"/>
    <n v="1973"/>
    <x v="0"/>
    <s v="PhD"/>
    <s v="Single"/>
    <n v="54466"/>
    <n v="2"/>
    <n v="78"/>
    <n v="12"/>
    <n v="0"/>
    <n v="4"/>
    <n v="0"/>
    <n v="0"/>
    <n v="0"/>
    <n v="16"/>
    <n v="1"/>
    <n v="1"/>
    <n v="0"/>
    <n v="2"/>
    <n v="5"/>
    <n v="0"/>
    <n v="0"/>
    <n v="0"/>
    <n v="0"/>
    <n v="0"/>
    <n v="0"/>
    <n v="0"/>
  </r>
  <r>
    <d v="2014-01-25T00:00:00"/>
    <n v="10157"/>
    <n v="1965"/>
    <x v="1"/>
    <s v="Graduation"/>
    <s v="Single"/>
    <n v="59686"/>
    <n v="1"/>
    <n v="78"/>
    <n v="89"/>
    <n v="15"/>
    <n v="89"/>
    <n v="34"/>
    <n v="42"/>
    <n v="5"/>
    <n v="274"/>
    <n v="1"/>
    <n v="4"/>
    <n v="1"/>
    <n v="6"/>
    <n v="4"/>
    <n v="0"/>
    <n v="0"/>
    <n v="0"/>
    <n v="0"/>
    <n v="0"/>
    <n v="0"/>
    <n v="0"/>
  </r>
  <r>
    <d v="2013-12-02T00:00:00"/>
    <n v="3503"/>
    <n v="1950"/>
    <x v="6"/>
    <s v="Graduation"/>
    <s v="Divorced"/>
    <n v="82460"/>
    <n v="0"/>
    <n v="78"/>
    <n v="255"/>
    <n v="47"/>
    <n v="573"/>
    <n v="52"/>
    <n v="32"/>
    <n v="15"/>
    <n v="974"/>
    <n v="1"/>
    <n v="5"/>
    <n v="3"/>
    <n v="6"/>
    <n v="1"/>
    <n v="0"/>
    <n v="0"/>
    <n v="0"/>
    <n v="0"/>
    <n v="0"/>
    <n v="0"/>
    <n v="0"/>
  </r>
  <r>
    <d v="2013-11-15T00:00:00"/>
    <n v="146"/>
    <n v="1960"/>
    <x v="0"/>
    <s v="PhD"/>
    <s v="Single"/>
    <n v="76045"/>
    <n v="0"/>
    <n v="78"/>
    <n v="760"/>
    <n v="53"/>
    <n v="400"/>
    <n v="17"/>
    <n v="93"/>
    <n v="0"/>
    <n v="1323"/>
    <n v="1"/>
    <n v="4"/>
    <n v="5"/>
    <n v="11"/>
    <n v="2"/>
    <n v="0"/>
    <n v="0"/>
    <n v="0"/>
    <n v="1"/>
    <n v="0"/>
    <n v="0"/>
    <n v="0"/>
  </r>
  <r>
    <d v="2013-10-08T00:00:00"/>
    <n v="5538"/>
    <n v="1975"/>
    <x v="0"/>
    <s v="Graduation"/>
    <s v="Divorced"/>
    <n v="83829"/>
    <n v="0"/>
    <n v="78"/>
    <n v="897"/>
    <n v="161"/>
    <n v="430"/>
    <n v="186"/>
    <n v="161"/>
    <n v="27"/>
    <n v="1862"/>
    <n v="0"/>
    <n v="4"/>
    <n v="7"/>
    <n v="6"/>
    <n v="1"/>
    <n v="1"/>
    <n v="0"/>
    <n v="1"/>
    <n v="1"/>
    <n v="0"/>
    <n v="1"/>
    <n v="0"/>
  </r>
  <r>
    <d v="2013-10-08T00:00:00"/>
    <n v="3910"/>
    <n v="1975"/>
    <x v="0"/>
    <s v="Graduation"/>
    <s v="Divorced"/>
    <n v="83829"/>
    <n v="0"/>
    <n v="78"/>
    <n v="897"/>
    <n v="161"/>
    <n v="430"/>
    <n v="186"/>
    <n v="161"/>
    <n v="27"/>
    <n v="1862"/>
    <n v="0"/>
    <n v="4"/>
    <n v="7"/>
    <n v="6"/>
    <n v="1"/>
    <n v="1"/>
    <n v="0"/>
    <n v="1"/>
    <n v="1"/>
    <n v="0"/>
    <n v="1"/>
    <n v="0"/>
  </r>
  <r>
    <d v="2013-09-06T00:00:00"/>
    <n v="4227"/>
    <n v="1968"/>
    <x v="0"/>
    <s v="Master"/>
    <s v="Together"/>
    <n v="32889"/>
    <n v="2"/>
    <n v="78"/>
    <n v="28"/>
    <n v="0"/>
    <n v="13"/>
    <n v="4"/>
    <n v="2"/>
    <n v="8"/>
    <n v="55"/>
    <n v="3"/>
    <n v="2"/>
    <n v="1"/>
    <n v="3"/>
    <n v="5"/>
    <n v="0"/>
    <n v="0"/>
    <n v="0"/>
    <n v="0"/>
    <n v="0"/>
    <n v="0"/>
    <n v="0"/>
  </r>
  <r>
    <d v="2013-08-07T00:00:00"/>
    <n v="6634"/>
    <n v="1979"/>
    <x v="6"/>
    <s v="Master"/>
    <s v="Divorced"/>
    <n v="33462"/>
    <n v="1"/>
    <n v="78"/>
    <n v="22"/>
    <n v="3"/>
    <n v="18"/>
    <n v="0"/>
    <n v="0"/>
    <n v="11"/>
    <n v="54"/>
    <n v="1"/>
    <n v="2"/>
    <n v="0"/>
    <n v="3"/>
    <n v="7"/>
    <n v="0"/>
    <n v="0"/>
    <n v="0"/>
    <n v="0"/>
    <n v="0"/>
    <n v="0"/>
    <n v="0"/>
  </r>
  <r>
    <d v="2013-07-23T00:00:00"/>
    <n v="8916"/>
    <n v="1975"/>
    <x v="6"/>
    <s v="Graduation"/>
    <s v="Divorced"/>
    <n v="36627"/>
    <n v="2"/>
    <n v="78"/>
    <n v="9"/>
    <n v="1"/>
    <n v="5"/>
    <n v="0"/>
    <n v="0"/>
    <n v="1"/>
    <n v="16"/>
    <n v="1"/>
    <n v="0"/>
    <n v="0"/>
    <n v="3"/>
    <n v="5"/>
    <n v="0"/>
    <n v="0"/>
    <n v="0"/>
    <n v="0"/>
    <n v="0"/>
    <n v="0"/>
    <n v="0"/>
  </r>
  <r>
    <d v="2013-07-13T00:00:00"/>
    <n v="6460"/>
    <n v="1982"/>
    <x v="5"/>
    <s v="Graduation"/>
    <s v="Married"/>
    <n v="28718"/>
    <n v="1"/>
    <n v="78"/>
    <n v="12"/>
    <n v="4"/>
    <n v="6"/>
    <n v="11"/>
    <n v="8"/>
    <n v="16"/>
    <n v="57"/>
    <n v="2"/>
    <n v="2"/>
    <n v="0"/>
    <n v="3"/>
    <n v="8"/>
    <n v="0"/>
    <n v="0"/>
    <n v="0"/>
    <n v="0"/>
    <n v="0"/>
    <n v="0"/>
    <n v="0"/>
  </r>
  <r>
    <d v="2013-05-26T00:00:00"/>
    <n v="5883"/>
    <n v="1972"/>
    <x v="0"/>
    <s v="Graduation"/>
    <s v="Married"/>
    <n v="77981"/>
    <n v="1"/>
    <n v="78"/>
    <n v="138"/>
    <n v="120"/>
    <n v="204"/>
    <n v="16"/>
    <n v="126"/>
    <n v="60"/>
    <n v="664"/>
    <n v="3"/>
    <n v="7"/>
    <n v="4"/>
    <n v="7"/>
    <n v="5"/>
    <n v="0"/>
    <n v="0"/>
    <n v="0"/>
    <n v="0"/>
    <n v="0"/>
    <n v="0"/>
    <n v="0"/>
  </r>
  <r>
    <d v="2013-05-20T00:00:00"/>
    <n v="10091"/>
    <n v="1956"/>
    <x v="0"/>
    <s v="Graduation"/>
    <s v="Single"/>
    <n v="60230"/>
    <n v="1"/>
    <n v="78"/>
    <n v="520"/>
    <n v="20"/>
    <n v="367"/>
    <n v="39"/>
    <n v="81"/>
    <n v="40"/>
    <n v="1067"/>
    <n v="2"/>
    <n v="6"/>
    <n v="3"/>
    <n v="6"/>
    <n v="5"/>
    <n v="0"/>
    <n v="0"/>
    <n v="0"/>
    <n v="0"/>
    <n v="0"/>
    <n v="0"/>
    <n v="0"/>
  </r>
  <r>
    <d v="2013-03-12T00:00:00"/>
    <n v="697"/>
    <n v="1969"/>
    <x v="0"/>
    <s v="Graduation"/>
    <s v="Together"/>
    <n v="74918"/>
    <n v="0"/>
    <n v="78"/>
    <n v="972"/>
    <n v="59"/>
    <n v="913"/>
    <n v="25"/>
    <n v="19"/>
    <n v="59"/>
    <n v="2047"/>
    <n v="1"/>
    <n v="5"/>
    <n v="9"/>
    <n v="6"/>
    <n v="3"/>
    <n v="0"/>
    <n v="0"/>
    <n v="1"/>
    <n v="0"/>
    <n v="0"/>
    <n v="0"/>
    <n v="0"/>
  </r>
  <r>
    <d v="2013-01-11T00:00:00"/>
    <n v="2607"/>
    <n v="1953"/>
    <x v="0"/>
    <s v="Graduation"/>
    <s v="Single"/>
    <n v="40464"/>
    <n v="1"/>
    <n v="78"/>
    <n v="424"/>
    <n v="17"/>
    <n v="118"/>
    <n v="7"/>
    <n v="23"/>
    <n v="41"/>
    <n v="630"/>
    <n v="6"/>
    <n v="8"/>
    <n v="2"/>
    <n v="8"/>
    <n v="8"/>
    <n v="0"/>
    <n v="0"/>
    <n v="0"/>
    <n v="0"/>
    <n v="0"/>
    <n v="0"/>
    <n v="0"/>
  </r>
  <r>
    <d v="2012-11-23T00:00:00"/>
    <n v="8427"/>
    <n v="1956"/>
    <x v="0"/>
    <s v="Master"/>
    <s v="Single"/>
    <n v="64857"/>
    <n v="0"/>
    <n v="78"/>
    <n v="556"/>
    <n v="14"/>
    <n v="717"/>
    <n v="210"/>
    <n v="0"/>
    <n v="43"/>
    <n v="1540"/>
    <n v="1"/>
    <n v="7"/>
    <n v="5"/>
    <n v="10"/>
    <n v="4"/>
    <n v="0"/>
    <n v="0"/>
    <n v="0"/>
    <n v="0"/>
    <n v="0"/>
    <n v="0"/>
    <n v="0"/>
  </r>
  <r>
    <d v="2012-11-23T00:00:00"/>
    <n v="217"/>
    <n v="1956"/>
    <x v="1"/>
    <s v="Master"/>
    <s v="Single"/>
    <n v="64857"/>
    <n v="0"/>
    <n v="78"/>
    <n v="556"/>
    <n v="14"/>
    <n v="717"/>
    <n v="210"/>
    <n v="0"/>
    <n v="43"/>
    <n v="1540"/>
    <n v="1"/>
    <n v="7"/>
    <n v="5"/>
    <n v="10"/>
    <n v="4"/>
    <n v="0"/>
    <n v="0"/>
    <n v="0"/>
    <n v="0"/>
    <n v="0"/>
    <n v="0"/>
    <n v="0"/>
  </r>
  <r>
    <d v="2012-10-05T00:00:00"/>
    <n v="6202"/>
    <n v="1960"/>
    <x v="0"/>
    <s v="Graduation"/>
    <s v="Together"/>
    <n v="63381"/>
    <n v="1"/>
    <n v="78"/>
    <n v="571"/>
    <n v="50"/>
    <n v="142"/>
    <n v="33"/>
    <n v="50"/>
    <n v="159"/>
    <n v="1005"/>
    <n v="4"/>
    <n v="4"/>
    <n v="5"/>
    <n v="13"/>
    <n v="2"/>
    <n v="0"/>
    <n v="0"/>
    <n v="0"/>
    <n v="0"/>
    <n v="0"/>
    <n v="0"/>
    <n v="0"/>
  </r>
  <r>
    <d v="2012-10-05T00:00:00"/>
    <n v="3856"/>
    <n v="1960"/>
    <x v="0"/>
    <s v="Graduation"/>
    <s v="Together"/>
    <n v="63381"/>
    <n v="1"/>
    <n v="78"/>
    <n v="571"/>
    <n v="50"/>
    <n v="142"/>
    <n v="33"/>
    <n v="50"/>
    <n v="159"/>
    <n v="1005"/>
    <n v="4"/>
    <n v="4"/>
    <n v="5"/>
    <n v="13"/>
    <n v="2"/>
    <n v="0"/>
    <n v="0"/>
    <n v="0"/>
    <n v="0"/>
    <n v="0"/>
    <n v="0"/>
    <n v="0"/>
  </r>
  <r>
    <d v="2012-09-25T00:00:00"/>
    <n v="10648"/>
    <n v="1982"/>
    <x v="0"/>
    <s v="2n Cycle"/>
    <s v="Together"/>
    <n v="66664"/>
    <n v="0"/>
    <n v="78"/>
    <n v="398"/>
    <n v="96"/>
    <n v="447"/>
    <n v="220"/>
    <n v="96"/>
    <n v="32"/>
    <n v="1289"/>
    <n v="1"/>
    <n v="5"/>
    <n v="7"/>
    <n v="6"/>
    <n v="3"/>
    <n v="0"/>
    <n v="0"/>
    <n v="0"/>
    <n v="0"/>
    <n v="0"/>
    <n v="0"/>
    <n v="0"/>
  </r>
  <r>
    <d v="2012-09-25T00:00:00"/>
    <n v="5120"/>
    <n v="1982"/>
    <x v="6"/>
    <s v="2n Cycle"/>
    <s v="Together"/>
    <n v="66664"/>
    <n v="0"/>
    <n v="78"/>
    <n v="398"/>
    <n v="96"/>
    <n v="447"/>
    <n v="220"/>
    <n v="96"/>
    <n v="32"/>
    <n v="1289"/>
    <n v="1"/>
    <n v="5"/>
    <n v="7"/>
    <n v="6"/>
    <n v="3"/>
    <n v="0"/>
    <n v="0"/>
    <n v="0"/>
    <n v="0"/>
    <n v="0"/>
    <n v="0"/>
    <n v="0"/>
  </r>
  <r>
    <d v="2012-08-08T00:00:00"/>
    <n v="6749"/>
    <n v="1966"/>
    <x v="0"/>
    <s v="Graduation"/>
    <s v="Single"/>
    <n v="86358"/>
    <n v="2"/>
    <n v="78"/>
    <n v="957"/>
    <n v="47"/>
    <n v="494"/>
    <n v="82"/>
    <n v="47"/>
    <n v="95"/>
    <n v="1722"/>
    <n v="4"/>
    <n v="5"/>
    <n v="3"/>
    <n v="6"/>
    <n v="8"/>
    <n v="0"/>
    <n v="0"/>
    <n v="0"/>
    <n v="0"/>
    <n v="0"/>
    <n v="0"/>
    <n v="0"/>
  </r>
  <r>
    <d v="2014-04-01T00:00:00"/>
    <n v="1584"/>
    <n v="1977"/>
    <x v="6"/>
    <s v="Graduation"/>
    <s v="Married"/>
    <n v="41443"/>
    <n v="1"/>
    <n v="79"/>
    <n v="171"/>
    <n v="7"/>
    <n v="171"/>
    <n v="25"/>
    <n v="19"/>
    <n v="89"/>
    <n v="482"/>
    <n v="6"/>
    <n v="8"/>
    <n v="1"/>
    <n v="5"/>
    <n v="8"/>
    <n v="0"/>
    <n v="0"/>
    <n v="0"/>
    <n v="0"/>
    <n v="0"/>
    <n v="0"/>
    <n v="0"/>
  </r>
  <r>
    <d v="2014-01-24T00:00:00"/>
    <n v="9559"/>
    <n v="1961"/>
    <x v="1"/>
    <s v="PhD"/>
    <s v="Married"/>
    <n v="57072"/>
    <n v="1"/>
    <n v="79"/>
    <n v="944"/>
    <n v="0"/>
    <n v="60"/>
    <n v="0"/>
    <n v="0"/>
    <n v="30"/>
    <n v="1034"/>
    <n v="2"/>
    <n v="7"/>
    <n v="5"/>
    <n v="13"/>
    <n v="5"/>
    <n v="1"/>
    <n v="0"/>
    <n v="0"/>
    <n v="0"/>
    <n v="0"/>
    <n v="0"/>
    <n v="0"/>
  </r>
  <r>
    <d v="2014-01-21T00:00:00"/>
    <n v="771"/>
    <n v="1967"/>
    <x v="4"/>
    <s v="Graduation"/>
    <s v="Together"/>
    <n v="54178"/>
    <n v="1"/>
    <n v="79"/>
    <n v="135"/>
    <n v="9"/>
    <n v="39"/>
    <n v="4"/>
    <n v="0"/>
    <n v="7"/>
    <n v="194"/>
    <n v="1"/>
    <n v="2"/>
    <n v="2"/>
    <n v="5"/>
    <n v="2"/>
    <n v="0"/>
    <n v="0"/>
    <n v="0"/>
    <n v="0"/>
    <n v="0"/>
    <n v="0"/>
    <n v="0"/>
  </r>
  <r>
    <d v="2014-01-01T00:00:00"/>
    <n v="5237"/>
    <n v="1950"/>
    <x v="3"/>
    <s v="PhD"/>
    <s v="Single"/>
    <n v="48767"/>
    <n v="3"/>
    <n v="79"/>
    <n v="28"/>
    <n v="1"/>
    <n v="21"/>
    <n v="3"/>
    <n v="0"/>
    <n v="10"/>
    <n v="63"/>
    <n v="3"/>
    <n v="2"/>
    <n v="1"/>
    <n v="3"/>
    <n v="5"/>
    <n v="0"/>
    <n v="0"/>
    <n v="0"/>
    <n v="0"/>
    <n v="0"/>
    <n v="0"/>
    <n v="0"/>
  </r>
  <r>
    <d v="2013-12-18T00:00:00"/>
    <n v="2461"/>
    <n v="1955"/>
    <x v="1"/>
    <s v="Master"/>
    <s v="Single"/>
    <n v="51124"/>
    <n v="2"/>
    <n v="79"/>
    <n v="26"/>
    <n v="1"/>
    <n v="11"/>
    <n v="0"/>
    <n v="1"/>
    <n v="4"/>
    <n v="43"/>
    <n v="2"/>
    <n v="1"/>
    <n v="0"/>
    <n v="3"/>
    <n v="3"/>
    <n v="0"/>
    <n v="0"/>
    <n v="0"/>
    <n v="0"/>
    <n v="0"/>
    <n v="0"/>
    <n v="0"/>
  </r>
  <r>
    <d v="2013-11-30T00:00:00"/>
    <n v="5474"/>
    <n v="1970"/>
    <x v="2"/>
    <s v="Graduation"/>
    <s v="Single"/>
    <n v="43020"/>
    <n v="1"/>
    <n v="79"/>
    <n v="45"/>
    <n v="7"/>
    <n v="99"/>
    <n v="4"/>
    <n v="25"/>
    <n v="43"/>
    <n v="223"/>
    <n v="3"/>
    <n v="4"/>
    <n v="1"/>
    <n v="4"/>
    <n v="6"/>
    <n v="0"/>
    <n v="0"/>
    <n v="0"/>
    <n v="0"/>
    <n v="0"/>
    <n v="0"/>
    <n v="0"/>
  </r>
  <r>
    <d v="2013-10-23T00:00:00"/>
    <n v="2895"/>
    <n v="1963"/>
    <x v="5"/>
    <s v="Graduation"/>
    <s v="Single"/>
    <n v="49980"/>
    <n v="1"/>
    <n v="79"/>
    <n v="104"/>
    <n v="1"/>
    <n v="54"/>
    <n v="13"/>
    <n v="9"/>
    <n v="14"/>
    <n v="195"/>
    <n v="2"/>
    <n v="3"/>
    <n v="1"/>
    <n v="5"/>
    <n v="5"/>
    <n v="0"/>
    <n v="0"/>
    <n v="0"/>
    <n v="0"/>
    <n v="0"/>
    <n v="0"/>
    <n v="0"/>
  </r>
  <r>
    <d v="2013-09-17T00:00:00"/>
    <n v="7972"/>
    <n v="1955"/>
    <x v="0"/>
    <s v="Graduation"/>
    <s v="Single"/>
    <n v="72906"/>
    <n v="0"/>
    <n v="79"/>
    <n v="400"/>
    <n v="32"/>
    <n v="519"/>
    <n v="71"/>
    <n v="75"/>
    <n v="54"/>
    <n v="1151"/>
    <n v="1"/>
    <n v="3"/>
    <n v="4"/>
    <n v="9"/>
    <n v="1"/>
    <n v="0"/>
    <n v="0"/>
    <n v="0"/>
    <n v="0"/>
    <n v="0"/>
    <n v="0"/>
    <n v="0"/>
  </r>
  <r>
    <d v="2013-08-10T00:00:00"/>
    <n v="10067"/>
    <n v="1976"/>
    <x v="4"/>
    <s v="2n Cycle"/>
    <s v="Together"/>
    <n v="25176"/>
    <n v="2"/>
    <n v="79"/>
    <n v="4"/>
    <n v="0"/>
    <n v="4"/>
    <n v="0"/>
    <n v="0"/>
    <n v="5"/>
    <n v="13"/>
    <n v="1"/>
    <n v="1"/>
    <n v="0"/>
    <n v="2"/>
    <n v="7"/>
    <n v="0"/>
    <n v="0"/>
    <n v="0"/>
    <n v="0"/>
    <n v="0"/>
    <n v="0"/>
    <n v="0"/>
  </r>
  <r>
    <d v="2013-08-06T00:00:00"/>
    <n v="500"/>
    <n v="1977"/>
    <x v="0"/>
    <s v="Graduation"/>
    <s v="Together"/>
    <n v="96876"/>
    <n v="0"/>
    <n v="79"/>
    <n v="908"/>
    <n v="43"/>
    <n v="735"/>
    <n v="40"/>
    <n v="194"/>
    <n v="21"/>
    <n v="1941"/>
    <n v="1"/>
    <n v="7"/>
    <n v="7"/>
    <n v="9"/>
    <n v="2"/>
    <n v="0"/>
    <n v="1"/>
    <n v="1"/>
    <n v="1"/>
    <n v="0"/>
    <n v="1"/>
    <n v="0"/>
  </r>
  <r>
    <d v="2013-05-04T00:00:00"/>
    <n v="922"/>
    <n v="1979"/>
    <x v="4"/>
    <s v="2n Cycle"/>
    <s v="Married"/>
    <n v="31086"/>
    <n v="2"/>
    <n v="79"/>
    <n v="16"/>
    <n v="2"/>
    <n v="11"/>
    <n v="3"/>
    <n v="0"/>
    <n v="16"/>
    <n v="48"/>
    <n v="2"/>
    <n v="1"/>
    <n v="1"/>
    <n v="2"/>
    <n v="8"/>
    <n v="1"/>
    <n v="0"/>
    <n v="0"/>
    <n v="0"/>
    <n v="0"/>
    <n v="0"/>
    <n v="0"/>
  </r>
  <r>
    <d v="2013-04-16T00:00:00"/>
    <n v="2861"/>
    <n v="1983"/>
    <x v="0"/>
    <s v="Graduation"/>
    <s v="Single"/>
    <n v="24072"/>
    <n v="1"/>
    <n v="79"/>
    <n v="9"/>
    <n v="1"/>
    <n v="6"/>
    <n v="3"/>
    <n v="0"/>
    <n v="4"/>
    <n v="23"/>
    <n v="1"/>
    <n v="1"/>
    <n v="0"/>
    <n v="2"/>
    <n v="8"/>
    <n v="0"/>
    <n v="0"/>
    <n v="0"/>
    <n v="0"/>
    <n v="0"/>
    <n v="0"/>
    <n v="0"/>
  </r>
  <r>
    <d v="2013-02-25T00:00:00"/>
    <n v="375"/>
    <n v="1954"/>
    <x v="0"/>
    <s v="Graduation"/>
    <s v="Divorced"/>
    <n v="76773"/>
    <n v="0"/>
    <n v="79"/>
    <n v="516"/>
    <n v="56"/>
    <n v="449"/>
    <n v="86"/>
    <n v="33"/>
    <n v="16"/>
    <n v="1156"/>
    <n v="1"/>
    <n v="2"/>
    <n v="2"/>
    <n v="11"/>
    <n v="1"/>
    <n v="0"/>
    <n v="0"/>
    <n v="0"/>
    <n v="0"/>
    <n v="0"/>
    <n v="0"/>
    <n v="0"/>
  </r>
  <r>
    <d v="2013-02-13T00:00:00"/>
    <n v="10936"/>
    <n v="1965"/>
    <x v="3"/>
    <s v="Graduation"/>
    <s v="Married"/>
    <n v="72190"/>
    <n v="0"/>
    <n v="79"/>
    <n v="597"/>
    <n v="166"/>
    <n v="597"/>
    <n v="172"/>
    <n v="166"/>
    <n v="249"/>
    <n v="1947"/>
    <n v="1"/>
    <n v="5"/>
    <n v="6"/>
    <n v="4"/>
    <n v="3"/>
    <n v="0"/>
    <n v="0"/>
    <n v="0"/>
    <n v="0"/>
    <n v="0"/>
    <n v="0"/>
    <n v="0"/>
  </r>
  <r>
    <d v="2012-12-16T00:00:00"/>
    <n v="10314"/>
    <n v="1948"/>
    <x v="5"/>
    <s v="PhD"/>
    <s v="Married"/>
    <n v="83837"/>
    <n v="0"/>
    <n v="79"/>
    <n v="847"/>
    <n v="66"/>
    <n v="119"/>
    <n v="86"/>
    <n v="89"/>
    <n v="111"/>
    <n v="1318"/>
    <n v="1"/>
    <n v="9"/>
    <n v="10"/>
    <n v="5"/>
    <n v="4"/>
    <n v="0"/>
    <n v="1"/>
    <n v="0"/>
    <n v="1"/>
    <n v="0"/>
    <n v="1"/>
    <n v="0"/>
  </r>
  <r>
    <d v="2012-11-03T00:00:00"/>
    <n v="4240"/>
    <n v="1978"/>
    <x v="0"/>
    <s v="Graduation"/>
    <s v="Married"/>
    <n v="17345"/>
    <n v="1"/>
    <n v="79"/>
    <n v="4"/>
    <n v="9"/>
    <n v="16"/>
    <n v="17"/>
    <n v="0"/>
    <n v="12"/>
    <n v="58"/>
    <n v="2"/>
    <n v="2"/>
    <n v="1"/>
    <n v="2"/>
    <n v="8"/>
    <n v="0"/>
    <n v="0"/>
    <n v="0"/>
    <n v="0"/>
    <n v="0"/>
    <n v="0"/>
    <n v="0"/>
  </r>
  <r>
    <d v="2012-09-04T00:00:00"/>
    <n v="2674"/>
    <n v="1958"/>
    <x v="2"/>
    <s v="Master"/>
    <s v="Single"/>
    <n v="75154"/>
    <n v="1"/>
    <n v="79"/>
    <n v="543"/>
    <n v="10"/>
    <n v="205"/>
    <n v="160"/>
    <n v="143"/>
    <n v="82"/>
    <n v="1143"/>
    <n v="1"/>
    <n v="6"/>
    <n v="3"/>
    <n v="6"/>
    <n v="3"/>
    <n v="0"/>
    <n v="0"/>
    <n v="0"/>
    <n v="0"/>
    <n v="0"/>
    <n v="1"/>
    <n v="0"/>
  </r>
  <r>
    <d v="2014-06-15T00:00:00"/>
    <n v="2563"/>
    <n v="1961"/>
    <x v="5"/>
    <s v="Basic"/>
    <s v="Married"/>
    <n v="28249"/>
    <n v="0"/>
    <n v="80"/>
    <n v="1"/>
    <n v="9"/>
    <n v="7"/>
    <n v="2"/>
    <n v="14"/>
    <n v="10"/>
    <n v="43"/>
    <n v="1"/>
    <n v="2"/>
    <n v="0"/>
    <n v="3"/>
    <n v="6"/>
    <n v="0"/>
    <n v="0"/>
    <n v="0"/>
    <n v="0"/>
    <n v="0"/>
    <n v="0"/>
    <n v="0"/>
  </r>
  <r>
    <d v="2014-06-15T00:00:00"/>
    <n v="8312"/>
    <n v="1961"/>
    <x v="0"/>
    <s v="Basic"/>
    <s v="Married"/>
    <n v="28249"/>
    <n v="0"/>
    <n v="80"/>
    <n v="1"/>
    <n v="9"/>
    <n v="7"/>
    <n v="2"/>
    <n v="14"/>
    <n v="10"/>
    <n v="43"/>
    <n v="1"/>
    <n v="2"/>
    <n v="0"/>
    <n v="3"/>
    <n v="6"/>
    <n v="0"/>
    <n v="0"/>
    <n v="0"/>
    <n v="0"/>
    <n v="0"/>
    <n v="0"/>
    <n v="0"/>
  </r>
  <r>
    <d v="2014-05-13T00:00:00"/>
    <n v="6999"/>
    <n v="1980"/>
    <x v="5"/>
    <s v="Master"/>
    <s v="Married"/>
    <n v="69661"/>
    <n v="0"/>
    <n v="80"/>
    <n v="656"/>
    <n v="16"/>
    <n v="106"/>
    <n v="32"/>
    <n v="16"/>
    <n v="8"/>
    <n v="834"/>
    <n v="1"/>
    <n v="7"/>
    <n v="3"/>
    <n v="12"/>
    <n v="3"/>
    <n v="0"/>
    <n v="0"/>
    <n v="0"/>
    <n v="0"/>
    <n v="0"/>
    <n v="0"/>
    <n v="0"/>
  </r>
  <r>
    <d v="2014-05-10T00:00:00"/>
    <n v="7574"/>
    <n v="1979"/>
    <x v="6"/>
    <s v="PhD"/>
    <s v="Together"/>
    <n v="27922"/>
    <n v="1"/>
    <n v="80"/>
    <n v="11"/>
    <n v="0"/>
    <n v="13"/>
    <n v="2"/>
    <n v="4"/>
    <n v="11"/>
    <n v="41"/>
    <n v="1"/>
    <n v="2"/>
    <n v="0"/>
    <n v="3"/>
    <n v="4"/>
    <n v="0"/>
    <n v="0"/>
    <n v="0"/>
    <n v="0"/>
    <n v="0"/>
    <n v="0"/>
    <n v="0"/>
  </r>
  <r>
    <d v="2014-04-23T00:00:00"/>
    <n v="5223"/>
    <n v="1966"/>
    <x v="6"/>
    <s v="Master"/>
    <s v="Together"/>
    <n v="45903"/>
    <n v="1"/>
    <n v="80"/>
    <n v="33"/>
    <n v="8"/>
    <n v="10"/>
    <n v="2"/>
    <n v="10"/>
    <n v="3"/>
    <n v="66"/>
    <n v="2"/>
    <n v="2"/>
    <n v="1"/>
    <n v="3"/>
    <n v="4"/>
    <n v="0"/>
    <n v="0"/>
    <n v="0"/>
    <n v="0"/>
    <n v="0"/>
    <n v="0"/>
    <n v="0"/>
  </r>
  <r>
    <d v="2014-04-16T00:00:00"/>
    <n v="2952"/>
    <n v="1977"/>
    <x v="0"/>
    <s v="Master"/>
    <s v="Single"/>
    <n v="36273"/>
    <n v="1"/>
    <n v="80"/>
    <n v="29"/>
    <n v="3"/>
    <n v="30"/>
    <n v="3"/>
    <n v="2"/>
    <n v="9"/>
    <n v="76"/>
    <n v="2"/>
    <n v="3"/>
    <n v="0"/>
    <n v="3"/>
    <n v="6"/>
    <n v="0"/>
    <n v="0"/>
    <n v="0"/>
    <n v="0"/>
    <n v="0"/>
    <n v="0"/>
    <n v="0"/>
  </r>
  <r>
    <d v="2014-02-25T00:00:00"/>
    <n v="7683"/>
    <n v="1968"/>
    <x v="0"/>
    <s v="Master"/>
    <s v="Married"/>
    <n v="70777"/>
    <n v="1"/>
    <n v="80"/>
    <n v="554"/>
    <n v="35"/>
    <n v="113"/>
    <n v="0"/>
    <n v="7"/>
    <n v="78"/>
    <n v="787"/>
    <n v="3"/>
    <n v="5"/>
    <n v="3"/>
    <n v="12"/>
    <n v="3"/>
    <n v="0"/>
    <n v="0"/>
    <n v="0"/>
    <n v="0"/>
    <n v="0"/>
    <n v="0"/>
    <n v="0"/>
  </r>
  <r>
    <d v="2014-01-28T00:00:00"/>
    <n v="9481"/>
    <n v="1976"/>
    <x v="1"/>
    <s v="Graduation"/>
    <s v="Married"/>
    <n v="17148"/>
    <n v="1"/>
    <n v="80"/>
    <n v="9"/>
    <n v="9"/>
    <n v="11"/>
    <n v="13"/>
    <n v="10"/>
    <n v="16"/>
    <n v="68"/>
    <n v="4"/>
    <n v="3"/>
    <n v="1"/>
    <n v="3"/>
    <n v="8"/>
    <n v="0"/>
    <n v="0"/>
    <n v="0"/>
    <n v="0"/>
    <n v="0"/>
    <n v="0"/>
    <n v="0"/>
  </r>
  <r>
    <d v="2013-12-04T00:00:00"/>
    <n v="9907"/>
    <n v="1969"/>
    <x v="4"/>
    <s v="Master"/>
    <s v="Together"/>
    <n v="66476"/>
    <n v="1"/>
    <n v="80"/>
    <n v="742"/>
    <n v="28"/>
    <n v="152"/>
    <n v="25"/>
    <n v="9"/>
    <n v="57"/>
    <n v="1013"/>
    <n v="2"/>
    <n v="6"/>
    <n v="8"/>
    <n v="10"/>
    <n v="4"/>
    <n v="0"/>
    <n v="0"/>
    <n v="0"/>
    <n v="0"/>
    <n v="0"/>
    <n v="0"/>
    <n v="0"/>
  </r>
  <r>
    <d v="2013-12-01T00:00:00"/>
    <n v="5454"/>
    <n v="1979"/>
    <x v="2"/>
    <s v="Master"/>
    <s v="Married"/>
    <n v="45057"/>
    <n v="1"/>
    <n v="80"/>
    <n v="37"/>
    <n v="0"/>
    <n v="7"/>
    <n v="3"/>
    <n v="0"/>
    <n v="3"/>
    <n v="50"/>
    <n v="1"/>
    <n v="2"/>
    <n v="0"/>
    <n v="3"/>
    <n v="5"/>
    <n v="0"/>
    <n v="0"/>
    <n v="0"/>
    <n v="0"/>
    <n v="0"/>
    <n v="0"/>
    <n v="0"/>
  </r>
  <r>
    <d v="2013-11-06T00:00:00"/>
    <n v="3798"/>
    <n v="1968"/>
    <x v="0"/>
    <s v="Graduation"/>
    <s v="Married"/>
    <n v="41120"/>
    <n v="2"/>
    <n v="80"/>
    <n v="24"/>
    <n v="2"/>
    <n v="23"/>
    <n v="0"/>
    <n v="8"/>
    <n v="24"/>
    <n v="81"/>
    <n v="3"/>
    <n v="2"/>
    <n v="1"/>
    <n v="3"/>
    <n v="6"/>
    <n v="0"/>
    <n v="0"/>
    <n v="0"/>
    <n v="0"/>
    <n v="0"/>
    <n v="0"/>
    <n v="0"/>
  </r>
  <r>
    <d v="2013-11-05T00:00:00"/>
    <n v="7281"/>
    <n v="1959"/>
    <x v="3"/>
    <s v="PhD"/>
    <s v="Single"/>
    <n v="53790.45"/>
    <n v="0"/>
    <n v="80"/>
    <n v="81"/>
    <n v="11"/>
    <n v="50"/>
    <n v="3"/>
    <n v="2"/>
    <n v="39"/>
    <n v="186"/>
    <n v="1"/>
    <n v="1"/>
    <n v="3"/>
    <n v="4"/>
    <n v="2"/>
    <n v="0"/>
    <n v="0"/>
    <n v="0"/>
    <n v="0"/>
    <n v="0"/>
    <n v="0"/>
    <n v="0"/>
  </r>
  <r>
    <d v="2013-09-24T00:00:00"/>
    <n v="4259"/>
    <n v="1986"/>
    <x v="5"/>
    <s v="Master"/>
    <s v="Single"/>
    <n v="19485"/>
    <n v="2"/>
    <n v="80"/>
    <n v="6"/>
    <n v="0"/>
    <n v="4"/>
    <n v="0"/>
    <n v="0"/>
    <n v="0"/>
    <n v="10"/>
    <n v="1"/>
    <n v="1"/>
    <n v="0"/>
    <n v="2"/>
    <n v="7"/>
    <n v="0"/>
    <n v="0"/>
    <n v="0"/>
    <n v="0"/>
    <n v="0"/>
    <n v="0"/>
    <n v="0"/>
  </r>
  <r>
    <d v="2013-07-21T00:00:00"/>
    <n v="2549"/>
    <n v="1983"/>
    <x v="0"/>
    <s v="PhD"/>
    <s v="Together"/>
    <n v="21840"/>
    <n v="1"/>
    <n v="80"/>
    <n v="17"/>
    <n v="0"/>
    <n v="9"/>
    <n v="0"/>
    <n v="0"/>
    <n v="1"/>
    <n v="27"/>
    <n v="1"/>
    <n v="1"/>
    <n v="0"/>
    <n v="3"/>
    <n v="9"/>
    <n v="0"/>
    <n v="0"/>
    <n v="0"/>
    <n v="0"/>
    <n v="0"/>
    <n v="0"/>
    <n v="0"/>
  </r>
  <r>
    <d v="2013-06-19T00:00:00"/>
    <n v="6437"/>
    <n v="1985"/>
    <x v="0"/>
    <s v="2n Cycle"/>
    <s v="Single"/>
    <n v="41473"/>
    <n v="1"/>
    <n v="80"/>
    <n v="21"/>
    <n v="8"/>
    <n v="20"/>
    <n v="15"/>
    <n v="3"/>
    <n v="9"/>
    <n v="76"/>
    <n v="1"/>
    <n v="2"/>
    <n v="0"/>
    <n v="3"/>
    <n v="7"/>
    <n v="0"/>
    <n v="0"/>
    <n v="0"/>
    <n v="0"/>
    <n v="0"/>
    <n v="0"/>
    <n v="0"/>
  </r>
  <r>
    <d v="2013-03-23T00:00:00"/>
    <n v="2488"/>
    <n v="1956"/>
    <x v="0"/>
    <s v="2n Cycle"/>
    <s v="Divorced"/>
    <n v="31395"/>
    <n v="2"/>
    <n v="80"/>
    <n v="23"/>
    <n v="1"/>
    <n v="25"/>
    <n v="0"/>
    <n v="8"/>
    <n v="7"/>
    <n v="64"/>
    <n v="4"/>
    <n v="2"/>
    <n v="1"/>
    <n v="3"/>
    <n v="6"/>
    <n v="0"/>
    <n v="0"/>
    <n v="0"/>
    <n v="0"/>
    <n v="0"/>
    <n v="0"/>
    <n v="0"/>
  </r>
  <r>
    <d v="2013-03-10T00:00:00"/>
    <n v="3945"/>
    <n v="1947"/>
    <x v="0"/>
    <s v="PhD"/>
    <s v="Widow"/>
    <n v="68117"/>
    <n v="1"/>
    <n v="80"/>
    <n v="618"/>
    <n v="44"/>
    <n v="215"/>
    <n v="0"/>
    <n v="17"/>
    <n v="36"/>
    <n v="930"/>
    <n v="2"/>
    <n v="11"/>
    <n v="8"/>
    <n v="4"/>
    <n v="6"/>
    <n v="1"/>
    <n v="0"/>
    <n v="0"/>
    <n v="0"/>
    <n v="0"/>
    <n v="1"/>
    <n v="0"/>
  </r>
  <r>
    <d v="2013-02-15T00:00:00"/>
    <n v="702"/>
    <n v="1975"/>
    <x v="0"/>
    <s v="2n Cycle"/>
    <s v="Widow"/>
    <n v="47682"/>
    <n v="1"/>
    <n v="80"/>
    <n v="162"/>
    <n v="61"/>
    <n v="83"/>
    <n v="97"/>
    <n v="57"/>
    <n v="61"/>
    <n v="521"/>
    <n v="4"/>
    <n v="4"/>
    <n v="3"/>
    <n v="8"/>
    <n v="5"/>
    <n v="0"/>
    <n v="0"/>
    <n v="0"/>
    <n v="0"/>
    <n v="0"/>
    <n v="0"/>
    <n v="0"/>
  </r>
  <r>
    <d v="2013-02-10T00:00:00"/>
    <n v="9010"/>
    <n v="1972"/>
    <x v="0"/>
    <s v="Master"/>
    <s v="Married"/>
    <n v="83151"/>
    <n v="0"/>
    <n v="80"/>
    <n v="968"/>
    <n v="147"/>
    <n v="842"/>
    <n v="137"/>
    <n v="42"/>
    <n v="210"/>
    <n v="2346"/>
    <n v="1"/>
    <n v="5"/>
    <n v="7"/>
    <n v="10"/>
    <n v="2"/>
    <n v="1"/>
    <n v="0"/>
    <n v="1"/>
    <n v="1"/>
    <n v="0"/>
    <n v="1"/>
    <n v="0"/>
  </r>
  <r>
    <d v="2013-01-20T00:00:00"/>
    <n v="9710"/>
    <n v="1969"/>
    <x v="0"/>
    <s v="PhD"/>
    <s v="Divorced"/>
    <n v="58086"/>
    <n v="1"/>
    <n v="80"/>
    <n v="708"/>
    <n v="7"/>
    <n v="62"/>
    <n v="0"/>
    <n v="0"/>
    <n v="15"/>
    <n v="792"/>
    <n v="2"/>
    <n v="11"/>
    <n v="3"/>
    <n v="7"/>
    <n v="8"/>
    <n v="0"/>
    <n v="0"/>
    <n v="0"/>
    <n v="0"/>
    <n v="0"/>
    <n v="0"/>
    <n v="0"/>
  </r>
  <r>
    <d v="2013-01-04T00:00:00"/>
    <n v="1509"/>
    <n v="1958"/>
    <x v="0"/>
    <s v="PhD"/>
    <s v="Together"/>
    <n v="84460"/>
    <n v="0"/>
    <n v="80"/>
    <n v="152"/>
    <n v="27"/>
    <n v="103"/>
    <n v="106"/>
    <n v="54"/>
    <n v="81"/>
    <n v="523"/>
    <n v="0"/>
    <n v="9"/>
    <n v="9"/>
    <n v="4"/>
    <n v="5"/>
    <n v="0"/>
    <n v="1"/>
    <n v="1"/>
    <n v="1"/>
    <n v="1"/>
    <n v="1"/>
    <n v="0"/>
  </r>
  <r>
    <d v="2012-12-05T00:00:00"/>
    <n v="9120"/>
    <n v="1962"/>
    <x v="0"/>
    <s v="Graduation"/>
    <s v="Single"/>
    <n v="66565"/>
    <n v="1"/>
    <n v="80"/>
    <n v="747"/>
    <n v="10"/>
    <n v="161"/>
    <n v="65"/>
    <n v="40"/>
    <n v="42"/>
    <n v="1065"/>
    <n v="4"/>
    <n v="4"/>
    <n v="2"/>
    <n v="9"/>
    <n v="8"/>
    <n v="0"/>
    <n v="0"/>
    <n v="0"/>
    <n v="0"/>
    <n v="0"/>
    <n v="0"/>
    <n v="0"/>
  </r>
  <r>
    <d v="2012-10-26T00:00:00"/>
    <n v="5252"/>
    <n v="1969"/>
    <x v="0"/>
    <s v="Graduation"/>
    <s v="Divorced"/>
    <n v="23910"/>
    <n v="1"/>
    <n v="80"/>
    <n v="16"/>
    <n v="12"/>
    <n v="18"/>
    <n v="7"/>
    <n v="1"/>
    <n v="13"/>
    <n v="67"/>
    <n v="1"/>
    <n v="2"/>
    <n v="0"/>
    <n v="3"/>
    <n v="7"/>
    <n v="0"/>
    <n v="0"/>
    <n v="0"/>
    <n v="0"/>
    <n v="0"/>
    <n v="0"/>
    <n v="0"/>
  </r>
  <r>
    <d v="2012-10-15T00:00:00"/>
    <n v="5959"/>
    <n v="1968"/>
    <x v="5"/>
    <s v="Graduation"/>
    <s v="Single"/>
    <n v="35893"/>
    <n v="2"/>
    <n v="80"/>
    <n v="158"/>
    <n v="0"/>
    <n v="23"/>
    <n v="0"/>
    <n v="0"/>
    <n v="18"/>
    <n v="199"/>
    <n v="6"/>
    <n v="3"/>
    <n v="1"/>
    <n v="5"/>
    <n v="8"/>
    <n v="0"/>
    <n v="0"/>
    <n v="0"/>
    <n v="0"/>
    <n v="0"/>
    <n v="0"/>
    <n v="0"/>
  </r>
  <r>
    <d v="2012-10-06T00:00:00"/>
    <n v="7441"/>
    <n v="1973"/>
    <x v="2"/>
    <s v="Graduation"/>
    <s v="Divorced"/>
    <n v="71128"/>
    <n v="1"/>
    <n v="80"/>
    <n v="958"/>
    <n v="159"/>
    <n v="447"/>
    <n v="20"/>
    <n v="0"/>
    <n v="31"/>
    <n v="1615"/>
    <n v="3"/>
    <n v="2"/>
    <n v="10"/>
    <n v="12"/>
    <n v="7"/>
    <n v="0"/>
    <n v="0"/>
    <n v="0"/>
    <n v="0"/>
    <n v="0"/>
    <n v="0"/>
    <n v="0"/>
  </r>
  <r>
    <d v="2012-10-04T00:00:00"/>
    <n v="4271"/>
    <n v="1989"/>
    <x v="5"/>
    <s v="2n Cycle"/>
    <s v="Together"/>
    <n v="38683"/>
    <n v="1"/>
    <n v="80"/>
    <n v="46"/>
    <n v="35"/>
    <n v="69"/>
    <n v="84"/>
    <n v="41"/>
    <n v="66"/>
    <n v="341"/>
    <n v="6"/>
    <n v="4"/>
    <n v="1"/>
    <n v="6"/>
    <n v="7"/>
    <n v="0"/>
    <n v="0"/>
    <n v="0"/>
    <n v="0"/>
    <n v="0"/>
    <n v="0"/>
    <n v="0"/>
  </r>
  <r>
    <d v="2012-09-11T00:00:00"/>
    <n v="4095"/>
    <n v="1971"/>
    <x v="2"/>
    <s v="Graduation"/>
    <s v="Married"/>
    <n v="37150"/>
    <n v="1"/>
    <n v="80"/>
    <n v="167"/>
    <n v="37"/>
    <n v="64"/>
    <n v="49"/>
    <n v="34"/>
    <n v="116"/>
    <n v="467"/>
    <n v="8"/>
    <n v="4"/>
    <n v="3"/>
    <n v="6"/>
    <n v="7"/>
    <n v="0"/>
    <n v="0"/>
    <n v="0"/>
    <n v="0"/>
    <n v="0"/>
    <n v="0"/>
    <n v="0"/>
  </r>
  <r>
    <d v="2012-08-31T00:00:00"/>
    <n v="8852"/>
    <n v="1976"/>
    <x v="0"/>
    <s v="Graduation"/>
    <s v="Married"/>
    <n v="61064"/>
    <n v="1"/>
    <n v="80"/>
    <n v="387"/>
    <n v="126"/>
    <n v="342"/>
    <n v="0"/>
    <n v="45"/>
    <n v="180"/>
    <n v="1080"/>
    <n v="5"/>
    <n v="8"/>
    <n v="4"/>
    <n v="11"/>
    <n v="6"/>
    <n v="0"/>
    <n v="0"/>
    <n v="0"/>
    <n v="0"/>
    <n v="0"/>
    <n v="0"/>
    <n v="0"/>
  </r>
  <r>
    <d v="2014-05-11T00:00:00"/>
    <n v="7698"/>
    <n v="1976"/>
    <x v="5"/>
    <s v="PhD"/>
    <s v="Married"/>
    <n v="51650"/>
    <n v="1"/>
    <n v="81"/>
    <n v="152"/>
    <n v="3"/>
    <n v="22"/>
    <n v="2"/>
    <n v="5"/>
    <n v="7"/>
    <n v="191"/>
    <n v="1"/>
    <n v="4"/>
    <n v="1"/>
    <n v="4"/>
    <n v="5"/>
    <n v="0"/>
    <n v="0"/>
    <n v="0"/>
    <n v="0"/>
    <n v="0"/>
    <n v="0"/>
    <n v="0"/>
  </r>
  <r>
    <d v="2014-04-17T00:00:00"/>
    <n v="4174"/>
    <n v="1956"/>
    <x v="0"/>
    <s v="Master"/>
    <s v="Together"/>
    <n v="55249"/>
    <n v="1"/>
    <n v="81"/>
    <n v="97"/>
    <n v="1"/>
    <n v="19"/>
    <n v="2"/>
    <n v="0"/>
    <n v="11"/>
    <n v="130"/>
    <n v="1"/>
    <n v="2"/>
    <n v="1"/>
    <n v="4"/>
    <n v="3"/>
    <n v="0"/>
    <n v="0"/>
    <n v="0"/>
    <n v="0"/>
    <n v="0"/>
    <n v="0"/>
    <n v="0"/>
  </r>
  <r>
    <d v="2014-03-31T00:00:00"/>
    <n v="3182"/>
    <n v="1973"/>
    <x v="5"/>
    <s v="PhD"/>
    <s v="Single"/>
    <n v="46854"/>
    <n v="2"/>
    <n v="81"/>
    <n v="96"/>
    <n v="1"/>
    <n v="79"/>
    <n v="7"/>
    <n v="1"/>
    <n v="79"/>
    <n v="263"/>
    <n v="6"/>
    <n v="5"/>
    <n v="1"/>
    <n v="3"/>
    <n v="8"/>
    <n v="1"/>
    <n v="0"/>
    <n v="0"/>
    <n v="0"/>
    <n v="0"/>
    <n v="1"/>
    <n v="0"/>
  </r>
  <r>
    <d v="2014-02-17T00:00:00"/>
    <n v="193"/>
    <n v="1996"/>
    <x v="0"/>
    <s v="Basic"/>
    <s v="Married"/>
    <n v="14421"/>
    <n v="0"/>
    <n v="81"/>
    <n v="0"/>
    <n v="0"/>
    <n v="2"/>
    <n v="3"/>
    <n v="3"/>
    <n v="8"/>
    <n v="16"/>
    <n v="1"/>
    <n v="1"/>
    <n v="0"/>
    <n v="2"/>
    <n v="5"/>
    <n v="1"/>
    <n v="0"/>
    <n v="0"/>
    <n v="0"/>
    <n v="0"/>
    <n v="0"/>
    <n v="0"/>
  </r>
  <r>
    <d v="2014-02-16T00:00:00"/>
    <n v="5229"/>
    <n v="1969"/>
    <x v="4"/>
    <s v="PhD"/>
    <s v="Together"/>
    <n v="54132"/>
    <n v="1"/>
    <n v="81"/>
    <n v="30"/>
    <n v="1"/>
    <n v="8"/>
    <n v="0"/>
    <n v="0"/>
    <n v="3"/>
    <n v="42"/>
    <n v="1"/>
    <n v="1"/>
    <n v="0"/>
    <n v="3"/>
    <n v="7"/>
    <n v="0"/>
    <n v="0"/>
    <n v="0"/>
    <n v="0"/>
    <n v="0"/>
    <n v="0"/>
    <n v="0"/>
  </r>
  <r>
    <d v="2014-02-07T00:00:00"/>
    <n v="5555"/>
    <n v="1975"/>
    <x v="0"/>
    <s v="Graduation"/>
    <s v="Divorced"/>
    <n v="153924"/>
    <n v="0"/>
    <n v="81"/>
    <n v="1"/>
    <n v="1"/>
    <n v="1"/>
    <n v="1"/>
    <n v="1"/>
    <n v="1"/>
    <n v="6"/>
    <n v="0"/>
    <n v="0"/>
    <n v="0"/>
    <n v="0"/>
    <n v="0"/>
    <n v="0"/>
    <n v="0"/>
    <n v="0"/>
    <n v="0"/>
    <n v="0"/>
    <n v="0"/>
    <n v="0"/>
  </r>
  <r>
    <d v="2014-01-02T00:00:00"/>
    <n v="7732"/>
    <n v="1978"/>
    <x v="0"/>
    <s v="Graduation"/>
    <s v="Married"/>
    <n v="64813"/>
    <n v="1"/>
    <n v="81"/>
    <n v="293"/>
    <n v="0"/>
    <n v="124"/>
    <n v="179"/>
    <n v="97"/>
    <n v="52"/>
    <n v="745"/>
    <n v="1"/>
    <n v="7"/>
    <n v="2"/>
    <n v="10"/>
    <n v="5"/>
    <n v="0"/>
    <n v="0"/>
    <n v="0"/>
    <n v="0"/>
    <n v="0"/>
    <n v="0"/>
    <n v="0"/>
  </r>
  <r>
    <d v="2013-12-13T00:00:00"/>
    <n v="310"/>
    <n v="1970"/>
    <x v="1"/>
    <s v="Master"/>
    <s v="Married"/>
    <n v="61872"/>
    <n v="1"/>
    <n v="81"/>
    <n v="330"/>
    <n v="5"/>
    <n v="159"/>
    <n v="36"/>
    <n v="27"/>
    <n v="16"/>
    <n v="573"/>
    <n v="4"/>
    <n v="4"/>
    <n v="4"/>
    <n v="9"/>
    <n v="4"/>
    <n v="0"/>
    <n v="0"/>
    <n v="0"/>
    <n v="0"/>
    <n v="0"/>
    <n v="0"/>
    <n v="0"/>
  </r>
  <r>
    <d v="2013-11-26T00:00:00"/>
    <n v="6261"/>
    <n v="1979"/>
    <x v="5"/>
    <s v="Graduation"/>
    <s v="Married"/>
    <n v="58025"/>
    <n v="1"/>
    <n v="81"/>
    <n v="270"/>
    <n v="31"/>
    <n v="88"/>
    <n v="11"/>
    <n v="48"/>
    <n v="22"/>
    <n v="470"/>
    <n v="3"/>
    <n v="3"/>
    <n v="2"/>
    <n v="10"/>
    <n v="4"/>
    <n v="0"/>
    <n v="0"/>
    <n v="0"/>
    <n v="0"/>
    <n v="0"/>
    <n v="0"/>
    <n v="0"/>
  </r>
  <r>
    <d v="2013-11-15T00:00:00"/>
    <n v="6274"/>
    <n v="1948"/>
    <x v="6"/>
    <s v="Master"/>
    <s v="Married"/>
    <n v="83790"/>
    <n v="0"/>
    <n v="81"/>
    <n v="1076"/>
    <n v="16"/>
    <n v="417"/>
    <n v="42"/>
    <n v="48"/>
    <n v="16"/>
    <n v="1615"/>
    <n v="1"/>
    <n v="8"/>
    <n v="10"/>
    <n v="6"/>
    <n v="3"/>
    <n v="0"/>
    <n v="1"/>
    <n v="1"/>
    <n v="0"/>
    <n v="0"/>
    <n v="0"/>
    <n v="0"/>
  </r>
  <r>
    <d v="2013-10-19T00:00:00"/>
    <n v="1655"/>
    <n v="1979"/>
    <x v="3"/>
    <s v="Graduation"/>
    <s v="Together"/>
    <n v="34350"/>
    <n v="1"/>
    <n v="81"/>
    <n v="16"/>
    <n v="3"/>
    <n v="15"/>
    <n v="2"/>
    <n v="1"/>
    <n v="11"/>
    <n v="48"/>
    <n v="1"/>
    <n v="1"/>
    <n v="0"/>
    <n v="3"/>
    <n v="7"/>
    <n v="0"/>
    <n v="0"/>
    <n v="0"/>
    <n v="0"/>
    <n v="0"/>
    <n v="0"/>
    <n v="0"/>
  </r>
  <r>
    <d v="2013-09-22T00:00:00"/>
    <n v="2740"/>
    <n v="1958"/>
    <x v="0"/>
    <s v="PhD"/>
    <s v="Widow"/>
    <n v="33438"/>
    <n v="2"/>
    <n v="81"/>
    <n v="62"/>
    <n v="1"/>
    <n v="16"/>
    <n v="3"/>
    <n v="2"/>
    <n v="6"/>
    <n v="90"/>
    <n v="4"/>
    <n v="2"/>
    <n v="1"/>
    <n v="4"/>
    <n v="5"/>
    <n v="0"/>
    <n v="0"/>
    <n v="0"/>
    <n v="0"/>
    <n v="0"/>
    <n v="0"/>
    <n v="0"/>
  </r>
  <r>
    <d v="2013-09-07T00:00:00"/>
    <n v="4328"/>
    <n v="1986"/>
    <x v="0"/>
    <s v="2n Cycle"/>
    <s v="Married"/>
    <n v="21955"/>
    <n v="1"/>
    <n v="81"/>
    <n v="5"/>
    <n v="1"/>
    <n v="7"/>
    <n v="17"/>
    <n v="14"/>
    <n v="11"/>
    <n v="55"/>
    <n v="2"/>
    <n v="2"/>
    <n v="1"/>
    <n v="3"/>
    <n v="6"/>
    <n v="0"/>
    <n v="0"/>
    <n v="0"/>
    <n v="0"/>
    <n v="0"/>
    <n v="0"/>
    <n v="0"/>
  </r>
  <r>
    <d v="2013-09-06T00:00:00"/>
    <n v="17"/>
    <n v="1971"/>
    <x v="0"/>
    <s v="PhD"/>
    <s v="Married"/>
    <n v="60491"/>
    <n v="1"/>
    <n v="81"/>
    <n v="637"/>
    <n v="47"/>
    <n v="237"/>
    <n v="12"/>
    <n v="19"/>
    <n v="76"/>
    <n v="1028"/>
    <n v="4"/>
    <n v="6"/>
    <n v="11"/>
    <n v="7"/>
    <n v="5"/>
    <n v="0"/>
    <n v="0"/>
    <n v="0"/>
    <n v="0"/>
    <n v="0"/>
    <n v="0"/>
    <n v="0"/>
  </r>
  <r>
    <d v="2013-07-29T00:00:00"/>
    <n v="9153"/>
    <n v="1964"/>
    <x v="0"/>
    <s v="PhD"/>
    <s v="Married"/>
    <n v="59304"/>
    <n v="1"/>
    <n v="81"/>
    <n v="418"/>
    <n v="61"/>
    <n v="428"/>
    <n v="80"/>
    <n v="51"/>
    <n v="10"/>
    <n v="1048"/>
    <n v="3"/>
    <n v="7"/>
    <n v="8"/>
    <n v="10"/>
    <n v="5"/>
    <n v="0"/>
    <n v="0"/>
    <n v="0"/>
    <n v="0"/>
    <n v="0"/>
    <n v="0"/>
    <n v="0"/>
  </r>
  <r>
    <d v="2013-07-01T00:00:00"/>
    <n v="520"/>
    <n v="1974"/>
    <x v="0"/>
    <s v="Graduation"/>
    <s v="Married"/>
    <n v="34421"/>
    <n v="1"/>
    <n v="81"/>
    <n v="3"/>
    <n v="3"/>
    <n v="7"/>
    <n v="6"/>
    <n v="2"/>
    <n v="9"/>
    <n v="30"/>
    <n v="1"/>
    <n v="1"/>
    <n v="0"/>
    <n v="2"/>
    <n v="7"/>
    <n v="0"/>
    <n v="0"/>
    <n v="0"/>
    <n v="0"/>
    <n v="0"/>
    <n v="0"/>
    <n v="0"/>
  </r>
  <r>
    <d v="2013-07-01T00:00:00"/>
    <n v="8372"/>
    <n v="1974"/>
    <x v="6"/>
    <s v="Graduation"/>
    <s v="Married"/>
    <n v="34421"/>
    <n v="1"/>
    <n v="81"/>
    <n v="3"/>
    <n v="3"/>
    <n v="7"/>
    <n v="6"/>
    <n v="2"/>
    <n v="9"/>
    <n v="30"/>
    <n v="1"/>
    <n v="1"/>
    <n v="0"/>
    <n v="2"/>
    <n v="7"/>
    <n v="0"/>
    <n v="0"/>
    <n v="0"/>
    <n v="0"/>
    <n v="0"/>
    <n v="0"/>
    <n v="0"/>
  </r>
  <r>
    <d v="2013-05-26T00:00:00"/>
    <n v="73"/>
    <n v="1953"/>
    <x v="5"/>
    <s v="PhD"/>
    <s v="Single"/>
    <n v="51411"/>
    <n v="3"/>
    <n v="81"/>
    <n v="14"/>
    <n v="0"/>
    <n v="3"/>
    <n v="0"/>
    <n v="0"/>
    <n v="1"/>
    <n v="18"/>
    <n v="1"/>
    <n v="0"/>
    <n v="0"/>
    <n v="3"/>
    <n v="5"/>
    <n v="0"/>
    <n v="0"/>
    <n v="0"/>
    <n v="0"/>
    <n v="0"/>
    <n v="0"/>
    <n v="0"/>
  </r>
  <r>
    <d v="2013-05-20T00:00:00"/>
    <n v="2002"/>
    <n v="1958"/>
    <x v="0"/>
    <s v="Graduation"/>
    <s v="Divorced"/>
    <n v="71964"/>
    <n v="0"/>
    <n v="81"/>
    <n v="587"/>
    <n v="51"/>
    <n v="932"/>
    <n v="180"/>
    <n v="34"/>
    <n v="86"/>
    <n v="1870"/>
    <n v="1"/>
    <n v="5"/>
    <n v="6"/>
    <n v="5"/>
    <n v="3"/>
    <n v="0"/>
    <n v="0"/>
    <n v="0"/>
    <n v="0"/>
    <n v="0"/>
    <n v="0"/>
    <n v="0"/>
  </r>
  <r>
    <d v="2013-03-04T00:00:00"/>
    <n v="6059"/>
    <n v="1953"/>
    <x v="0"/>
    <s v="PhD"/>
    <s v="Together"/>
    <n v="64504"/>
    <n v="3"/>
    <n v="81"/>
    <n v="986"/>
    <n v="36"/>
    <n v="168"/>
    <n v="16"/>
    <n v="0"/>
    <n v="108"/>
    <n v="1314"/>
    <n v="7"/>
    <n v="11"/>
    <n v="3"/>
    <n v="4"/>
    <n v="7"/>
    <n v="0"/>
    <n v="0"/>
    <n v="0"/>
    <n v="0"/>
    <n v="0"/>
    <n v="1"/>
    <n v="0"/>
  </r>
  <r>
    <d v="2013-02-02T00:00:00"/>
    <n v="11166"/>
    <n v="1961"/>
    <x v="0"/>
    <s v="Graduation"/>
    <s v="Married"/>
    <n v="49678"/>
    <n v="1"/>
    <n v="81"/>
    <n v="229"/>
    <n v="5"/>
    <n v="56"/>
    <n v="3"/>
    <n v="2"/>
    <n v="20"/>
    <n v="315"/>
    <n v="2"/>
    <n v="6"/>
    <n v="2"/>
    <n v="4"/>
    <n v="7"/>
    <n v="0"/>
    <n v="0"/>
    <n v="0"/>
    <n v="0"/>
    <n v="0"/>
    <n v="0"/>
    <n v="0"/>
  </r>
  <r>
    <d v="2013-01-23T00:00:00"/>
    <n v="6257"/>
    <n v="1976"/>
    <x v="6"/>
    <s v="Master"/>
    <s v="Single"/>
    <n v="60482"/>
    <n v="1"/>
    <n v="81"/>
    <n v="255"/>
    <n v="43"/>
    <n v="134"/>
    <n v="37"/>
    <n v="14"/>
    <n v="24"/>
    <n v="507"/>
    <n v="1"/>
    <n v="7"/>
    <n v="2"/>
    <n v="7"/>
    <n v="7"/>
    <n v="0"/>
    <n v="0"/>
    <n v="0"/>
    <n v="0"/>
    <n v="0"/>
    <n v="0"/>
    <n v="0"/>
  </r>
  <r>
    <d v="2012-12-12T00:00:00"/>
    <n v="9224"/>
    <n v="1972"/>
    <x v="6"/>
    <s v="PhD"/>
    <s v="Single"/>
    <n v="55260"/>
    <n v="1"/>
    <n v="81"/>
    <n v="825"/>
    <n v="8"/>
    <n v="53"/>
    <n v="11"/>
    <n v="0"/>
    <n v="242"/>
    <n v="1139"/>
    <n v="2"/>
    <n v="8"/>
    <n v="10"/>
    <n v="5"/>
    <n v="6"/>
    <n v="0"/>
    <n v="0"/>
    <n v="0"/>
    <n v="0"/>
    <n v="0"/>
    <n v="0"/>
    <n v="0"/>
  </r>
  <r>
    <d v="2012-11-17T00:00:00"/>
    <n v="8732"/>
    <n v="1969"/>
    <x v="0"/>
    <s v="Master"/>
    <s v="Widow"/>
    <n v="67369"/>
    <n v="1"/>
    <n v="81"/>
    <n v="1298"/>
    <n v="0"/>
    <n v="70"/>
    <n v="37"/>
    <n v="14"/>
    <n v="42"/>
    <n v="1461"/>
    <n v="4"/>
    <n v="7"/>
    <n v="4"/>
    <n v="10"/>
    <n v="4"/>
    <n v="0"/>
    <n v="1"/>
    <n v="1"/>
    <n v="0"/>
    <n v="0"/>
    <n v="1"/>
    <n v="0"/>
  </r>
  <r>
    <d v="2012-10-28T00:00:00"/>
    <n v="955"/>
    <n v="1962"/>
    <x v="6"/>
    <s v="Master"/>
    <s v="Together"/>
    <n v="47175"/>
    <n v="2"/>
    <n v="81"/>
    <n v="167"/>
    <n v="2"/>
    <n v="44"/>
    <n v="6"/>
    <n v="2"/>
    <n v="19"/>
    <n v="240"/>
    <n v="7"/>
    <n v="4"/>
    <n v="2"/>
    <n v="4"/>
    <n v="8"/>
    <n v="1"/>
    <n v="0"/>
    <n v="0"/>
    <n v="0"/>
    <n v="0"/>
    <n v="1"/>
    <n v="0"/>
  </r>
  <r>
    <d v="2012-08-30T00:00:00"/>
    <n v="4910"/>
    <n v="1967"/>
    <x v="2"/>
    <s v="Graduation"/>
    <s v="Divorced"/>
    <n v="68743"/>
    <n v="0"/>
    <n v="81"/>
    <n v="1132"/>
    <n v="134"/>
    <n v="384"/>
    <n v="175"/>
    <n v="134"/>
    <n v="115"/>
    <n v="2074"/>
    <n v="1"/>
    <n v="11"/>
    <n v="5"/>
    <n v="13"/>
    <n v="7"/>
    <n v="0"/>
    <n v="0"/>
    <n v="0"/>
    <n v="0"/>
    <n v="0"/>
    <n v="0"/>
    <n v="0"/>
  </r>
  <r>
    <d v="2012-08-04T00:00:00"/>
    <n v="564"/>
    <n v="1981"/>
    <x v="0"/>
    <s v="PhD"/>
    <s v="Together"/>
    <n v="56937"/>
    <n v="1"/>
    <n v="81"/>
    <n v="746"/>
    <n v="8"/>
    <n v="125"/>
    <n v="11"/>
    <n v="8"/>
    <n v="8"/>
    <n v="906"/>
    <n v="7"/>
    <n v="8"/>
    <n v="6"/>
    <n v="9"/>
    <n v="6"/>
    <n v="0"/>
    <n v="1"/>
    <n v="0"/>
    <n v="0"/>
    <n v="0"/>
    <n v="1"/>
    <n v="0"/>
  </r>
  <r>
    <d v="2014-05-18T00:00:00"/>
    <n v="8931"/>
    <n v="1986"/>
    <x v="6"/>
    <s v="Graduation"/>
    <s v="Together"/>
    <n v="83033"/>
    <n v="1"/>
    <n v="82"/>
    <n v="812"/>
    <n v="99"/>
    <n v="431"/>
    <n v="237"/>
    <n v="149"/>
    <n v="33"/>
    <n v="1761"/>
    <n v="1"/>
    <n v="11"/>
    <n v="4"/>
    <n v="10"/>
    <n v="5"/>
    <n v="0"/>
    <n v="0"/>
    <n v="0"/>
    <n v="1"/>
    <n v="0"/>
    <n v="0"/>
    <n v="0"/>
  </r>
  <r>
    <d v="2014-02-07T00:00:00"/>
    <n v="1998"/>
    <n v="1976"/>
    <x v="5"/>
    <s v="Graduation"/>
    <s v="Single"/>
    <n v="37697"/>
    <n v="1"/>
    <n v="82"/>
    <n v="34"/>
    <n v="6"/>
    <n v="21"/>
    <n v="11"/>
    <n v="4"/>
    <n v="8"/>
    <n v="84"/>
    <n v="1"/>
    <n v="2"/>
    <n v="1"/>
    <n v="3"/>
    <n v="6"/>
    <n v="0"/>
    <n v="0"/>
    <n v="0"/>
    <n v="0"/>
    <n v="0"/>
    <n v="0"/>
    <n v="0"/>
  </r>
  <r>
    <d v="2014-02-07T00:00:00"/>
    <n v="1250"/>
    <n v="1976"/>
    <x v="0"/>
    <s v="Graduation"/>
    <s v="Single"/>
    <n v="37697"/>
    <n v="1"/>
    <n v="82"/>
    <n v="34"/>
    <n v="6"/>
    <n v="21"/>
    <n v="11"/>
    <n v="4"/>
    <n v="8"/>
    <n v="84"/>
    <n v="1"/>
    <n v="2"/>
    <n v="1"/>
    <n v="3"/>
    <n v="6"/>
    <n v="0"/>
    <n v="0"/>
    <n v="0"/>
    <n v="0"/>
    <n v="0"/>
    <n v="0"/>
    <n v="0"/>
  </r>
  <r>
    <d v="2014-01-10T00:00:00"/>
    <n v="8397"/>
    <n v="1951"/>
    <x v="0"/>
    <s v="Graduation"/>
    <s v="Married"/>
    <n v="44689"/>
    <n v="2"/>
    <n v="82"/>
    <n v="18"/>
    <n v="0"/>
    <n v="5"/>
    <n v="0"/>
    <n v="0"/>
    <n v="11"/>
    <n v="34"/>
    <n v="2"/>
    <n v="1"/>
    <n v="1"/>
    <n v="2"/>
    <n v="7"/>
    <n v="1"/>
    <n v="0"/>
    <n v="0"/>
    <n v="0"/>
    <n v="0"/>
    <n v="0"/>
    <n v="0"/>
  </r>
  <r>
    <d v="2013-12-21T00:00:00"/>
    <n v="9672"/>
    <n v="1970"/>
    <x v="1"/>
    <s v="2n Cycle"/>
    <s v="Married"/>
    <n v="23162"/>
    <n v="2"/>
    <n v="82"/>
    <n v="8"/>
    <n v="3"/>
    <n v="9"/>
    <n v="19"/>
    <n v="4"/>
    <n v="22"/>
    <n v="65"/>
    <n v="3"/>
    <n v="1"/>
    <n v="1"/>
    <n v="3"/>
    <n v="6"/>
    <n v="0"/>
    <n v="0"/>
    <n v="0"/>
    <n v="0"/>
    <n v="0"/>
    <n v="0"/>
    <n v="0"/>
  </r>
  <r>
    <d v="2013-11-15T00:00:00"/>
    <n v="2125"/>
    <n v="1959"/>
    <x v="2"/>
    <s v="Graduation"/>
    <s v="Divorced"/>
    <n v="63033"/>
    <n v="0"/>
    <n v="82"/>
    <n v="194"/>
    <n v="61"/>
    <n v="480"/>
    <n v="225"/>
    <n v="112"/>
    <n v="30"/>
    <n v="1102"/>
    <n v="1"/>
    <n v="3"/>
    <n v="4"/>
    <n v="8"/>
    <n v="2"/>
    <n v="0"/>
    <n v="0"/>
    <n v="0"/>
    <n v="0"/>
    <n v="0"/>
    <n v="0"/>
    <n v="0"/>
  </r>
  <r>
    <d v="2013-09-30T00:00:00"/>
    <n v="5975"/>
    <n v="1967"/>
    <x v="1"/>
    <s v="PhD"/>
    <s v="Single"/>
    <n v="40304"/>
    <n v="1"/>
    <n v="82"/>
    <n v="37"/>
    <n v="0"/>
    <n v="17"/>
    <n v="0"/>
    <n v="0"/>
    <n v="3"/>
    <n v="57"/>
    <n v="1"/>
    <n v="2"/>
    <n v="0"/>
    <n v="3"/>
    <n v="7"/>
    <n v="0"/>
    <n v="0"/>
    <n v="0"/>
    <n v="0"/>
    <n v="0"/>
    <n v="0"/>
    <n v="0"/>
  </r>
  <r>
    <d v="2013-09-28T00:00:00"/>
    <n v="983"/>
    <n v="1984"/>
    <x v="2"/>
    <s v="Graduation"/>
    <s v="Married"/>
    <n v="40059"/>
    <n v="1"/>
    <n v="82"/>
    <n v="110"/>
    <n v="29"/>
    <n v="92"/>
    <n v="28"/>
    <n v="10"/>
    <n v="145"/>
    <n v="414"/>
    <n v="1"/>
    <n v="6"/>
    <n v="2"/>
    <n v="3"/>
    <n v="8"/>
    <n v="1"/>
    <n v="0"/>
    <n v="0"/>
    <n v="0"/>
    <n v="0"/>
    <n v="0"/>
    <n v="0"/>
  </r>
  <r>
    <d v="2013-09-19T00:00:00"/>
    <n v="9938"/>
    <n v="1954"/>
    <x v="5"/>
    <s v="Graduation"/>
    <s v="Married"/>
    <n v="80067"/>
    <n v="0"/>
    <n v="82"/>
    <n v="519"/>
    <n v="17"/>
    <n v="813"/>
    <n v="27"/>
    <n v="173"/>
    <n v="51"/>
    <n v="1600"/>
    <n v="1"/>
    <n v="4"/>
    <n v="6"/>
    <n v="6"/>
    <n v="2"/>
    <n v="0"/>
    <n v="0"/>
    <n v="1"/>
    <n v="0"/>
    <n v="0"/>
    <n v="0"/>
    <n v="0"/>
  </r>
  <r>
    <d v="2013-05-31T00:00:00"/>
    <n v="4385"/>
    <n v="1981"/>
    <x v="0"/>
    <s v="PhD"/>
    <s v="Single"/>
    <n v="36038"/>
    <n v="1"/>
    <n v="82"/>
    <n v="23"/>
    <n v="0"/>
    <n v="15"/>
    <n v="0"/>
    <n v="2"/>
    <n v="7"/>
    <n v="47"/>
    <n v="2"/>
    <n v="3"/>
    <n v="0"/>
    <n v="3"/>
    <n v="6"/>
    <n v="0"/>
    <n v="0"/>
    <n v="0"/>
    <n v="0"/>
    <n v="0"/>
    <n v="0"/>
    <n v="0"/>
  </r>
  <r>
    <d v="2013-05-31T00:00:00"/>
    <n v="1612"/>
    <n v="1981"/>
    <x v="3"/>
    <s v="PhD"/>
    <s v="Single"/>
    <n v="53790.45"/>
    <n v="1"/>
    <n v="82"/>
    <n v="23"/>
    <n v="0"/>
    <n v="15"/>
    <n v="0"/>
    <n v="2"/>
    <n v="7"/>
    <n v="47"/>
    <n v="2"/>
    <n v="3"/>
    <n v="0"/>
    <n v="3"/>
    <n v="6"/>
    <n v="0"/>
    <n v="0"/>
    <n v="0"/>
    <n v="0"/>
    <n v="0"/>
    <n v="0"/>
    <n v="0"/>
  </r>
  <r>
    <d v="2013-04-05T00:00:00"/>
    <n v="803"/>
    <n v="1968"/>
    <x v="0"/>
    <s v="Graduation"/>
    <s v="Together"/>
    <n v="40521"/>
    <n v="2"/>
    <n v="82"/>
    <n v="12"/>
    <n v="0"/>
    <n v="5"/>
    <n v="0"/>
    <n v="0"/>
    <n v="4"/>
    <n v="21"/>
    <n v="1"/>
    <n v="0"/>
    <n v="1"/>
    <n v="2"/>
    <n v="5"/>
    <n v="0"/>
    <n v="0"/>
    <n v="0"/>
    <n v="0"/>
    <n v="0"/>
    <n v="0"/>
    <n v="0"/>
  </r>
  <r>
    <d v="2013-04-03T00:00:00"/>
    <n v="10675"/>
    <n v="1956"/>
    <x v="0"/>
    <s v="PhD"/>
    <s v="Married"/>
    <n v="66334"/>
    <n v="1"/>
    <n v="82"/>
    <n v="909"/>
    <n v="11"/>
    <n v="218"/>
    <n v="0"/>
    <n v="0"/>
    <n v="23"/>
    <n v="1161"/>
    <n v="2"/>
    <n v="9"/>
    <n v="3"/>
    <n v="5"/>
    <n v="5"/>
    <n v="0"/>
    <n v="0"/>
    <n v="0"/>
    <n v="0"/>
    <n v="0"/>
    <n v="1"/>
    <n v="0"/>
  </r>
  <r>
    <d v="2013-03-16T00:00:00"/>
    <n v="7004"/>
    <n v="1984"/>
    <x v="5"/>
    <s v="Graduation"/>
    <s v="Single"/>
    <n v="11012"/>
    <n v="1"/>
    <n v="82"/>
    <n v="24"/>
    <n v="3"/>
    <n v="26"/>
    <n v="7"/>
    <n v="1"/>
    <n v="23"/>
    <n v="84"/>
    <n v="3"/>
    <n v="3"/>
    <n v="1"/>
    <n v="2"/>
    <n v="9"/>
    <n v="1"/>
    <n v="0"/>
    <n v="0"/>
    <n v="0"/>
    <n v="0"/>
    <n v="0"/>
    <n v="0"/>
  </r>
  <r>
    <d v="2013-03-16T00:00:00"/>
    <n v="4432"/>
    <n v="1976"/>
    <x v="0"/>
    <s v="Graduation"/>
    <s v="Divorced"/>
    <n v="31615"/>
    <n v="1"/>
    <n v="82"/>
    <n v="2"/>
    <n v="3"/>
    <n v="20"/>
    <n v="6"/>
    <n v="11"/>
    <n v="9"/>
    <n v="51"/>
    <n v="2"/>
    <n v="2"/>
    <n v="0"/>
    <n v="3"/>
    <n v="7"/>
    <n v="0"/>
    <n v="0"/>
    <n v="0"/>
    <n v="0"/>
    <n v="0"/>
    <n v="0"/>
    <n v="0"/>
  </r>
  <r>
    <d v="2013-03-03T00:00:00"/>
    <n v="5079"/>
    <n v="1971"/>
    <x v="3"/>
    <s v="Graduation"/>
    <s v="Married"/>
    <n v="53790.45"/>
    <n v="2"/>
    <n v="82"/>
    <n v="71"/>
    <n v="1"/>
    <n v="16"/>
    <n v="0"/>
    <n v="0"/>
    <n v="9"/>
    <n v="97"/>
    <n v="4"/>
    <n v="2"/>
    <n v="1"/>
    <n v="3"/>
    <n v="8"/>
    <n v="0"/>
    <n v="0"/>
    <n v="0"/>
    <n v="0"/>
    <n v="0"/>
    <n v="0"/>
    <n v="0"/>
  </r>
  <r>
    <d v="2013-02-16T00:00:00"/>
    <n v="4475"/>
    <n v="1949"/>
    <x v="0"/>
    <s v="PhD"/>
    <s v="Married"/>
    <n v="69098"/>
    <n v="0"/>
    <n v="82"/>
    <n v="1315"/>
    <n v="22"/>
    <n v="780"/>
    <n v="145"/>
    <n v="0"/>
    <n v="178"/>
    <n v="2440"/>
    <n v="1"/>
    <n v="7"/>
    <n v="8"/>
    <n v="9"/>
    <n v="5"/>
    <n v="0"/>
    <n v="0"/>
    <n v="0"/>
    <n v="0"/>
    <n v="0"/>
    <n v="0"/>
    <n v="0"/>
  </r>
  <r>
    <d v="2013-02-06T00:00:00"/>
    <n v="10868"/>
    <n v="1951"/>
    <x v="0"/>
    <s v="Graduation"/>
    <s v="Widow"/>
    <n v="70792"/>
    <n v="0"/>
    <n v="82"/>
    <n v="344"/>
    <n v="45"/>
    <n v="654"/>
    <n v="104"/>
    <n v="11"/>
    <n v="114"/>
    <n v="1272"/>
    <n v="2"/>
    <n v="3"/>
    <n v="4"/>
    <n v="10"/>
    <n v="3"/>
    <n v="0"/>
    <n v="0"/>
    <n v="0"/>
    <n v="0"/>
    <n v="0"/>
    <n v="0"/>
    <n v="0"/>
  </r>
  <r>
    <d v="2013-01-13T00:00:00"/>
    <n v="6742"/>
    <n v="1979"/>
    <x v="0"/>
    <s v="Graduation"/>
    <s v="Married"/>
    <n v="17688"/>
    <n v="1"/>
    <n v="82"/>
    <n v="2"/>
    <n v="2"/>
    <n v="1"/>
    <n v="3"/>
    <n v="1"/>
    <n v="2"/>
    <n v="11"/>
    <n v="1"/>
    <n v="1"/>
    <n v="0"/>
    <n v="2"/>
    <n v="8"/>
    <n v="0"/>
    <n v="0"/>
    <n v="0"/>
    <n v="0"/>
    <n v="0"/>
    <n v="0"/>
    <n v="1"/>
  </r>
  <r>
    <d v="2012-12-22T00:00:00"/>
    <n v="5692"/>
    <n v="1989"/>
    <x v="6"/>
    <s v="Basic"/>
    <s v="Married"/>
    <n v="25443"/>
    <n v="1"/>
    <n v="82"/>
    <n v="1"/>
    <n v="4"/>
    <n v="3"/>
    <n v="8"/>
    <n v="9"/>
    <n v="7"/>
    <n v="32"/>
    <n v="1"/>
    <n v="1"/>
    <n v="0"/>
    <n v="3"/>
    <n v="8"/>
    <n v="0"/>
    <n v="0"/>
    <n v="0"/>
    <n v="0"/>
    <n v="0"/>
    <n v="0"/>
    <n v="0"/>
  </r>
  <r>
    <d v="2012-11-23T00:00:00"/>
    <n v="339"/>
    <n v="1972"/>
    <x v="0"/>
    <s v="PhD"/>
    <s v="Married"/>
    <n v="57091"/>
    <n v="1"/>
    <n v="82"/>
    <n v="462"/>
    <n v="0"/>
    <n v="24"/>
    <n v="6"/>
    <n v="0"/>
    <n v="4"/>
    <n v="496"/>
    <n v="2"/>
    <n v="9"/>
    <n v="2"/>
    <n v="5"/>
    <n v="7"/>
    <n v="0"/>
    <n v="1"/>
    <n v="0"/>
    <n v="0"/>
    <n v="0"/>
    <n v="1"/>
    <n v="0"/>
  </r>
  <r>
    <d v="2012-08-27T00:00:00"/>
    <n v="10398"/>
    <n v="1981"/>
    <x v="0"/>
    <s v="2n Cycle"/>
    <s v="Single"/>
    <n v="24336"/>
    <n v="1"/>
    <n v="82"/>
    <n v="1"/>
    <n v="6"/>
    <n v="2"/>
    <n v="8"/>
    <n v="2"/>
    <n v="12"/>
    <n v="31"/>
    <n v="1"/>
    <n v="1"/>
    <n v="0"/>
    <n v="2"/>
    <n v="7"/>
    <n v="0"/>
    <n v="0"/>
    <n v="0"/>
    <n v="0"/>
    <n v="0"/>
    <n v="0"/>
    <n v="0"/>
  </r>
  <r>
    <d v="2014-06-19T00:00:00"/>
    <n v="8017"/>
    <n v="1981"/>
    <x v="6"/>
    <s v="2n Cycle"/>
    <s v="Married"/>
    <n v="51111"/>
    <n v="2"/>
    <n v="83"/>
    <n v="22"/>
    <n v="0"/>
    <n v="19"/>
    <n v="6"/>
    <n v="5"/>
    <n v="3"/>
    <n v="55"/>
    <n v="2"/>
    <n v="2"/>
    <n v="0"/>
    <n v="3"/>
    <n v="6"/>
    <n v="0"/>
    <n v="0"/>
    <n v="0"/>
    <n v="0"/>
    <n v="0"/>
    <n v="0"/>
    <n v="0"/>
  </r>
  <r>
    <d v="2014-04-16T00:00:00"/>
    <n v="3722"/>
    <n v="1972"/>
    <x v="0"/>
    <s v="Graduation"/>
    <s v="Single"/>
    <n v="44503"/>
    <n v="2"/>
    <n v="83"/>
    <n v="31"/>
    <n v="1"/>
    <n v="8"/>
    <n v="0"/>
    <n v="0"/>
    <n v="8"/>
    <n v="48"/>
    <n v="2"/>
    <n v="2"/>
    <n v="0"/>
    <n v="3"/>
    <n v="6"/>
    <n v="0"/>
    <n v="0"/>
    <n v="0"/>
    <n v="0"/>
    <n v="0"/>
    <n v="0"/>
    <n v="0"/>
  </r>
  <r>
    <d v="2014-03-23T00:00:00"/>
    <n v="7326"/>
    <n v="1971"/>
    <x v="1"/>
    <s v="Master"/>
    <s v="Married"/>
    <n v="56850"/>
    <n v="1"/>
    <n v="83"/>
    <n v="34"/>
    <n v="1"/>
    <n v="19"/>
    <n v="2"/>
    <n v="7"/>
    <n v="0"/>
    <n v="63"/>
    <n v="1"/>
    <n v="1"/>
    <n v="1"/>
    <n v="3"/>
    <n v="2"/>
    <n v="0"/>
    <n v="0"/>
    <n v="0"/>
    <n v="0"/>
    <n v="0"/>
    <n v="0"/>
    <n v="0"/>
  </r>
  <r>
    <d v="2014-03-03T00:00:00"/>
    <n v="2416"/>
    <n v="1969"/>
    <x v="0"/>
    <s v="PhD"/>
    <s v="Single"/>
    <n v="66582"/>
    <n v="0"/>
    <n v="83"/>
    <n v="789"/>
    <n v="25"/>
    <n v="420"/>
    <n v="16"/>
    <n v="38"/>
    <n v="0"/>
    <n v="1288"/>
    <n v="1"/>
    <n v="2"/>
    <n v="8"/>
    <n v="9"/>
    <n v="1"/>
    <n v="0"/>
    <n v="0"/>
    <n v="0"/>
    <n v="0"/>
    <n v="0"/>
    <n v="0"/>
    <n v="0"/>
  </r>
  <r>
    <d v="2014-02-18T00:00:00"/>
    <n v="1878"/>
    <n v="1985"/>
    <x v="0"/>
    <s v="2n Cycle"/>
    <s v="Married"/>
    <n v="23148"/>
    <n v="0"/>
    <n v="83"/>
    <n v="4"/>
    <n v="6"/>
    <n v="8"/>
    <n v="6"/>
    <n v="3"/>
    <n v="10"/>
    <n v="37"/>
    <n v="1"/>
    <n v="2"/>
    <n v="0"/>
    <n v="3"/>
    <n v="7"/>
    <n v="0"/>
    <n v="0"/>
    <n v="0"/>
    <n v="0"/>
    <n v="0"/>
    <n v="0"/>
    <n v="0"/>
  </r>
  <r>
    <d v="2014-01-25T00:00:00"/>
    <n v="5278"/>
    <n v="1964"/>
    <x v="4"/>
    <s v="Graduation"/>
    <s v="Married"/>
    <n v="82224"/>
    <n v="0"/>
    <n v="83"/>
    <n v="307"/>
    <n v="26"/>
    <n v="360"/>
    <n v="138"/>
    <n v="31"/>
    <n v="40"/>
    <n v="902"/>
    <n v="1"/>
    <n v="6"/>
    <n v="9"/>
    <n v="5"/>
    <n v="3"/>
    <n v="0"/>
    <n v="0"/>
    <n v="0"/>
    <n v="1"/>
    <n v="0"/>
    <n v="0"/>
    <n v="0"/>
  </r>
  <r>
    <d v="2013-11-20T00:00:00"/>
    <n v="5734"/>
    <n v="1974"/>
    <x v="0"/>
    <s v="PhD"/>
    <s v="Married"/>
    <n v="61917"/>
    <n v="2"/>
    <n v="83"/>
    <n v="46"/>
    <n v="4"/>
    <n v="36"/>
    <n v="2"/>
    <n v="2"/>
    <n v="1"/>
    <n v="91"/>
    <n v="1"/>
    <n v="2"/>
    <n v="0"/>
    <n v="4"/>
    <n v="5"/>
    <n v="0"/>
    <n v="0"/>
    <n v="0"/>
    <n v="0"/>
    <n v="0"/>
    <n v="0"/>
    <n v="0"/>
  </r>
  <r>
    <d v="2013-11-13T00:00:00"/>
    <n v="4370"/>
    <n v="1966"/>
    <x v="5"/>
    <s v="Graduation"/>
    <s v="Together"/>
    <n v="43482"/>
    <n v="3"/>
    <n v="83"/>
    <n v="18"/>
    <n v="1"/>
    <n v="32"/>
    <n v="6"/>
    <n v="3"/>
    <n v="28"/>
    <n v="88"/>
    <n v="3"/>
    <n v="2"/>
    <n v="0"/>
    <n v="4"/>
    <n v="6"/>
    <n v="0"/>
    <n v="0"/>
    <n v="0"/>
    <n v="0"/>
    <n v="0"/>
    <n v="0"/>
    <n v="0"/>
  </r>
  <r>
    <d v="2013-09-30T00:00:00"/>
    <n v="8405"/>
    <n v="1979"/>
    <x v="6"/>
    <s v="Graduation"/>
    <s v="Divorced"/>
    <n v="68274"/>
    <n v="2"/>
    <n v="83"/>
    <n v="135"/>
    <n v="25"/>
    <n v="51"/>
    <n v="23"/>
    <n v="25"/>
    <n v="46"/>
    <n v="305"/>
    <n v="2"/>
    <n v="4"/>
    <n v="2"/>
    <n v="5"/>
    <n v="3"/>
    <n v="0"/>
    <n v="0"/>
    <n v="0"/>
    <n v="0"/>
    <n v="0"/>
    <n v="0"/>
    <n v="0"/>
  </r>
  <r>
    <d v="2013-08-15T00:00:00"/>
    <n v="7617"/>
    <n v="1974"/>
    <x v="0"/>
    <s v="Graduation"/>
    <s v="Single"/>
    <n v="42373"/>
    <n v="2"/>
    <n v="83"/>
    <n v="67"/>
    <n v="5"/>
    <n v="61"/>
    <n v="3"/>
    <n v="8"/>
    <n v="19"/>
    <n v="163"/>
    <n v="5"/>
    <n v="2"/>
    <n v="1"/>
    <n v="5"/>
    <n v="5"/>
    <n v="0"/>
    <n v="0"/>
    <n v="0"/>
    <n v="0"/>
    <n v="0"/>
    <n v="0"/>
    <n v="0"/>
  </r>
  <r>
    <d v="2013-06-23T00:00:00"/>
    <n v="10339"/>
    <n v="1954"/>
    <x v="3"/>
    <s v="Master"/>
    <s v="Together"/>
    <n v="53790.45"/>
    <n v="1"/>
    <n v="83"/>
    <n v="161"/>
    <n v="0"/>
    <n v="22"/>
    <n v="0"/>
    <n v="0"/>
    <n v="24"/>
    <n v="207"/>
    <n v="2"/>
    <n v="4"/>
    <n v="1"/>
    <n v="4"/>
    <n v="6"/>
    <n v="0"/>
    <n v="0"/>
    <n v="0"/>
    <n v="0"/>
    <n v="0"/>
    <n v="0"/>
    <n v="0"/>
  </r>
  <r>
    <d v="2013-06-10T00:00:00"/>
    <n v="6376"/>
    <n v="1979"/>
    <x v="3"/>
    <s v="Graduation"/>
    <s v="Single"/>
    <n v="57537"/>
    <n v="1"/>
    <n v="83"/>
    <n v="191"/>
    <n v="56"/>
    <n v="139"/>
    <n v="51"/>
    <n v="8"/>
    <n v="100"/>
    <n v="545"/>
    <n v="4"/>
    <n v="4"/>
    <n v="3"/>
    <n v="8"/>
    <n v="4"/>
    <n v="0"/>
    <n v="0"/>
    <n v="0"/>
    <n v="0"/>
    <n v="0"/>
    <n v="0"/>
    <n v="0"/>
  </r>
  <r>
    <d v="2013-05-11T00:00:00"/>
    <n v="2150"/>
    <n v="1958"/>
    <x v="1"/>
    <s v="PhD"/>
    <s v="Widow"/>
    <n v="80995"/>
    <n v="1"/>
    <n v="83"/>
    <n v="860"/>
    <n v="28"/>
    <n v="409"/>
    <n v="73"/>
    <n v="56"/>
    <n v="56"/>
    <n v="1482"/>
    <n v="1"/>
    <n v="8"/>
    <n v="9"/>
    <n v="4"/>
    <n v="4"/>
    <n v="0"/>
    <n v="0"/>
    <n v="0"/>
    <n v="0"/>
    <n v="0"/>
    <n v="0"/>
    <n v="0"/>
  </r>
  <r>
    <d v="2013-04-22T00:00:00"/>
    <n v="7386"/>
    <n v="1976"/>
    <x v="1"/>
    <s v="Graduation"/>
    <s v="Divorced"/>
    <n v="30992"/>
    <n v="1"/>
    <n v="83"/>
    <n v="17"/>
    <n v="0"/>
    <n v="14"/>
    <n v="7"/>
    <n v="3"/>
    <n v="2"/>
    <n v="43"/>
    <n v="1"/>
    <n v="1"/>
    <n v="0"/>
    <n v="3"/>
    <n v="7"/>
    <n v="0"/>
    <n v="0"/>
    <n v="0"/>
    <n v="0"/>
    <n v="0"/>
    <n v="0"/>
    <n v="0"/>
  </r>
  <r>
    <d v="2013-04-22T00:00:00"/>
    <n v="3006"/>
    <n v="1976"/>
    <x v="1"/>
    <s v="Graduation"/>
    <s v="Divorced"/>
    <n v="30992"/>
    <n v="1"/>
    <n v="83"/>
    <n v="17"/>
    <n v="0"/>
    <n v="14"/>
    <n v="7"/>
    <n v="3"/>
    <n v="2"/>
    <n v="43"/>
    <n v="1"/>
    <n v="1"/>
    <n v="0"/>
    <n v="3"/>
    <n v="7"/>
    <n v="0"/>
    <n v="0"/>
    <n v="0"/>
    <n v="0"/>
    <n v="0"/>
    <n v="0"/>
    <n v="0"/>
  </r>
  <r>
    <d v="2013-04-21T00:00:00"/>
    <n v="11088"/>
    <n v="1971"/>
    <x v="0"/>
    <s v="PhD"/>
    <s v="Together"/>
    <n v="78642"/>
    <n v="1"/>
    <n v="83"/>
    <n v="1396"/>
    <n v="0"/>
    <n v="322"/>
    <n v="46"/>
    <n v="35"/>
    <n v="17"/>
    <n v="1816"/>
    <n v="1"/>
    <n v="4"/>
    <n v="9"/>
    <n v="4"/>
    <n v="6"/>
    <n v="0"/>
    <n v="0"/>
    <n v="0"/>
    <n v="0"/>
    <n v="0"/>
    <n v="0"/>
    <n v="0"/>
  </r>
  <r>
    <d v="2013-02-14T00:00:00"/>
    <n v="5185"/>
    <n v="1955"/>
    <x v="6"/>
    <s v="Graduation"/>
    <s v="Married"/>
    <n v="74268"/>
    <n v="0"/>
    <n v="83"/>
    <n v="199"/>
    <n v="66"/>
    <n v="315"/>
    <n v="97"/>
    <n v="174"/>
    <n v="41"/>
    <n v="892"/>
    <n v="1"/>
    <n v="4"/>
    <n v="3"/>
    <n v="5"/>
    <n v="2"/>
    <n v="0"/>
    <n v="0"/>
    <n v="0"/>
    <n v="0"/>
    <n v="0"/>
    <n v="0"/>
    <n v="0"/>
  </r>
  <r>
    <d v="2013-01-23T00:00:00"/>
    <n v="3523"/>
    <n v="1962"/>
    <x v="0"/>
    <s v="Graduation"/>
    <s v="Together"/>
    <n v="75072"/>
    <n v="1"/>
    <n v="83"/>
    <n v="583"/>
    <n v="34"/>
    <n v="309"/>
    <n v="0"/>
    <n v="22"/>
    <n v="125"/>
    <n v="1073"/>
    <n v="2"/>
    <n v="5"/>
    <n v="4"/>
    <n v="8"/>
    <n v="3"/>
    <n v="0"/>
    <n v="0"/>
    <n v="0"/>
    <n v="0"/>
    <n v="0"/>
    <n v="0"/>
    <n v="0"/>
  </r>
  <r>
    <d v="2012-12-07T00:00:00"/>
    <n v="55"/>
    <n v="1963"/>
    <x v="0"/>
    <s v="Graduation"/>
    <s v="Together"/>
    <n v="56253"/>
    <n v="1"/>
    <n v="83"/>
    <n v="509"/>
    <n v="0"/>
    <n v="65"/>
    <n v="7"/>
    <n v="11"/>
    <n v="5"/>
    <n v="597"/>
    <n v="4"/>
    <n v="7"/>
    <n v="2"/>
    <n v="9"/>
    <n v="6"/>
    <n v="0"/>
    <n v="0"/>
    <n v="0"/>
    <n v="0"/>
    <n v="0"/>
    <n v="0"/>
    <n v="0"/>
  </r>
  <r>
    <d v="2012-11-30T00:00:00"/>
    <n v="3807"/>
    <n v="1955"/>
    <x v="0"/>
    <s v="Graduation"/>
    <s v="Together"/>
    <n v="59925"/>
    <n v="1"/>
    <n v="83"/>
    <n v="473"/>
    <n v="21"/>
    <n v="176"/>
    <n v="19"/>
    <n v="21"/>
    <n v="56"/>
    <n v="766"/>
    <n v="3"/>
    <n v="9"/>
    <n v="2"/>
    <n v="9"/>
    <n v="6"/>
    <n v="0"/>
    <n v="0"/>
    <n v="0"/>
    <n v="0"/>
    <n v="0"/>
    <n v="0"/>
    <n v="0"/>
  </r>
  <r>
    <d v="2012-08-31T00:00:00"/>
    <n v="2453"/>
    <n v="1960"/>
    <x v="0"/>
    <s v="Graduation"/>
    <s v="Together"/>
    <n v="62807"/>
    <n v="1"/>
    <n v="83"/>
    <n v="526"/>
    <n v="28"/>
    <n v="135"/>
    <n v="10"/>
    <n v="21"/>
    <n v="99"/>
    <n v="819"/>
    <n v="3"/>
    <n v="5"/>
    <n v="3"/>
    <n v="12"/>
    <n v="5"/>
    <n v="0"/>
    <n v="0"/>
    <n v="0"/>
    <n v="0"/>
    <n v="0"/>
    <n v="0"/>
    <n v="0"/>
  </r>
  <r>
    <d v="2012-08-31T00:00:00"/>
    <n v="7787"/>
    <n v="1960"/>
    <x v="1"/>
    <s v="Graduation"/>
    <s v="Together"/>
    <n v="62807"/>
    <n v="1"/>
    <n v="83"/>
    <n v="526"/>
    <n v="28"/>
    <n v="135"/>
    <n v="10"/>
    <n v="21"/>
    <n v="99"/>
    <n v="819"/>
    <n v="3"/>
    <n v="5"/>
    <n v="3"/>
    <n v="12"/>
    <n v="5"/>
    <n v="0"/>
    <n v="0"/>
    <n v="0"/>
    <n v="0"/>
    <n v="0"/>
    <n v="0"/>
    <n v="0"/>
  </r>
  <r>
    <d v="2014-05-24T00:00:00"/>
    <n v="2230"/>
    <n v="1970"/>
    <x v="4"/>
    <s v="PhD"/>
    <s v="Married"/>
    <n v="23626"/>
    <n v="1"/>
    <n v="84"/>
    <n v="27"/>
    <n v="2"/>
    <n v="14"/>
    <n v="0"/>
    <n v="0"/>
    <n v="0"/>
    <n v="43"/>
    <n v="3"/>
    <n v="3"/>
    <n v="1"/>
    <n v="3"/>
    <n v="5"/>
    <n v="0"/>
    <n v="0"/>
    <n v="0"/>
    <n v="0"/>
    <n v="0"/>
    <n v="0"/>
    <n v="0"/>
  </r>
  <r>
    <d v="2014-05-11T00:00:00"/>
    <n v="8146"/>
    <n v="1976"/>
    <x v="6"/>
    <s v="Master"/>
    <s v="Together"/>
    <n v="46106"/>
    <n v="2"/>
    <n v="84"/>
    <n v="30"/>
    <n v="0"/>
    <n v="8"/>
    <n v="2"/>
    <n v="0"/>
    <n v="14"/>
    <n v="54"/>
    <n v="1"/>
    <n v="1"/>
    <n v="1"/>
    <n v="2"/>
    <n v="6"/>
    <n v="0"/>
    <n v="0"/>
    <n v="0"/>
    <n v="0"/>
    <n v="0"/>
    <n v="0"/>
    <n v="0"/>
  </r>
  <r>
    <d v="2014-05-07T00:00:00"/>
    <n v="988"/>
    <n v="1965"/>
    <x v="0"/>
    <s v="Graduation"/>
    <s v="Married"/>
    <n v="81168"/>
    <n v="0"/>
    <n v="84"/>
    <n v="410"/>
    <n v="0"/>
    <n v="592"/>
    <n v="147"/>
    <n v="22"/>
    <n v="22"/>
    <n v="1193"/>
    <n v="1"/>
    <n v="6"/>
    <n v="4"/>
    <n v="7"/>
    <n v="3"/>
    <n v="0"/>
    <n v="0"/>
    <n v="0"/>
    <n v="1"/>
    <n v="0"/>
    <n v="0"/>
    <n v="0"/>
  </r>
  <r>
    <d v="2014-03-07T00:00:00"/>
    <n v="4832"/>
    <n v="1979"/>
    <x v="0"/>
    <s v="Graduation"/>
    <s v="Married"/>
    <n v="27244"/>
    <n v="1"/>
    <n v="84"/>
    <n v="6"/>
    <n v="5"/>
    <n v="17"/>
    <n v="3"/>
    <n v="24"/>
    <n v="46"/>
    <n v="101"/>
    <n v="2"/>
    <n v="2"/>
    <n v="2"/>
    <n v="2"/>
    <n v="7"/>
    <n v="0"/>
    <n v="0"/>
    <n v="0"/>
    <n v="0"/>
    <n v="0"/>
    <n v="0"/>
    <n v="0"/>
  </r>
  <r>
    <d v="2014-02-25T00:00:00"/>
    <n v="3152"/>
    <n v="1957"/>
    <x v="5"/>
    <s v="Graduation"/>
    <s v="Together"/>
    <n v="26091"/>
    <n v="2"/>
    <n v="84"/>
    <n v="15"/>
    <n v="10"/>
    <n v="19"/>
    <n v="8"/>
    <n v="17"/>
    <n v="20"/>
    <n v="89"/>
    <n v="3"/>
    <n v="2"/>
    <n v="1"/>
    <n v="3"/>
    <n v="5"/>
    <n v="0"/>
    <n v="0"/>
    <n v="0"/>
    <n v="0"/>
    <n v="0"/>
    <n v="0"/>
    <n v="0"/>
  </r>
  <r>
    <d v="2014-02-25T00:00:00"/>
    <n v="11188"/>
    <n v="1957"/>
    <x v="0"/>
    <s v="Graduation"/>
    <s v="Together"/>
    <n v="26091"/>
    <n v="2"/>
    <n v="84"/>
    <n v="15"/>
    <n v="10"/>
    <n v="19"/>
    <n v="8"/>
    <n v="17"/>
    <n v="20"/>
    <n v="89"/>
    <n v="3"/>
    <n v="2"/>
    <n v="1"/>
    <n v="3"/>
    <n v="5"/>
    <n v="0"/>
    <n v="0"/>
    <n v="0"/>
    <n v="0"/>
    <n v="0"/>
    <n v="0"/>
    <n v="0"/>
  </r>
  <r>
    <d v="2014-02-18T00:00:00"/>
    <n v="361"/>
    <n v="1969"/>
    <x v="3"/>
    <s v="Master"/>
    <s v="Married"/>
    <n v="43142"/>
    <n v="2"/>
    <n v="84"/>
    <n v="5"/>
    <n v="1"/>
    <n v="7"/>
    <n v="2"/>
    <n v="1"/>
    <n v="4"/>
    <n v="20"/>
    <n v="1"/>
    <n v="1"/>
    <n v="0"/>
    <n v="2"/>
    <n v="7"/>
    <n v="0"/>
    <n v="0"/>
    <n v="0"/>
    <n v="0"/>
    <n v="0"/>
    <n v="0"/>
    <n v="0"/>
  </r>
  <r>
    <d v="2014-01-17T00:00:00"/>
    <n v="5939"/>
    <n v="1971"/>
    <x v="0"/>
    <s v="Graduation"/>
    <s v="Together"/>
    <n v="38232"/>
    <n v="2"/>
    <n v="84"/>
    <n v="43"/>
    <n v="5"/>
    <n v="28"/>
    <n v="7"/>
    <n v="6"/>
    <n v="33"/>
    <n v="122"/>
    <n v="4"/>
    <n v="3"/>
    <n v="1"/>
    <n v="3"/>
    <n v="5"/>
    <n v="0"/>
    <n v="0"/>
    <n v="0"/>
    <n v="0"/>
    <n v="0"/>
    <n v="0"/>
    <n v="0"/>
  </r>
  <r>
    <d v="2013-12-19T00:00:00"/>
    <n v="9349"/>
    <n v="1985"/>
    <x v="4"/>
    <s v="Graduation"/>
    <s v="Married"/>
    <n v="92533"/>
    <n v="0"/>
    <n v="84"/>
    <n v="693"/>
    <n v="21"/>
    <n v="118"/>
    <n v="110"/>
    <n v="147"/>
    <n v="42"/>
    <n v="1131"/>
    <n v="1"/>
    <n v="6"/>
    <n v="5"/>
    <n v="11"/>
    <n v="2"/>
    <n v="0"/>
    <n v="0"/>
    <n v="1"/>
    <n v="1"/>
    <n v="0"/>
    <n v="0"/>
    <n v="0"/>
  </r>
  <r>
    <d v="2013-11-05T00:00:00"/>
    <n v="819"/>
    <n v="1945"/>
    <x v="0"/>
    <s v="Graduation"/>
    <s v="Widow"/>
    <n v="63285"/>
    <n v="0"/>
    <n v="84"/>
    <n v="508"/>
    <n v="124"/>
    <n v="249"/>
    <n v="50"/>
    <n v="38"/>
    <n v="134"/>
    <n v="1103"/>
    <n v="1"/>
    <n v="6"/>
    <n v="5"/>
    <n v="13"/>
    <n v="3"/>
    <n v="0"/>
    <n v="0"/>
    <n v="0"/>
    <n v="0"/>
    <n v="0"/>
    <n v="0"/>
    <n v="0"/>
  </r>
  <r>
    <d v="2013-10-24T00:00:00"/>
    <n v="10120"/>
    <n v="1955"/>
    <x v="2"/>
    <s v="Graduation"/>
    <s v="Together"/>
    <n v="38946"/>
    <n v="1"/>
    <n v="84"/>
    <n v="116"/>
    <n v="6"/>
    <n v="82"/>
    <n v="6"/>
    <n v="6"/>
    <n v="41"/>
    <n v="257"/>
    <n v="2"/>
    <n v="3"/>
    <n v="1"/>
    <n v="6"/>
    <n v="5"/>
    <n v="0"/>
    <n v="0"/>
    <n v="0"/>
    <n v="0"/>
    <n v="0"/>
    <n v="0"/>
    <n v="0"/>
  </r>
  <r>
    <d v="2013-10-24T00:00:00"/>
    <n v="4541"/>
    <n v="1955"/>
    <x v="1"/>
    <s v="Graduation"/>
    <s v="Together"/>
    <n v="38946"/>
    <n v="1"/>
    <n v="84"/>
    <n v="116"/>
    <n v="6"/>
    <n v="82"/>
    <n v="6"/>
    <n v="6"/>
    <n v="41"/>
    <n v="257"/>
    <n v="2"/>
    <n v="3"/>
    <n v="1"/>
    <n v="6"/>
    <n v="5"/>
    <n v="0"/>
    <n v="0"/>
    <n v="0"/>
    <n v="0"/>
    <n v="0"/>
    <n v="0"/>
    <n v="0"/>
  </r>
  <r>
    <d v="2013-10-14T00:00:00"/>
    <n v="2456"/>
    <n v="1975"/>
    <x v="6"/>
    <s v="PhD"/>
    <s v="Married"/>
    <n v="40233"/>
    <n v="1"/>
    <n v="84"/>
    <n v="80"/>
    <n v="4"/>
    <n v="46"/>
    <n v="0"/>
    <n v="17"/>
    <n v="2"/>
    <n v="149"/>
    <n v="5"/>
    <n v="2"/>
    <n v="1"/>
    <n v="5"/>
    <n v="6"/>
    <n v="0"/>
    <n v="0"/>
    <n v="0"/>
    <n v="0"/>
    <n v="0"/>
    <n v="0"/>
    <n v="0"/>
  </r>
  <r>
    <d v="2013-06-08T00:00:00"/>
    <n v="2516"/>
    <n v="1969"/>
    <x v="0"/>
    <s v="2n Cycle"/>
    <s v="Married"/>
    <n v="46831"/>
    <n v="2"/>
    <n v="84"/>
    <n v="22"/>
    <n v="2"/>
    <n v="10"/>
    <n v="6"/>
    <n v="4"/>
    <n v="34"/>
    <n v="78"/>
    <n v="2"/>
    <n v="1"/>
    <n v="2"/>
    <n v="2"/>
    <n v="4"/>
    <n v="0"/>
    <n v="0"/>
    <n v="0"/>
    <n v="0"/>
    <n v="0"/>
    <n v="0"/>
    <n v="0"/>
  </r>
  <r>
    <d v="2013-03-31T00:00:00"/>
    <n v="11013"/>
    <n v="1987"/>
    <x v="0"/>
    <s v="Graduation"/>
    <s v="Together"/>
    <n v="67605"/>
    <n v="0"/>
    <n v="84"/>
    <n v="336"/>
    <n v="28"/>
    <n v="282"/>
    <n v="184"/>
    <n v="54"/>
    <n v="54"/>
    <n v="938"/>
    <n v="1"/>
    <n v="2"/>
    <n v="8"/>
    <n v="6"/>
    <n v="1"/>
    <n v="0"/>
    <n v="0"/>
    <n v="0"/>
    <n v="0"/>
    <n v="0"/>
    <n v="0"/>
    <n v="0"/>
  </r>
  <r>
    <d v="2013-03-03T00:00:00"/>
    <n v="9988"/>
    <n v="1976"/>
    <x v="1"/>
    <s v="Master"/>
    <s v="Single"/>
    <n v="70379"/>
    <n v="1"/>
    <n v="84"/>
    <n v="553"/>
    <n v="25"/>
    <n v="142"/>
    <n v="65"/>
    <n v="67"/>
    <n v="8"/>
    <n v="860"/>
    <n v="3"/>
    <n v="6"/>
    <n v="3"/>
    <n v="13"/>
    <n v="4"/>
    <n v="0"/>
    <n v="0"/>
    <n v="0"/>
    <n v="0"/>
    <n v="0"/>
    <n v="0"/>
    <n v="0"/>
  </r>
  <r>
    <d v="2013-01-26T00:00:00"/>
    <n v="1627"/>
    <n v="1957"/>
    <x v="0"/>
    <s v="2n Cycle"/>
    <s v="Divorced"/>
    <n v="77297"/>
    <n v="0"/>
    <n v="84"/>
    <n v="408"/>
    <n v="61"/>
    <n v="109"/>
    <n v="48"/>
    <n v="122"/>
    <n v="41"/>
    <n v="789"/>
    <n v="1"/>
    <n v="5"/>
    <n v="7"/>
    <n v="9"/>
    <n v="4"/>
    <n v="0"/>
    <n v="0"/>
    <n v="0"/>
    <n v="1"/>
    <n v="0"/>
    <n v="0"/>
    <n v="0"/>
  </r>
  <r>
    <d v="2012-11-28T00:00:00"/>
    <n v="1490"/>
    <n v="1962"/>
    <x v="1"/>
    <s v="Graduation"/>
    <s v="Married"/>
    <n v="55759"/>
    <n v="1"/>
    <n v="84"/>
    <n v="675"/>
    <n v="0"/>
    <n v="85"/>
    <n v="10"/>
    <n v="7"/>
    <n v="77"/>
    <n v="854"/>
    <n v="5"/>
    <n v="10"/>
    <n v="3"/>
    <n v="8"/>
    <n v="8"/>
    <n v="0"/>
    <n v="0"/>
    <n v="0"/>
    <n v="0"/>
    <n v="0"/>
    <n v="0"/>
    <n v="0"/>
  </r>
  <r>
    <d v="2012-11-17T00:00:00"/>
    <n v="6710"/>
    <n v="1951"/>
    <x v="0"/>
    <s v="Master"/>
    <s v="Single"/>
    <n v="58217"/>
    <n v="3"/>
    <n v="84"/>
    <n v="68"/>
    <n v="1"/>
    <n v="13"/>
    <n v="3"/>
    <n v="5"/>
    <n v="13"/>
    <n v="103"/>
    <n v="1"/>
    <n v="2"/>
    <n v="0"/>
    <n v="4"/>
    <n v="6"/>
    <n v="0"/>
    <n v="0"/>
    <n v="0"/>
    <n v="0"/>
    <n v="0"/>
    <n v="0"/>
    <n v="0"/>
  </r>
  <r>
    <d v="2012-10-25T00:00:00"/>
    <n v="7375"/>
    <n v="1976"/>
    <x v="6"/>
    <s v="Graduation"/>
    <s v="Together"/>
    <n v="51369"/>
    <n v="1"/>
    <n v="84"/>
    <n v="297"/>
    <n v="7"/>
    <n v="79"/>
    <n v="0"/>
    <n v="11"/>
    <n v="182"/>
    <n v="576"/>
    <n v="2"/>
    <n v="8"/>
    <n v="2"/>
    <n v="4"/>
    <n v="8"/>
    <n v="0"/>
    <n v="0"/>
    <n v="0"/>
    <n v="0"/>
    <n v="0"/>
    <n v="0"/>
    <n v="0"/>
  </r>
  <r>
    <d v="2012-10-25T00:00:00"/>
    <n v="10144"/>
    <n v="1976"/>
    <x v="6"/>
    <s v="Graduation"/>
    <s v="Together"/>
    <n v="51369"/>
    <n v="1"/>
    <n v="84"/>
    <n v="297"/>
    <n v="7"/>
    <n v="79"/>
    <n v="0"/>
    <n v="11"/>
    <n v="182"/>
    <n v="576"/>
    <n v="2"/>
    <n v="8"/>
    <n v="2"/>
    <n v="4"/>
    <n v="8"/>
    <n v="0"/>
    <n v="0"/>
    <n v="0"/>
    <n v="0"/>
    <n v="0"/>
    <n v="0"/>
    <n v="0"/>
  </r>
  <r>
    <d v="2012-10-20T00:00:00"/>
    <n v="3138"/>
    <n v="1956"/>
    <x v="0"/>
    <s v="Graduation"/>
    <s v="Single"/>
    <n v="91249"/>
    <n v="0"/>
    <n v="84"/>
    <n v="1324"/>
    <n v="27"/>
    <n v="119"/>
    <n v="71"/>
    <n v="108"/>
    <n v="27"/>
    <n v="1676"/>
    <n v="0"/>
    <n v="7"/>
    <n v="9"/>
    <n v="6"/>
    <n v="4"/>
    <n v="0"/>
    <n v="1"/>
    <n v="1"/>
    <n v="1"/>
    <n v="1"/>
    <n v="1"/>
    <n v="0"/>
  </r>
  <r>
    <d v="2012-09-04T00:00:00"/>
    <n v="1440"/>
    <n v="1978"/>
    <x v="0"/>
    <s v="2n Cycle"/>
    <s v="Together"/>
    <n v="52513"/>
    <n v="0"/>
    <n v="84"/>
    <n v="367"/>
    <n v="17"/>
    <n v="241"/>
    <n v="104"/>
    <n v="188"/>
    <n v="232"/>
    <n v="1149"/>
    <n v="2"/>
    <n v="9"/>
    <n v="5"/>
    <n v="9"/>
    <n v="7"/>
    <n v="0"/>
    <n v="0"/>
    <n v="0"/>
    <n v="0"/>
    <n v="0"/>
    <n v="0"/>
    <n v="0"/>
  </r>
  <r>
    <d v="2014-06-17T00:00:00"/>
    <n v="4200"/>
    <n v="1970"/>
    <x v="6"/>
    <s v="Master"/>
    <s v="Married"/>
    <n v="44159"/>
    <n v="1"/>
    <n v="85"/>
    <n v="167"/>
    <n v="2"/>
    <n v="62"/>
    <n v="24"/>
    <n v="13"/>
    <n v="7"/>
    <n v="275"/>
    <n v="4"/>
    <n v="4"/>
    <n v="1"/>
    <n v="6"/>
    <n v="5"/>
    <n v="0"/>
    <n v="0"/>
    <n v="0"/>
    <n v="0"/>
    <n v="0"/>
    <n v="0"/>
    <n v="0"/>
  </r>
  <r>
    <d v="2014-05-23T00:00:00"/>
    <n v="4998"/>
    <n v="1962"/>
    <x v="0"/>
    <s v="Graduation"/>
    <s v="Together"/>
    <n v="76081"/>
    <n v="0"/>
    <n v="85"/>
    <n v="292"/>
    <n v="30"/>
    <n v="415"/>
    <n v="63"/>
    <n v="33"/>
    <n v="200"/>
    <n v="1033"/>
    <n v="1"/>
    <n v="4"/>
    <n v="5"/>
    <n v="4"/>
    <n v="2"/>
    <n v="0"/>
    <n v="0"/>
    <n v="0"/>
    <n v="1"/>
    <n v="0"/>
    <n v="0"/>
    <n v="0"/>
  </r>
  <r>
    <d v="2014-05-23T00:00:00"/>
    <n v="7321"/>
    <n v="1962"/>
    <x v="5"/>
    <s v="Graduation"/>
    <s v="Together"/>
    <n v="76081"/>
    <n v="0"/>
    <n v="85"/>
    <n v="292"/>
    <n v="30"/>
    <n v="415"/>
    <n v="63"/>
    <n v="33"/>
    <n v="200"/>
    <n v="1033"/>
    <n v="1"/>
    <n v="4"/>
    <n v="5"/>
    <n v="4"/>
    <n v="2"/>
    <n v="0"/>
    <n v="0"/>
    <n v="0"/>
    <n v="1"/>
    <n v="0"/>
    <n v="0"/>
    <n v="0"/>
  </r>
  <r>
    <d v="2014-05-22T00:00:00"/>
    <n v="8663"/>
    <n v="1974"/>
    <x v="3"/>
    <s v="Graduation"/>
    <s v="Divorced"/>
    <n v="39996"/>
    <n v="2"/>
    <n v="85"/>
    <n v="11"/>
    <n v="0"/>
    <n v="3"/>
    <n v="0"/>
    <n v="0"/>
    <n v="1"/>
    <n v="15"/>
    <n v="1"/>
    <n v="1"/>
    <n v="0"/>
    <n v="2"/>
    <n v="6"/>
    <n v="0"/>
    <n v="0"/>
    <n v="0"/>
    <n v="0"/>
    <n v="0"/>
    <n v="0"/>
    <n v="0"/>
  </r>
  <r>
    <d v="2014-03-21T00:00:00"/>
    <n v="1958"/>
    <n v="1973"/>
    <x v="0"/>
    <s v="PhD"/>
    <s v="Together"/>
    <n v="55012"/>
    <n v="1"/>
    <n v="85"/>
    <n v="582"/>
    <n v="0"/>
    <n v="65"/>
    <n v="0"/>
    <n v="0"/>
    <n v="13"/>
    <n v="660"/>
    <n v="6"/>
    <n v="8"/>
    <n v="2"/>
    <n v="9"/>
    <n v="5"/>
    <n v="0"/>
    <n v="0"/>
    <n v="0"/>
    <n v="0"/>
    <n v="0"/>
    <n v="0"/>
    <n v="0"/>
  </r>
  <r>
    <d v="2014-03-05T00:00:00"/>
    <n v="6963"/>
    <n v="1947"/>
    <x v="6"/>
    <s v="Graduation"/>
    <s v="Single"/>
    <n v="77457"/>
    <n v="0"/>
    <n v="85"/>
    <n v="675"/>
    <n v="11"/>
    <n v="400"/>
    <n v="15"/>
    <n v="45"/>
    <n v="11"/>
    <n v="1157"/>
    <n v="1"/>
    <n v="2"/>
    <n v="5"/>
    <n v="10"/>
    <n v="1"/>
    <n v="0"/>
    <n v="0"/>
    <n v="1"/>
    <n v="0"/>
    <n v="0"/>
    <n v="0"/>
    <n v="0"/>
  </r>
  <r>
    <d v="2013-12-29T00:00:00"/>
    <n v="1065"/>
    <n v="1963"/>
    <x v="2"/>
    <s v="Graduation"/>
    <s v="Single"/>
    <n v="80695"/>
    <n v="0"/>
    <n v="85"/>
    <n v="557"/>
    <n v="129"/>
    <n v="984"/>
    <n v="193"/>
    <n v="37"/>
    <n v="18"/>
    <n v="1918"/>
    <n v="1"/>
    <n v="5"/>
    <n v="8"/>
    <n v="5"/>
    <n v="2"/>
    <n v="0"/>
    <n v="0"/>
    <n v="0"/>
    <n v="0"/>
    <n v="0"/>
    <n v="0"/>
    <n v="0"/>
  </r>
  <r>
    <d v="2013-12-25T00:00:00"/>
    <n v="2712"/>
    <n v="1956"/>
    <x v="3"/>
    <s v="Graduation"/>
    <s v="Married"/>
    <n v="71866"/>
    <n v="1"/>
    <n v="85"/>
    <n v="184"/>
    <n v="178"/>
    <n v="178"/>
    <n v="103"/>
    <n v="39"/>
    <n v="33"/>
    <n v="715"/>
    <n v="1"/>
    <n v="6"/>
    <n v="3"/>
    <n v="10"/>
    <n v="3"/>
    <n v="0"/>
    <n v="0"/>
    <n v="0"/>
    <n v="0"/>
    <n v="0"/>
    <n v="0"/>
    <n v="0"/>
  </r>
  <r>
    <d v="2013-12-05T00:00:00"/>
    <n v="6049"/>
    <n v="1982"/>
    <x v="0"/>
    <s v="Master"/>
    <s v="Together"/>
    <n v="73450"/>
    <n v="0"/>
    <n v="85"/>
    <n v="1142"/>
    <n v="51"/>
    <n v="415"/>
    <n v="90"/>
    <n v="69"/>
    <n v="37"/>
    <n v="1804"/>
    <n v="1"/>
    <n v="7"/>
    <n v="8"/>
    <n v="11"/>
    <n v="3"/>
    <n v="1"/>
    <n v="0"/>
    <n v="0"/>
    <n v="1"/>
    <n v="0"/>
    <n v="0"/>
    <n v="0"/>
  </r>
  <r>
    <d v="2013-11-27T00:00:00"/>
    <n v="6605"/>
    <n v="1944"/>
    <x v="0"/>
    <s v="PhD"/>
    <s v="Divorced"/>
    <n v="55614"/>
    <n v="0"/>
    <n v="85"/>
    <n v="504"/>
    <n v="13"/>
    <n v="131"/>
    <n v="8"/>
    <n v="0"/>
    <n v="26"/>
    <n v="682"/>
    <n v="1"/>
    <n v="9"/>
    <n v="4"/>
    <n v="6"/>
    <n v="7"/>
    <n v="0"/>
    <n v="1"/>
    <n v="0"/>
    <n v="0"/>
    <n v="0"/>
    <n v="0"/>
    <n v="0"/>
  </r>
  <r>
    <d v="2013-08-29T00:00:00"/>
    <n v="11181"/>
    <n v="1949"/>
    <x v="1"/>
    <s v="PhD"/>
    <s v="Married"/>
    <n v="156924"/>
    <n v="0"/>
    <n v="85"/>
    <n v="2"/>
    <n v="1"/>
    <n v="2"/>
    <n v="1"/>
    <n v="1"/>
    <n v="1"/>
    <n v="8"/>
    <n v="0"/>
    <n v="0"/>
    <n v="0"/>
    <n v="0"/>
    <n v="0"/>
    <n v="0"/>
    <n v="0"/>
    <n v="0"/>
    <n v="0"/>
    <n v="0"/>
    <n v="0"/>
    <n v="0"/>
  </r>
  <r>
    <d v="2013-07-11T00:00:00"/>
    <n v="5234"/>
    <n v="1967"/>
    <x v="1"/>
    <s v="2n Cycle"/>
    <s v="Together"/>
    <n v="30753"/>
    <n v="2"/>
    <n v="85"/>
    <n v="12"/>
    <n v="5"/>
    <n v="25"/>
    <n v="0"/>
    <n v="9"/>
    <n v="30"/>
    <n v="81"/>
    <n v="2"/>
    <n v="1"/>
    <n v="1"/>
    <n v="3"/>
    <n v="5"/>
    <n v="0"/>
    <n v="0"/>
    <n v="0"/>
    <n v="0"/>
    <n v="0"/>
    <n v="0"/>
    <n v="0"/>
  </r>
  <r>
    <d v="2013-07-09T00:00:00"/>
    <n v="5253"/>
    <n v="1956"/>
    <x v="0"/>
    <s v="Master"/>
    <s v="Together"/>
    <n v="54603"/>
    <n v="2"/>
    <n v="85"/>
    <n v="145"/>
    <n v="13"/>
    <n v="46"/>
    <n v="17"/>
    <n v="2"/>
    <n v="4"/>
    <n v="227"/>
    <n v="6"/>
    <n v="4"/>
    <n v="2"/>
    <n v="4"/>
    <n v="7"/>
    <n v="0"/>
    <n v="0"/>
    <n v="0"/>
    <n v="0"/>
    <n v="0"/>
    <n v="0"/>
    <n v="0"/>
  </r>
  <r>
    <d v="2013-05-19T00:00:00"/>
    <n v="11148"/>
    <n v="1975"/>
    <x v="0"/>
    <s v="Graduation"/>
    <s v="Together"/>
    <n v="22280"/>
    <n v="1"/>
    <n v="85"/>
    <n v="2"/>
    <n v="1"/>
    <n v="4"/>
    <n v="3"/>
    <n v="1"/>
    <n v="2"/>
    <n v="13"/>
    <n v="1"/>
    <n v="1"/>
    <n v="0"/>
    <n v="2"/>
    <n v="8"/>
    <n v="0"/>
    <n v="0"/>
    <n v="0"/>
    <n v="0"/>
    <n v="0"/>
    <n v="0"/>
    <n v="0"/>
  </r>
  <r>
    <d v="2013-04-28T00:00:00"/>
    <n v="6289"/>
    <n v="1951"/>
    <x v="0"/>
    <s v="Master"/>
    <s v="Together"/>
    <n v="59385"/>
    <n v="2"/>
    <n v="85"/>
    <n v="135"/>
    <n v="0"/>
    <n v="10"/>
    <n v="0"/>
    <n v="4"/>
    <n v="36"/>
    <n v="185"/>
    <n v="2"/>
    <n v="3"/>
    <n v="1"/>
    <n v="4"/>
    <n v="5"/>
    <n v="0"/>
    <n v="0"/>
    <n v="0"/>
    <n v="0"/>
    <n v="0"/>
    <n v="0"/>
    <n v="0"/>
  </r>
  <r>
    <d v="2013-01-11T00:00:00"/>
    <n v="9743"/>
    <n v="1955"/>
    <x v="1"/>
    <s v="Graduation"/>
    <s v="Married"/>
    <n v="76998"/>
    <n v="1"/>
    <n v="85"/>
    <n v="1449"/>
    <n v="89"/>
    <n v="161"/>
    <n v="69"/>
    <n v="35"/>
    <n v="107"/>
    <n v="1910"/>
    <n v="2"/>
    <n v="11"/>
    <n v="8"/>
    <n v="8"/>
    <n v="6"/>
    <n v="0"/>
    <n v="0"/>
    <n v="1"/>
    <n v="0"/>
    <n v="0"/>
    <n v="0"/>
    <n v="0"/>
  </r>
  <r>
    <d v="2012-10-14T00:00:00"/>
    <n v="9209"/>
    <n v="1971"/>
    <x v="6"/>
    <s v="Master"/>
    <s v="Together"/>
    <n v="80573"/>
    <n v="0"/>
    <n v="85"/>
    <n v="829"/>
    <n v="138"/>
    <n v="430"/>
    <n v="60"/>
    <n v="92"/>
    <n v="15"/>
    <n v="1564"/>
    <n v="1"/>
    <n v="4"/>
    <n v="6"/>
    <n v="13"/>
    <n v="2"/>
    <n v="0"/>
    <n v="0"/>
    <n v="0"/>
    <n v="0"/>
    <n v="0"/>
    <n v="0"/>
    <n v="0"/>
  </r>
  <r>
    <d v="2012-10-14T00:00:00"/>
    <n v="6417"/>
    <n v="1971"/>
    <x v="0"/>
    <s v="Master"/>
    <s v="Together"/>
    <n v="80573"/>
    <n v="0"/>
    <n v="85"/>
    <n v="829"/>
    <n v="138"/>
    <n v="430"/>
    <n v="60"/>
    <n v="92"/>
    <n v="15"/>
    <n v="1564"/>
    <n v="1"/>
    <n v="4"/>
    <n v="6"/>
    <n v="13"/>
    <n v="2"/>
    <n v="0"/>
    <n v="0"/>
    <n v="0"/>
    <n v="0"/>
    <n v="0"/>
    <n v="0"/>
    <n v="0"/>
  </r>
  <r>
    <d v="2014-04-18T00:00:00"/>
    <n v="7937"/>
    <n v="1982"/>
    <x v="0"/>
    <s v="Graduation"/>
    <s v="Married"/>
    <n v="24711"/>
    <n v="0"/>
    <n v="86"/>
    <n v="10"/>
    <n v="7"/>
    <n v="25"/>
    <n v="6"/>
    <n v="3"/>
    <n v="7"/>
    <n v="58"/>
    <n v="1"/>
    <n v="3"/>
    <n v="0"/>
    <n v="3"/>
    <n v="7"/>
    <n v="0"/>
    <n v="0"/>
    <n v="0"/>
    <n v="0"/>
    <n v="0"/>
    <n v="0"/>
    <n v="0"/>
  </r>
  <r>
    <d v="2014-04-06T00:00:00"/>
    <n v="6488"/>
    <n v="1959"/>
    <x v="4"/>
    <s v="PhD"/>
    <s v="Married"/>
    <n v="38829"/>
    <n v="1"/>
    <n v="86"/>
    <n v="76"/>
    <n v="0"/>
    <n v="7"/>
    <n v="0"/>
    <n v="0"/>
    <n v="16"/>
    <n v="99"/>
    <n v="1"/>
    <n v="3"/>
    <n v="2"/>
    <n v="2"/>
    <n v="5"/>
    <n v="0"/>
    <n v="0"/>
    <n v="0"/>
    <n v="0"/>
    <n v="0"/>
    <n v="0"/>
    <n v="0"/>
  </r>
  <r>
    <d v="2014-04-05T00:00:00"/>
    <n v="3194"/>
    <n v="1974"/>
    <x v="1"/>
    <s v="PhD"/>
    <s v="Single"/>
    <n v="71466"/>
    <n v="0"/>
    <n v="86"/>
    <n v="412"/>
    <n v="12"/>
    <n v="546"/>
    <n v="78"/>
    <n v="182"/>
    <n v="0"/>
    <n v="1230"/>
    <n v="1"/>
    <n v="4"/>
    <n v="4"/>
    <n v="10"/>
    <n v="1"/>
    <n v="0"/>
    <n v="0"/>
    <n v="0"/>
    <n v="0"/>
    <n v="0"/>
    <n v="0"/>
    <n v="0"/>
  </r>
  <r>
    <d v="2014-03-11T00:00:00"/>
    <n v="231"/>
    <n v="1956"/>
    <x v="0"/>
    <s v="Master"/>
    <s v="Together"/>
    <n v="28839"/>
    <n v="2"/>
    <n v="86"/>
    <n v="24"/>
    <n v="0"/>
    <n v="7"/>
    <n v="0"/>
    <n v="0"/>
    <n v="1"/>
    <n v="32"/>
    <n v="2"/>
    <n v="2"/>
    <n v="0"/>
    <n v="3"/>
    <n v="5"/>
    <n v="0"/>
    <n v="0"/>
    <n v="0"/>
    <n v="0"/>
    <n v="0"/>
    <n v="0"/>
    <n v="0"/>
  </r>
  <r>
    <d v="2014-03-06T00:00:00"/>
    <n v="9697"/>
    <n v="1951"/>
    <x v="0"/>
    <s v="Graduation"/>
    <s v="Married"/>
    <n v="53790"/>
    <n v="2"/>
    <n v="86"/>
    <n v="335"/>
    <n v="42"/>
    <n v="127"/>
    <n v="28"/>
    <n v="5"/>
    <n v="5"/>
    <n v="542"/>
    <n v="3"/>
    <n v="7"/>
    <n v="2"/>
    <n v="8"/>
    <n v="6"/>
    <n v="0"/>
    <n v="0"/>
    <n v="0"/>
    <n v="0"/>
    <n v="0"/>
    <n v="0"/>
    <n v="0"/>
  </r>
  <r>
    <d v="2014-03-05T00:00:00"/>
    <n v="4676"/>
    <n v="1951"/>
    <x v="0"/>
    <s v="Master"/>
    <s v="Widow"/>
    <n v="73705"/>
    <n v="2"/>
    <n v="86"/>
    <n v="612"/>
    <n v="91"/>
    <n v="520"/>
    <n v="258"/>
    <n v="107"/>
    <n v="107"/>
    <n v="1695"/>
    <n v="2"/>
    <n v="9"/>
    <n v="6"/>
    <n v="8"/>
    <n v="5"/>
    <n v="0"/>
    <n v="0"/>
    <n v="0"/>
    <n v="0"/>
    <n v="0"/>
    <n v="0"/>
    <n v="0"/>
  </r>
  <r>
    <d v="2014-02-26T00:00:00"/>
    <n v="8079"/>
    <n v="1982"/>
    <x v="6"/>
    <s v="Graduation"/>
    <s v="Married"/>
    <n v="22448"/>
    <n v="1"/>
    <n v="86"/>
    <n v="3"/>
    <n v="1"/>
    <n v="8"/>
    <n v="23"/>
    <n v="2"/>
    <n v="18"/>
    <n v="55"/>
    <n v="3"/>
    <n v="2"/>
    <n v="1"/>
    <n v="3"/>
    <n v="3"/>
    <n v="0"/>
    <n v="0"/>
    <n v="0"/>
    <n v="0"/>
    <n v="0"/>
    <n v="0"/>
    <n v="0"/>
  </r>
  <r>
    <d v="2014-01-18T00:00:00"/>
    <n v="10032"/>
    <n v="1976"/>
    <x v="6"/>
    <s v="Graduation"/>
    <s v="Divorced"/>
    <n v="12571"/>
    <n v="1"/>
    <n v="86"/>
    <n v="3"/>
    <n v="5"/>
    <n v="14"/>
    <n v="2"/>
    <n v="12"/>
    <n v="17"/>
    <n v="53"/>
    <n v="4"/>
    <n v="3"/>
    <n v="1"/>
    <n v="3"/>
    <n v="6"/>
    <n v="0"/>
    <n v="0"/>
    <n v="0"/>
    <n v="0"/>
    <n v="0"/>
    <n v="0"/>
    <n v="0"/>
  </r>
  <r>
    <d v="2013-12-26T00:00:00"/>
    <n v="10505"/>
    <n v="1960"/>
    <x v="6"/>
    <s v="Master"/>
    <s v="Together"/>
    <n v="73113"/>
    <n v="0"/>
    <n v="86"/>
    <n v="741"/>
    <n v="19"/>
    <n v="154"/>
    <n v="50"/>
    <n v="9"/>
    <n v="28"/>
    <n v="1001"/>
    <n v="1"/>
    <n v="3"/>
    <n v="4"/>
    <n v="7"/>
    <n v="2"/>
    <n v="0"/>
    <n v="0"/>
    <n v="0"/>
    <n v="0"/>
    <n v="0"/>
    <n v="0"/>
    <n v="0"/>
  </r>
  <r>
    <d v="2013-12-11T00:00:00"/>
    <n v="2005"/>
    <n v="1990"/>
    <x v="1"/>
    <s v="Graduation"/>
    <s v="Married"/>
    <n v="35765"/>
    <n v="1"/>
    <n v="86"/>
    <n v="22"/>
    <n v="3"/>
    <n v="30"/>
    <n v="0"/>
    <n v="5"/>
    <n v="15"/>
    <n v="75"/>
    <n v="2"/>
    <n v="2"/>
    <n v="0"/>
    <n v="4"/>
    <n v="6"/>
    <n v="0"/>
    <n v="0"/>
    <n v="0"/>
    <n v="0"/>
    <n v="0"/>
    <n v="0"/>
    <n v="0"/>
  </r>
  <r>
    <d v="2013-10-21T00:00:00"/>
    <n v="6940"/>
    <n v="1966"/>
    <x v="0"/>
    <s v="PhD"/>
    <s v="Single"/>
    <n v="46734"/>
    <n v="3"/>
    <n v="86"/>
    <n v="100"/>
    <n v="1"/>
    <n v="39"/>
    <n v="6"/>
    <n v="1"/>
    <n v="76"/>
    <n v="223"/>
    <n v="4"/>
    <n v="3"/>
    <n v="2"/>
    <n v="3"/>
    <n v="6"/>
    <n v="1"/>
    <n v="0"/>
    <n v="0"/>
    <n v="0"/>
    <n v="0"/>
    <n v="0"/>
    <n v="0"/>
  </r>
  <r>
    <d v="2013-09-16T00:00:00"/>
    <n v="2304"/>
    <n v="1963"/>
    <x v="6"/>
    <s v="PhD"/>
    <s v="Together"/>
    <n v="66313"/>
    <n v="1"/>
    <n v="86"/>
    <n v="625"/>
    <n v="7"/>
    <n v="99"/>
    <n v="10"/>
    <n v="22"/>
    <n v="7"/>
    <n v="770"/>
    <n v="2"/>
    <n v="6"/>
    <n v="3"/>
    <n v="12"/>
    <n v="4"/>
    <n v="0"/>
    <n v="0"/>
    <n v="0"/>
    <n v="0"/>
    <n v="0"/>
    <n v="0"/>
    <n v="0"/>
  </r>
  <r>
    <d v="2013-08-31T00:00:00"/>
    <n v="3170"/>
    <n v="1957"/>
    <x v="0"/>
    <s v="Master"/>
    <s v="Together"/>
    <n v="68148"/>
    <n v="0"/>
    <n v="86"/>
    <n v="389"/>
    <n v="66"/>
    <n v="408"/>
    <n v="37"/>
    <n v="57"/>
    <n v="85"/>
    <n v="1042"/>
    <n v="1"/>
    <n v="4"/>
    <n v="4"/>
    <n v="6"/>
    <n v="2"/>
    <n v="0"/>
    <n v="0"/>
    <n v="0"/>
    <n v="0"/>
    <n v="0"/>
    <n v="0"/>
    <n v="0"/>
  </r>
  <r>
    <d v="2013-08-22T00:00:00"/>
    <n v="10466"/>
    <n v="1965"/>
    <x v="0"/>
    <s v="Graduation"/>
    <s v="Married"/>
    <n v="44393"/>
    <n v="2"/>
    <n v="86"/>
    <n v="24"/>
    <n v="2"/>
    <n v="20"/>
    <n v="2"/>
    <n v="2"/>
    <n v="10"/>
    <n v="60"/>
    <n v="2"/>
    <n v="1"/>
    <n v="0"/>
    <n v="4"/>
    <n v="4"/>
    <n v="0"/>
    <n v="0"/>
    <n v="0"/>
    <n v="0"/>
    <n v="0"/>
    <n v="0"/>
    <n v="0"/>
  </r>
  <r>
    <d v="2013-06-29T00:00:00"/>
    <n v="7325"/>
    <n v="1986"/>
    <x v="0"/>
    <s v="PhD"/>
    <s v="Together"/>
    <n v="38197"/>
    <n v="1"/>
    <n v="86"/>
    <n v="23"/>
    <n v="0"/>
    <n v="11"/>
    <n v="2"/>
    <n v="1"/>
    <n v="3"/>
    <n v="40"/>
    <n v="1"/>
    <n v="1"/>
    <n v="0"/>
    <n v="3"/>
    <n v="5"/>
    <n v="0"/>
    <n v="0"/>
    <n v="0"/>
    <n v="0"/>
    <n v="0"/>
    <n v="0"/>
    <n v="0"/>
  </r>
  <r>
    <d v="2013-04-18T00:00:00"/>
    <n v="455"/>
    <n v="1946"/>
    <x v="0"/>
    <s v="PhD"/>
    <s v="Married"/>
    <n v="51012"/>
    <n v="0"/>
    <n v="86"/>
    <n v="102"/>
    <n v="9"/>
    <n v="63"/>
    <n v="2"/>
    <n v="9"/>
    <n v="24"/>
    <n v="209"/>
    <n v="1"/>
    <n v="4"/>
    <n v="1"/>
    <n v="4"/>
    <n v="6"/>
    <n v="0"/>
    <n v="0"/>
    <n v="0"/>
    <n v="0"/>
    <n v="0"/>
    <n v="0"/>
    <n v="0"/>
  </r>
  <r>
    <d v="2013-04-18T00:00:00"/>
    <n v="7592"/>
    <n v="1946"/>
    <x v="0"/>
    <s v="PhD"/>
    <s v="Married"/>
    <n v="51012"/>
    <n v="0"/>
    <n v="86"/>
    <n v="102"/>
    <n v="9"/>
    <n v="63"/>
    <n v="2"/>
    <n v="9"/>
    <n v="24"/>
    <n v="209"/>
    <n v="1"/>
    <n v="4"/>
    <n v="1"/>
    <n v="4"/>
    <n v="6"/>
    <n v="0"/>
    <n v="0"/>
    <n v="0"/>
    <n v="0"/>
    <n v="0"/>
    <n v="0"/>
    <n v="0"/>
  </r>
  <r>
    <d v="2013-04-17T00:00:00"/>
    <n v="4547"/>
    <n v="1960"/>
    <x v="0"/>
    <s v="Graduation"/>
    <s v="Together"/>
    <n v="13672"/>
    <n v="2"/>
    <n v="86"/>
    <n v="6"/>
    <n v="2"/>
    <n v="9"/>
    <n v="2"/>
    <n v="1"/>
    <n v="5"/>
    <n v="25"/>
    <n v="2"/>
    <n v="1"/>
    <n v="0"/>
    <n v="3"/>
    <n v="8"/>
    <n v="0"/>
    <n v="0"/>
    <n v="0"/>
    <n v="0"/>
    <n v="0"/>
    <n v="0"/>
    <n v="0"/>
  </r>
  <r>
    <d v="2013-03-06T00:00:00"/>
    <n v="6825"/>
    <n v="1953"/>
    <x v="1"/>
    <s v="Graduation"/>
    <s v="Together"/>
    <n v="41452"/>
    <n v="2"/>
    <n v="86"/>
    <n v="13"/>
    <n v="0"/>
    <n v="3"/>
    <n v="0"/>
    <n v="0"/>
    <n v="0"/>
    <n v="16"/>
    <n v="1"/>
    <n v="1"/>
    <n v="0"/>
    <n v="2"/>
    <n v="7"/>
    <n v="0"/>
    <n v="0"/>
    <n v="0"/>
    <n v="0"/>
    <n v="0"/>
    <n v="0"/>
    <n v="0"/>
  </r>
  <r>
    <d v="2013-02-26T00:00:00"/>
    <n v="2961"/>
    <n v="1982"/>
    <x v="0"/>
    <s v="Graduation"/>
    <s v="Married"/>
    <n v="42081"/>
    <n v="1"/>
    <n v="86"/>
    <n v="175"/>
    <n v="10"/>
    <n v="110"/>
    <n v="54"/>
    <n v="6"/>
    <n v="27"/>
    <n v="382"/>
    <n v="2"/>
    <n v="6"/>
    <n v="3"/>
    <n v="4"/>
    <n v="6"/>
    <n v="1"/>
    <n v="0"/>
    <n v="0"/>
    <n v="0"/>
    <n v="0"/>
    <n v="0"/>
    <n v="0"/>
  </r>
  <r>
    <d v="2012-12-22T00:00:00"/>
    <n v="8700"/>
    <n v="1986"/>
    <x v="6"/>
    <s v="Basic"/>
    <s v="Single"/>
    <n v="14906"/>
    <n v="0"/>
    <n v="86"/>
    <n v="7"/>
    <n v="7"/>
    <n v="14"/>
    <n v="7"/>
    <n v="16"/>
    <n v="15"/>
    <n v="66"/>
    <n v="3"/>
    <n v="2"/>
    <n v="1"/>
    <n v="3"/>
    <n v="7"/>
    <n v="0"/>
    <n v="0"/>
    <n v="0"/>
    <n v="0"/>
    <n v="0"/>
    <n v="0"/>
    <n v="0"/>
  </r>
  <r>
    <d v="2012-11-03T00:00:00"/>
    <n v="2278"/>
    <n v="1985"/>
    <x v="2"/>
    <s v="2n Cycle"/>
    <s v="Single"/>
    <n v="33812"/>
    <n v="1"/>
    <n v="86"/>
    <n v="4"/>
    <n v="17"/>
    <n v="19"/>
    <n v="30"/>
    <n v="24"/>
    <n v="39"/>
    <n v="133"/>
    <n v="2"/>
    <n v="2"/>
    <n v="1"/>
    <n v="3"/>
    <n v="6"/>
    <n v="0"/>
    <n v="0"/>
    <n v="0"/>
    <n v="0"/>
    <n v="0"/>
    <n v="0"/>
    <n v="0"/>
  </r>
  <r>
    <d v="2012-08-18T00:00:00"/>
    <n v="10703"/>
    <n v="1975"/>
    <x v="0"/>
    <s v="Master"/>
    <s v="Single"/>
    <n v="46098"/>
    <n v="2"/>
    <n v="86"/>
    <n v="57"/>
    <n v="0"/>
    <n v="27"/>
    <n v="0"/>
    <n v="0"/>
    <n v="36"/>
    <n v="120"/>
    <n v="4"/>
    <n v="3"/>
    <n v="2"/>
    <n v="2"/>
    <n v="8"/>
    <n v="0"/>
    <n v="0"/>
    <n v="0"/>
    <n v="0"/>
    <n v="0"/>
    <n v="0"/>
    <n v="0"/>
  </r>
  <r>
    <d v="2012-08-18T00:00:00"/>
    <n v="9"/>
    <n v="1975"/>
    <x v="1"/>
    <s v="Master"/>
    <s v="Single"/>
    <n v="46098"/>
    <n v="2"/>
    <n v="86"/>
    <n v="57"/>
    <n v="0"/>
    <n v="27"/>
    <n v="0"/>
    <n v="0"/>
    <n v="36"/>
    <n v="120"/>
    <n v="4"/>
    <n v="3"/>
    <n v="2"/>
    <n v="2"/>
    <n v="8"/>
    <n v="0"/>
    <n v="0"/>
    <n v="0"/>
    <n v="0"/>
    <n v="0"/>
    <n v="0"/>
    <n v="0"/>
  </r>
  <r>
    <d v="2012-08-18T00:00:00"/>
    <n v="2804"/>
    <n v="1975"/>
    <x v="5"/>
    <s v="Master"/>
    <s v="Single"/>
    <n v="46098"/>
    <n v="2"/>
    <n v="86"/>
    <n v="57"/>
    <n v="0"/>
    <n v="27"/>
    <n v="0"/>
    <n v="0"/>
    <n v="36"/>
    <n v="120"/>
    <n v="4"/>
    <n v="3"/>
    <n v="2"/>
    <n v="2"/>
    <n v="8"/>
    <n v="0"/>
    <n v="0"/>
    <n v="0"/>
    <n v="0"/>
    <n v="0"/>
    <n v="1"/>
    <n v="0"/>
  </r>
  <r>
    <d v="2012-08-03T00:00:00"/>
    <n v="4915"/>
    <n v="1956"/>
    <x v="4"/>
    <s v="2n Cycle"/>
    <s v="Married"/>
    <n v="53230"/>
    <n v="1"/>
    <n v="86"/>
    <n v="176"/>
    <n v="72"/>
    <n v="98"/>
    <n v="136"/>
    <n v="21"/>
    <n v="229"/>
    <n v="732"/>
    <n v="4"/>
    <n v="5"/>
    <n v="2"/>
    <n v="12"/>
    <n v="5"/>
    <n v="0"/>
    <n v="0"/>
    <n v="0"/>
    <n v="0"/>
    <n v="0"/>
    <n v="0"/>
    <n v="0"/>
  </r>
  <r>
    <d v="2014-05-02T00:00:00"/>
    <n v="3010"/>
    <n v="1989"/>
    <x v="0"/>
    <s v="Master"/>
    <s v="Together"/>
    <n v="88420"/>
    <n v="0"/>
    <n v="87"/>
    <n v="957"/>
    <n v="153"/>
    <n v="612"/>
    <n v="99"/>
    <n v="95"/>
    <n v="153"/>
    <n v="2069"/>
    <n v="1"/>
    <n v="4"/>
    <n v="7"/>
    <n v="8"/>
    <n v="1"/>
    <n v="1"/>
    <n v="0"/>
    <n v="1"/>
    <n v="1"/>
    <n v="0"/>
    <n v="0"/>
    <n v="0"/>
  </r>
  <r>
    <d v="2014-03-31T00:00:00"/>
    <n v="4279"/>
    <n v="1963"/>
    <x v="0"/>
    <s v="2n Cycle"/>
    <s v="Single"/>
    <n v="39548"/>
    <n v="2"/>
    <n v="87"/>
    <n v="15"/>
    <n v="4"/>
    <n v="10"/>
    <n v="3"/>
    <n v="4"/>
    <n v="18"/>
    <n v="54"/>
    <n v="2"/>
    <n v="1"/>
    <n v="1"/>
    <n v="3"/>
    <n v="3"/>
    <n v="0"/>
    <n v="0"/>
    <n v="0"/>
    <n v="0"/>
    <n v="0"/>
    <n v="0"/>
    <n v="0"/>
  </r>
  <r>
    <d v="2014-01-04T00:00:00"/>
    <n v="2564"/>
    <n v="1953"/>
    <x v="0"/>
    <s v="Graduation"/>
    <s v="Together"/>
    <n v="61278"/>
    <n v="1"/>
    <n v="87"/>
    <n v="111"/>
    <n v="3"/>
    <n v="28"/>
    <n v="2"/>
    <n v="6"/>
    <n v="15"/>
    <n v="165"/>
    <n v="2"/>
    <n v="3"/>
    <n v="1"/>
    <n v="4"/>
    <n v="6"/>
    <n v="0"/>
    <n v="0"/>
    <n v="0"/>
    <n v="0"/>
    <n v="0"/>
    <n v="0"/>
    <n v="0"/>
  </r>
  <r>
    <d v="2013-12-29T00:00:00"/>
    <n v="1137"/>
    <n v="1964"/>
    <x v="0"/>
    <s v="Graduation"/>
    <s v="Single"/>
    <n v="81246"/>
    <n v="0"/>
    <n v="87"/>
    <n v="398"/>
    <n v="190"/>
    <n v="537"/>
    <n v="61"/>
    <n v="156"/>
    <n v="37"/>
    <n v="1379"/>
    <n v="1"/>
    <n v="4"/>
    <n v="5"/>
    <n v="7"/>
    <n v="1"/>
    <n v="1"/>
    <n v="0"/>
    <n v="0"/>
    <n v="1"/>
    <n v="0"/>
    <n v="0"/>
    <n v="0"/>
  </r>
  <r>
    <d v="2013-12-25T00:00:00"/>
    <n v="5084"/>
    <n v="1975"/>
    <x v="0"/>
    <s v="Graduation"/>
    <s v="Widow"/>
    <n v="58330"/>
    <n v="1"/>
    <n v="87"/>
    <n v="445"/>
    <n v="53"/>
    <n v="213"/>
    <n v="104"/>
    <n v="98"/>
    <n v="151"/>
    <n v="1064"/>
    <n v="1"/>
    <n v="6"/>
    <n v="4"/>
    <n v="13"/>
    <n v="4"/>
    <n v="0"/>
    <n v="0"/>
    <n v="0"/>
    <n v="0"/>
    <n v="0"/>
    <n v="0"/>
    <n v="0"/>
  </r>
  <r>
    <d v="2013-12-25T00:00:00"/>
    <n v="7094"/>
    <n v="1975"/>
    <x v="4"/>
    <s v="Graduation"/>
    <s v="Widow"/>
    <n v="58330"/>
    <n v="1"/>
    <n v="87"/>
    <n v="445"/>
    <n v="53"/>
    <n v="213"/>
    <n v="104"/>
    <n v="98"/>
    <n v="151"/>
    <n v="1064"/>
    <n v="1"/>
    <n v="6"/>
    <n v="4"/>
    <n v="13"/>
    <n v="4"/>
    <n v="0"/>
    <n v="0"/>
    <n v="0"/>
    <n v="0"/>
    <n v="0"/>
    <n v="0"/>
    <n v="0"/>
  </r>
  <r>
    <d v="2013-12-19T00:00:00"/>
    <n v="6327"/>
    <n v="1967"/>
    <x v="2"/>
    <s v="Graduation"/>
    <s v="Together"/>
    <n v="65777"/>
    <n v="0"/>
    <n v="87"/>
    <n v="565"/>
    <n v="32"/>
    <n v="435"/>
    <n v="28"/>
    <n v="32"/>
    <n v="54"/>
    <n v="1146"/>
    <n v="1"/>
    <n v="2"/>
    <n v="8"/>
    <n v="6"/>
    <n v="1"/>
    <n v="0"/>
    <n v="0"/>
    <n v="0"/>
    <n v="0"/>
    <n v="0"/>
    <n v="0"/>
    <n v="0"/>
  </r>
  <r>
    <d v="2013-12-01T00:00:00"/>
    <n v="6131"/>
    <n v="1980"/>
    <x v="0"/>
    <s v="2n Cycle"/>
    <s v="Married"/>
    <n v="70829"/>
    <n v="2"/>
    <n v="87"/>
    <n v="141"/>
    <n v="70"/>
    <n v="106"/>
    <n v="72"/>
    <n v="19"/>
    <n v="23"/>
    <n v="431"/>
    <n v="2"/>
    <n v="4"/>
    <n v="2"/>
    <n v="8"/>
    <n v="3"/>
    <n v="0"/>
    <n v="0"/>
    <n v="0"/>
    <n v="0"/>
    <n v="0"/>
    <n v="0"/>
    <n v="0"/>
  </r>
  <r>
    <d v="2013-11-23T00:00:00"/>
    <n v="5798"/>
    <n v="1973"/>
    <x v="4"/>
    <s v="Master"/>
    <s v="Together"/>
    <n v="53790.45"/>
    <n v="0"/>
    <n v="87"/>
    <n v="445"/>
    <n v="37"/>
    <n v="359"/>
    <n v="98"/>
    <n v="28"/>
    <n v="18"/>
    <n v="985"/>
    <n v="1"/>
    <n v="2"/>
    <n v="4"/>
    <n v="8"/>
    <n v="1"/>
    <n v="0"/>
    <n v="0"/>
    <n v="0"/>
    <n v="0"/>
    <n v="0"/>
    <n v="0"/>
    <n v="0"/>
  </r>
  <r>
    <d v="2013-11-08T00:00:00"/>
    <n v="10379"/>
    <n v="1962"/>
    <x v="0"/>
    <s v="Master"/>
    <s v="Single"/>
    <n v="59247"/>
    <n v="2"/>
    <n v="87"/>
    <n v="327"/>
    <n v="9"/>
    <n v="122"/>
    <n v="19"/>
    <n v="14"/>
    <n v="83"/>
    <n v="574"/>
    <n v="5"/>
    <n v="5"/>
    <n v="2"/>
    <n v="9"/>
    <n v="6"/>
    <n v="0"/>
    <n v="0"/>
    <n v="0"/>
    <n v="0"/>
    <n v="0"/>
    <n v="0"/>
    <n v="0"/>
  </r>
  <r>
    <d v="2013-10-10T00:00:00"/>
    <n v="606"/>
    <n v="1967"/>
    <x v="0"/>
    <s v="Graduation"/>
    <s v="Single"/>
    <n v="25930"/>
    <n v="2"/>
    <n v="87"/>
    <n v="6"/>
    <n v="1"/>
    <n v="2"/>
    <n v="2"/>
    <n v="0"/>
    <n v="4"/>
    <n v="15"/>
    <n v="1"/>
    <n v="1"/>
    <n v="0"/>
    <n v="2"/>
    <n v="7"/>
    <n v="0"/>
    <n v="0"/>
    <n v="0"/>
    <n v="0"/>
    <n v="0"/>
    <n v="0"/>
    <n v="0"/>
  </r>
  <r>
    <d v="2013-09-12T00:00:00"/>
    <n v="7801"/>
    <n v="1959"/>
    <x v="6"/>
    <s v="Graduation"/>
    <s v="Together"/>
    <n v="54753"/>
    <n v="1"/>
    <n v="87"/>
    <n v="197"/>
    <n v="107"/>
    <n v="227"/>
    <n v="7"/>
    <n v="59"/>
    <n v="131"/>
    <n v="728"/>
    <n v="3"/>
    <n v="5"/>
    <n v="2"/>
    <n v="11"/>
    <n v="4"/>
    <n v="0"/>
    <n v="0"/>
    <n v="0"/>
    <n v="0"/>
    <n v="0"/>
    <n v="0"/>
    <n v="0"/>
  </r>
  <r>
    <d v="2013-07-07T00:00:00"/>
    <n v="2445"/>
    <n v="1974"/>
    <x v="0"/>
    <s v="PhD"/>
    <s v="Together"/>
    <n v="28440"/>
    <n v="1"/>
    <n v="87"/>
    <n v="38"/>
    <n v="1"/>
    <n v="24"/>
    <n v="0"/>
    <n v="0"/>
    <n v="0"/>
    <n v="63"/>
    <n v="1"/>
    <n v="2"/>
    <n v="0"/>
    <n v="3"/>
    <n v="8"/>
    <n v="0"/>
    <n v="0"/>
    <n v="0"/>
    <n v="0"/>
    <n v="0"/>
    <n v="0"/>
    <n v="0"/>
  </r>
  <r>
    <d v="2013-07-03T00:00:00"/>
    <n v="5346"/>
    <n v="1973"/>
    <x v="4"/>
    <s v="2n Cycle"/>
    <s v="Married"/>
    <n v="23559"/>
    <n v="1"/>
    <n v="87"/>
    <n v="25"/>
    <n v="5"/>
    <n v="19"/>
    <n v="7"/>
    <n v="0"/>
    <n v="23"/>
    <n v="79"/>
    <n v="3"/>
    <n v="3"/>
    <n v="0"/>
    <n v="3"/>
    <n v="7"/>
    <n v="0"/>
    <n v="0"/>
    <n v="0"/>
    <n v="0"/>
    <n v="0"/>
    <n v="0"/>
    <n v="0"/>
  </r>
  <r>
    <d v="2013-05-23T00:00:00"/>
    <n v="550"/>
    <n v="1952"/>
    <x v="0"/>
    <s v="Graduation"/>
    <s v="Divorced"/>
    <n v="62335"/>
    <n v="1"/>
    <n v="87"/>
    <n v="243"/>
    <n v="131"/>
    <n v="217"/>
    <n v="85"/>
    <n v="6"/>
    <n v="26"/>
    <n v="708"/>
    <n v="2"/>
    <n v="3"/>
    <n v="3"/>
    <n v="13"/>
    <n v="2"/>
    <n v="0"/>
    <n v="0"/>
    <n v="0"/>
    <n v="0"/>
    <n v="0"/>
    <n v="0"/>
    <n v="0"/>
  </r>
  <r>
    <d v="2013-03-24T00:00:00"/>
    <n v="4478"/>
    <n v="1979"/>
    <x v="5"/>
    <s v="Graduation"/>
    <s v="Married"/>
    <n v="63777"/>
    <n v="2"/>
    <n v="87"/>
    <n v="457"/>
    <n v="5"/>
    <n v="106"/>
    <n v="15"/>
    <n v="17"/>
    <n v="53"/>
    <n v="653"/>
    <n v="8"/>
    <n v="11"/>
    <n v="1"/>
    <n v="6"/>
    <n v="8"/>
    <n v="0"/>
    <n v="0"/>
    <n v="0"/>
    <n v="0"/>
    <n v="0"/>
    <n v="0"/>
    <n v="0"/>
  </r>
  <r>
    <d v="2013-03-22T00:00:00"/>
    <n v="2350"/>
    <n v="1972"/>
    <x v="1"/>
    <s v="Graduation"/>
    <s v="Married"/>
    <n v="59666"/>
    <n v="2"/>
    <n v="87"/>
    <n v="623"/>
    <n v="53"/>
    <n v="178"/>
    <n v="23"/>
    <n v="17"/>
    <n v="133"/>
    <n v="1027"/>
    <n v="7"/>
    <n v="3"/>
    <n v="2"/>
    <n v="8"/>
    <n v="8"/>
    <n v="0"/>
    <n v="1"/>
    <n v="0"/>
    <n v="0"/>
    <n v="0"/>
    <n v="0"/>
    <n v="0"/>
  </r>
  <r>
    <d v="2013-02-20T00:00:00"/>
    <n v="1118"/>
    <n v="1956"/>
    <x v="0"/>
    <s v="Master"/>
    <s v="Married"/>
    <n v="50965"/>
    <n v="1"/>
    <n v="87"/>
    <n v="544"/>
    <n v="13"/>
    <n v="85"/>
    <n v="8"/>
    <n v="6"/>
    <n v="29"/>
    <n v="685"/>
    <n v="3"/>
    <n v="10"/>
    <n v="4"/>
    <n v="5"/>
    <n v="8"/>
    <n v="1"/>
    <n v="0"/>
    <n v="0"/>
    <n v="0"/>
    <n v="0"/>
    <n v="0"/>
    <n v="0"/>
  </r>
  <r>
    <d v="2013-02-18T00:00:00"/>
    <n v="1491"/>
    <n v="1965"/>
    <x v="1"/>
    <s v="2n Cycle"/>
    <s v="Together"/>
    <n v="71488"/>
    <n v="0"/>
    <n v="87"/>
    <n v="162"/>
    <n v="33"/>
    <n v="124"/>
    <n v="40"/>
    <n v="28"/>
    <n v="172"/>
    <n v="559"/>
    <n v="2"/>
    <n v="3"/>
    <n v="4"/>
    <n v="7"/>
    <n v="1"/>
    <n v="0"/>
    <n v="0"/>
    <n v="0"/>
    <n v="0"/>
    <n v="0"/>
    <n v="0"/>
    <n v="0"/>
  </r>
  <r>
    <d v="2012-11-27T00:00:00"/>
    <n v="4507"/>
    <n v="1952"/>
    <x v="0"/>
    <s v="Graduation"/>
    <s v="Single"/>
    <n v="72228"/>
    <n v="0"/>
    <n v="87"/>
    <n v="631"/>
    <n v="28"/>
    <n v="491"/>
    <n v="30"/>
    <n v="14"/>
    <n v="56"/>
    <n v="1250"/>
    <n v="1"/>
    <n v="6"/>
    <n v="7"/>
    <n v="8"/>
    <n v="3"/>
    <n v="0"/>
    <n v="0"/>
    <n v="0"/>
    <n v="0"/>
    <n v="0"/>
    <n v="0"/>
    <n v="0"/>
  </r>
  <r>
    <d v="2012-11-26T00:00:00"/>
    <n v="7023"/>
    <n v="1953"/>
    <x v="6"/>
    <s v="PhD"/>
    <s v="Single"/>
    <n v="46231"/>
    <n v="3"/>
    <n v="87"/>
    <n v="189"/>
    <n v="2"/>
    <n v="55"/>
    <n v="0"/>
    <n v="5"/>
    <n v="12"/>
    <n v="263"/>
    <n v="4"/>
    <n v="6"/>
    <n v="1"/>
    <n v="4"/>
    <n v="9"/>
    <n v="0"/>
    <n v="0"/>
    <n v="0"/>
    <n v="0"/>
    <n v="0"/>
    <n v="0"/>
    <n v="0"/>
  </r>
  <r>
    <d v="2012-10-14T00:00:00"/>
    <n v="6977"/>
    <n v="1974"/>
    <x v="0"/>
    <s v="Graduation"/>
    <s v="Together"/>
    <n v="75702"/>
    <n v="1"/>
    <n v="87"/>
    <n v="1073"/>
    <n v="0"/>
    <n v="629"/>
    <n v="145"/>
    <n v="37"/>
    <n v="37"/>
    <n v="1921"/>
    <n v="1"/>
    <n v="10"/>
    <n v="5"/>
    <n v="13"/>
    <n v="6"/>
    <n v="0"/>
    <n v="0"/>
    <n v="1"/>
    <n v="0"/>
    <n v="0"/>
    <n v="0"/>
    <n v="0"/>
  </r>
  <r>
    <d v="2012-10-13T00:00:00"/>
    <n v="4042"/>
    <n v="1971"/>
    <x v="1"/>
    <s v="Graduation"/>
    <s v="Divorced"/>
    <n v="43300"/>
    <n v="1"/>
    <n v="87"/>
    <n v="91"/>
    <n v="3"/>
    <n v="52"/>
    <n v="2"/>
    <n v="1"/>
    <n v="31"/>
    <n v="180"/>
    <n v="3"/>
    <n v="4"/>
    <n v="0"/>
    <n v="4"/>
    <n v="8"/>
    <n v="0"/>
    <n v="0"/>
    <n v="0"/>
    <n v="0"/>
    <n v="0"/>
    <n v="1"/>
    <n v="0"/>
  </r>
  <r>
    <d v="2012-09-28T00:00:00"/>
    <n v="7274"/>
    <n v="1957"/>
    <x v="0"/>
    <s v="Graduation"/>
    <s v="Married"/>
    <n v="78618"/>
    <n v="0"/>
    <n v="87"/>
    <n v="736"/>
    <n v="163"/>
    <n v="818"/>
    <n v="212"/>
    <n v="163"/>
    <n v="61"/>
    <n v="2153"/>
    <n v="1"/>
    <n v="4"/>
    <n v="7"/>
    <n v="10"/>
    <n v="2"/>
    <n v="0"/>
    <n v="1"/>
    <n v="0"/>
    <n v="0"/>
    <n v="0"/>
    <n v="0"/>
    <n v="0"/>
  </r>
  <r>
    <d v="2012-09-03T00:00:00"/>
    <n v="2902"/>
    <n v="1958"/>
    <x v="3"/>
    <s v="Graduation"/>
    <s v="Together"/>
    <n v="53790.45"/>
    <n v="2"/>
    <n v="87"/>
    <n v="19"/>
    <n v="4"/>
    <n v="12"/>
    <n v="2"/>
    <n v="2"/>
    <n v="6"/>
    <n v="45"/>
    <n v="1"/>
    <n v="1"/>
    <n v="0"/>
    <n v="3"/>
    <n v="5"/>
    <n v="0"/>
    <n v="0"/>
    <n v="0"/>
    <n v="0"/>
    <n v="0"/>
    <n v="0"/>
    <n v="0"/>
  </r>
  <r>
    <d v="2012-08-29T00:00:00"/>
    <n v="3332"/>
    <n v="1985"/>
    <x v="4"/>
    <s v="Graduation"/>
    <s v="Single"/>
    <n v="29760"/>
    <n v="1"/>
    <n v="87"/>
    <n v="64"/>
    <n v="4"/>
    <n v="68"/>
    <n v="7"/>
    <n v="5"/>
    <n v="17"/>
    <n v="165"/>
    <n v="4"/>
    <n v="3"/>
    <n v="1"/>
    <n v="4"/>
    <n v="8"/>
    <n v="0"/>
    <n v="0"/>
    <n v="0"/>
    <n v="0"/>
    <n v="0"/>
    <n v="0"/>
    <n v="0"/>
  </r>
  <r>
    <d v="2012-08-29T00:00:00"/>
    <n v="7433"/>
    <n v="1985"/>
    <x v="0"/>
    <s v="Graduation"/>
    <s v="Single"/>
    <n v="29760"/>
    <n v="1"/>
    <n v="87"/>
    <n v="64"/>
    <n v="4"/>
    <n v="68"/>
    <n v="7"/>
    <n v="5"/>
    <n v="17"/>
    <n v="165"/>
    <n v="4"/>
    <n v="3"/>
    <n v="1"/>
    <n v="4"/>
    <n v="8"/>
    <n v="0"/>
    <n v="0"/>
    <n v="0"/>
    <n v="0"/>
    <n v="0"/>
    <n v="0"/>
    <n v="0"/>
  </r>
  <r>
    <d v="2014-05-29T00:00:00"/>
    <n v="9386"/>
    <n v="1962"/>
    <x v="0"/>
    <s v="Graduation"/>
    <s v="Together"/>
    <n v="50127"/>
    <n v="1"/>
    <n v="88"/>
    <n v="274"/>
    <n v="0"/>
    <n v="21"/>
    <n v="4"/>
    <n v="6"/>
    <n v="15"/>
    <n v="320"/>
    <n v="1"/>
    <n v="5"/>
    <n v="1"/>
    <n v="6"/>
    <n v="6"/>
    <n v="0"/>
    <n v="1"/>
    <n v="0"/>
    <n v="0"/>
    <n v="0"/>
    <n v="0"/>
    <n v="0"/>
  </r>
  <r>
    <d v="2013-12-08T00:00:00"/>
    <n v="5176"/>
    <n v="1988"/>
    <x v="6"/>
    <s v="Graduation"/>
    <s v="Together"/>
    <n v="29604"/>
    <n v="1"/>
    <n v="88"/>
    <n v="7"/>
    <n v="6"/>
    <n v="13"/>
    <n v="7"/>
    <n v="6"/>
    <n v="14"/>
    <n v="53"/>
    <n v="1"/>
    <n v="1"/>
    <n v="0"/>
    <n v="3"/>
    <n v="9"/>
    <n v="1"/>
    <n v="0"/>
    <n v="0"/>
    <n v="0"/>
    <n v="0"/>
    <n v="0"/>
    <n v="0"/>
  </r>
  <r>
    <d v="2013-10-25T00:00:00"/>
    <n v="10323"/>
    <n v="1952"/>
    <x v="0"/>
    <s v="Graduation"/>
    <s v="Married"/>
    <n v="49413"/>
    <n v="1"/>
    <n v="88"/>
    <n v="205"/>
    <n v="7"/>
    <n v="41"/>
    <n v="3"/>
    <n v="2"/>
    <n v="46"/>
    <n v="304"/>
    <n v="2"/>
    <n v="4"/>
    <n v="2"/>
    <n v="5"/>
    <n v="5"/>
    <n v="0"/>
    <n v="0"/>
    <n v="0"/>
    <n v="0"/>
    <n v="0"/>
    <n v="0"/>
    <n v="0"/>
  </r>
  <r>
    <d v="2013-10-15T00:00:00"/>
    <n v="4682"/>
    <n v="1958"/>
    <x v="4"/>
    <s v="Graduation"/>
    <s v="Married"/>
    <n v="51876"/>
    <n v="0"/>
    <n v="88"/>
    <n v="99"/>
    <n v="27"/>
    <n v="102"/>
    <n v="28"/>
    <n v="48"/>
    <n v="6"/>
    <n v="310"/>
    <n v="1"/>
    <n v="2"/>
    <n v="2"/>
    <n v="8"/>
    <n v="1"/>
    <n v="0"/>
    <n v="0"/>
    <n v="0"/>
    <n v="0"/>
    <n v="0"/>
    <n v="0"/>
    <n v="0"/>
  </r>
  <r>
    <d v="2013-07-26T00:00:00"/>
    <n v="3083"/>
    <n v="1974"/>
    <x v="0"/>
    <s v="Graduation"/>
    <s v="Married"/>
    <n v="45837"/>
    <n v="2"/>
    <n v="88"/>
    <n v="215"/>
    <n v="13"/>
    <n v="87"/>
    <n v="17"/>
    <n v="17"/>
    <n v="24"/>
    <n v="373"/>
    <n v="5"/>
    <n v="6"/>
    <n v="2"/>
    <n v="5"/>
    <n v="7"/>
    <n v="0"/>
    <n v="0"/>
    <n v="0"/>
    <n v="0"/>
    <n v="0"/>
    <n v="0"/>
    <n v="0"/>
  </r>
  <r>
    <d v="2013-05-03T00:00:00"/>
    <n v="8015"/>
    <n v="1962"/>
    <x v="0"/>
    <s v="PhD"/>
    <s v="Divorced"/>
    <n v="85696"/>
    <n v="0"/>
    <n v="88"/>
    <n v="714"/>
    <n v="76"/>
    <n v="395"/>
    <n v="116"/>
    <n v="0"/>
    <n v="12"/>
    <n v="1313"/>
    <n v="1"/>
    <n v="4"/>
    <n v="6"/>
    <n v="9"/>
    <n v="1"/>
    <n v="0"/>
    <n v="0"/>
    <n v="0"/>
    <n v="0"/>
    <n v="0"/>
    <n v="1"/>
    <n v="0"/>
  </r>
  <r>
    <d v="2013-05-03T00:00:00"/>
    <n v="1745"/>
    <n v="1962"/>
    <x v="0"/>
    <s v="PhD"/>
    <s v="Divorced"/>
    <n v="85696"/>
    <n v="0"/>
    <n v="88"/>
    <n v="714"/>
    <n v="76"/>
    <n v="395"/>
    <n v="116"/>
    <n v="0"/>
    <n v="12"/>
    <n v="1313"/>
    <n v="1"/>
    <n v="4"/>
    <n v="6"/>
    <n v="9"/>
    <n v="1"/>
    <n v="0"/>
    <n v="0"/>
    <n v="0"/>
    <n v="0"/>
    <n v="0"/>
    <n v="1"/>
    <n v="0"/>
  </r>
  <r>
    <d v="2013-04-13T00:00:00"/>
    <n v="3136"/>
    <n v="1962"/>
    <x v="0"/>
    <s v="Master"/>
    <s v="Divorced"/>
    <n v="59432"/>
    <n v="1"/>
    <n v="88"/>
    <n v="317"/>
    <n v="25"/>
    <n v="265"/>
    <n v="25"/>
    <n v="19"/>
    <n v="12"/>
    <n v="663"/>
    <n v="3"/>
    <n v="5"/>
    <n v="3"/>
    <n v="11"/>
    <n v="5"/>
    <n v="0"/>
    <n v="0"/>
    <n v="0"/>
    <n v="0"/>
    <n v="0"/>
    <n v="0"/>
    <n v="0"/>
  </r>
  <r>
    <d v="2013-04-10T00:00:00"/>
    <n v="6991"/>
    <n v="1951"/>
    <x v="3"/>
    <s v="Graduation"/>
    <s v="Divorced"/>
    <n v="43185"/>
    <n v="1"/>
    <n v="88"/>
    <n v="537"/>
    <n v="6"/>
    <n v="42"/>
    <n v="16"/>
    <n v="6"/>
    <n v="30"/>
    <n v="637"/>
    <n v="2"/>
    <n v="9"/>
    <n v="3"/>
    <n v="6"/>
    <n v="8"/>
    <n v="0"/>
    <n v="0"/>
    <n v="0"/>
    <n v="0"/>
    <n v="0"/>
    <n v="0"/>
    <n v="0"/>
  </r>
  <r>
    <d v="2013-04-05T00:00:00"/>
    <n v="8132"/>
    <n v="1975"/>
    <x v="4"/>
    <s v="PhD"/>
    <s v="Married"/>
    <n v="60631"/>
    <n v="2"/>
    <n v="88"/>
    <n v="565"/>
    <n v="6"/>
    <n v="65"/>
    <n v="0"/>
    <n v="6"/>
    <n v="19"/>
    <n v="661"/>
    <n v="5"/>
    <n v="9"/>
    <n v="2"/>
    <n v="8"/>
    <n v="7"/>
    <n v="0"/>
    <n v="1"/>
    <n v="0"/>
    <n v="0"/>
    <n v="0"/>
    <n v="0"/>
    <n v="0"/>
  </r>
  <r>
    <d v="2013-03-12T00:00:00"/>
    <n v="503"/>
    <n v="1985"/>
    <x v="3"/>
    <s v="Master"/>
    <s v="Married"/>
    <n v="20559"/>
    <n v="1"/>
    <n v="88"/>
    <n v="13"/>
    <n v="1"/>
    <n v="29"/>
    <n v="3"/>
    <n v="0"/>
    <n v="7"/>
    <n v="53"/>
    <n v="2"/>
    <n v="2"/>
    <n v="0"/>
    <n v="3"/>
    <n v="8"/>
    <n v="0"/>
    <n v="0"/>
    <n v="0"/>
    <n v="0"/>
    <n v="0"/>
    <n v="0"/>
    <n v="0"/>
  </r>
  <r>
    <d v="2013-01-08T00:00:00"/>
    <n v="8148"/>
    <n v="1956"/>
    <x v="6"/>
    <s v="Master"/>
    <s v="Together"/>
    <n v="50898"/>
    <n v="2"/>
    <n v="88"/>
    <n v="285"/>
    <n v="28"/>
    <n v="242"/>
    <n v="55"/>
    <n v="114"/>
    <n v="135"/>
    <n v="859"/>
    <n v="13"/>
    <n v="6"/>
    <n v="2"/>
    <n v="12"/>
    <n v="5"/>
    <n v="0"/>
    <n v="0"/>
    <n v="0"/>
    <n v="0"/>
    <n v="0"/>
    <n v="0"/>
    <n v="0"/>
  </r>
  <r>
    <d v="2013-01-02T00:00:00"/>
    <n v="2736"/>
    <n v="1978"/>
    <x v="5"/>
    <s v="Graduation"/>
    <s v="Married"/>
    <n v="73807"/>
    <n v="1"/>
    <n v="88"/>
    <n v="366"/>
    <n v="124"/>
    <n v="156"/>
    <n v="71"/>
    <n v="78"/>
    <n v="54"/>
    <n v="849"/>
    <n v="2"/>
    <n v="5"/>
    <n v="5"/>
    <n v="11"/>
    <n v="2"/>
    <n v="0"/>
    <n v="0"/>
    <n v="0"/>
    <n v="0"/>
    <n v="0"/>
    <n v="0"/>
    <n v="0"/>
  </r>
  <r>
    <d v="2013-01-01T00:00:00"/>
    <n v="8162"/>
    <n v="1956"/>
    <x v="0"/>
    <s v="Master"/>
    <s v="Together"/>
    <n v="14661"/>
    <n v="0"/>
    <n v="88"/>
    <n v="4"/>
    <n v="1"/>
    <n v="11"/>
    <n v="6"/>
    <n v="2"/>
    <n v="2"/>
    <n v="26"/>
    <n v="1"/>
    <n v="1"/>
    <n v="0"/>
    <n v="3"/>
    <n v="6"/>
    <n v="0"/>
    <n v="0"/>
    <n v="0"/>
    <n v="0"/>
    <n v="0"/>
    <n v="0"/>
    <n v="0"/>
  </r>
  <r>
    <d v="2012-12-20T00:00:00"/>
    <n v="692"/>
    <n v="1954"/>
    <x v="5"/>
    <s v="Graduation"/>
    <s v="Together"/>
    <n v="36807"/>
    <n v="2"/>
    <n v="88"/>
    <n v="4"/>
    <n v="2"/>
    <n v="5"/>
    <n v="0"/>
    <n v="0"/>
    <n v="5"/>
    <n v="16"/>
    <n v="1"/>
    <n v="1"/>
    <n v="0"/>
    <n v="2"/>
    <n v="6"/>
    <n v="0"/>
    <n v="0"/>
    <n v="0"/>
    <n v="0"/>
    <n v="0"/>
    <n v="0"/>
    <n v="0"/>
  </r>
  <r>
    <d v="2012-11-07T00:00:00"/>
    <n v="7706"/>
    <n v="1975"/>
    <x v="1"/>
    <s v="2n Cycle"/>
    <s v="Together"/>
    <n v="46772"/>
    <n v="1"/>
    <n v="88"/>
    <n v="350"/>
    <n v="104"/>
    <n v="189"/>
    <n v="197"/>
    <n v="151"/>
    <n v="57"/>
    <n v="1048"/>
    <n v="6"/>
    <n v="11"/>
    <n v="8"/>
    <n v="5"/>
    <n v="8"/>
    <n v="1"/>
    <n v="0"/>
    <n v="0"/>
    <n v="0"/>
    <n v="0"/>
    <n v="0"/>
    <n v="0"/>
  </r>
  <r>
    <d v="2014-04-28T00:00:00"/>
    <n v="9298"/>
    <n v="1947"/>
    <x v="6"/>
    <s v="PhD"/>
    <s v="Together"/>
    <n v="81574"/>
    <n v="0"/>
    <n v="89"/>
    <n v="1252"/>
    <n v="0"/>
    <n v="465"/>
    <n v="46"/>
    <n v="35"/>
    <n v="0"/>
    <n v="1798"/>
    <n v="1"/>
    <n v="4"/>
    <n v="5"/>
    <n v="8"/>
    <n v="1"/>
    <n v="0"/>
    <n v="1"/>
    <n v="1"/>
    <n v="0"/>
    <n v="0"/>
    <n v="0"/>
    <n v="0"/>
  </r>
  <r>
    <d v="2014-03-12T00:00:00"/>
    <n v="2986"/>
    <n v="1976"/>
    <x v="1"/>
    <s v="Graduation"/>
    <s v="Married"/>
    <n v="30772"/>
    <n v="2"/>
    <n v="89"/>
    <n v="7"/>
    <n v="2"/>
    <n v="4"/>
    <n v="2"/>
    <n v="1"/>
    <n v="4"/>
    <n v="20"/>
    <n v="1"/>
    <n v="1"/>
    <n v="0"/>
    <n v="2"/>
    <n v="6"/>
    <n v="0"/>
    <n v="0"/>
    <n v="0"/>
    <n v="0"/>
    <n v="0"/>
    <n v="0"/>
    <n v="0"/>
  </r>
  <r>
    <d v="2014-03-01T00:00:00"/>
    <n v="10812"/>
    <n v="1978"/>
    <x v="6"/>
    <s v="PhD"/>
    <s v="Married"/>
    <n v="46377"/>
    <n v="1"/>
    <n v="89"/>
    <n v="37"/>
    <n v="0"/>
    <n v="46"/>
    <n v="4"/>
    <n v="3"/>
    <n v="0"/>
    <n v="90"/>
    <n v="1"/>
    <n v="2"/>
    <n v="1"/>
    <n v="3"/>
    <n v="4"/>
    <n v="0"/>
    <n v="0"/>
    <n v="0"/>
    <n v="0"/>
    <n v="0"/>
    <n v="0"/>
    <n v="0"/>
  </r>
  <r>
    <d v="2014-02-19T00:00:00"/>
    <n v="2909"/>
    <n v="1974"/>
    <x v="4"/>
    <s v="PhD"/>
    <s v="Married"/>
    <n v="78128"/>
    <n v="1"/>
    <n v="89"/>
    <n v="934"/>
    <n v="24"/>
    <n v="230"/>
    <n v="16"/>
    <n v="24"/>
    <n v="36"/>
    <n v="1264"/>
    <n v="2"/>
    <n v="8"/>
    <n v="4"/>
    <n v="6"/>
    <n v="3"/>
    <n v="0"/>
    <n v="1"/>
    <n v="1"/>
    <n v="0"/>
    <n v="0"/>
    <n v="0"/>
    <n v="0"/>
  </r>
  <r>
    <d v="2013-12-31T00:00:00"/>
    <n v="6974"/>
    <n v="1972"/>
    <x v="4"/>
    <s v="PhD"/>
    <s v="Together"/>
    <n v="83443"/>
    <n v="0"/>
    <n v="89"/>
    <n v="518"/>
    <n v="42"/>
    <n v="742"/>
    <n v="55"/>
    <n v="56"/>
    <n v="84"/>
    <n v="1497"/>
    <n v="1"/>
    <n v="6"/>
    <n v="10"/>
    <n v="5"/>
    <n v="2"/>
    <n v="0"/>
    <n v="0"/>
    <n v="0"/>
    <n v="0"/>
    <n v="0"/>
    <n v="0"/>
    <n v="0"/>
  </r>
  <r>
    <d v="2013-12-25T00:00:00"/>
    <n v="9140"/>
    <n v="1960"/>
    <x v="2"/>
    <s v="2n Cycle"/>
    <s v="Together"/>
    <n v="50523"/>
    <n v="2"/>
    <n v="89"/>
    <n v="51"/>
    <n v="4"/>
    <n v="24"/>
    <n v="4"/>
    <n v="7"/>
    <n v="1"/>
    <n v="91"/>
    <n v="2"/>
    <n v="2"/>
    <n v="0"/>
    <n v="4"/>
    <n v="6"/>
    <n v="0"/>
    <n v="0"/>
    <n v="0"/>
    <n v="0"/>
    <n v="0"/>
    <n v="0"/>
    <n v="0"/>
  </r>
  <r>
    <d v="2013-10-01T00:00:00"/>
    <n v="4554"/>
    <n v="1965"/>
    <x v="0"/>
    <s v="Graduation"/>
    <s v="Together"/>
    <n v="47009"/>
    <n v="1"/>
    <n v="89"/>
    <n v="171"/>
    <n v="45"/>
    <n v="73"/>
    <n v="59"/>
    <n v="10"/>
    <n v="90"/>
    <n v="448"/>
    <n v="4"/>
    <n v="3"/>
    <n v="2"/>
    <n v="8"/>
    <n v="4"/>
    <n v="0"/>
    <n v="0"/>
    <n v="0"/>
    <n v="0"/>
    <n v="0"/>
    <n v="0"/>
    <n v="0"/>
  </r>
  <r>
    <d v="2013-09-15T00:00:00"/>
    <n v="7791"/>
    <n v="1967"/>
    <x v="6"/>
    <s v="Master"/>
    <s v="Married"/>
    <n v="37054"/>
    <n v="2"/>
    <n v="89"/>
    <n v="12"/>
    <n v="1"/>
    <n v="6"/>
    <n v="0"/>
    <n v="1"/>
    <n v="5"/>
    <n v="25"/>
    <n v="2"/>
    <n v="1"/>
    <n v="0"/>
    <n v="3"/>
    <n v="7"/>
    <n v="0"/>
    <n v="0"/>
    <n v="0"/>
    <n v="0"/>
    <n v="0"/>
    <n v="0"/>
    <n v="0"/>
  </r>
  <r>
    <d v="2013-08-22T00:00:00"/>
    <n v="5455"/>
    <n v="1971"/>
    <x v="0"/>
    <s v="PhD"/>
    <s v="Married"/>
    <n v="32011"/>
    <n v="1"/>
    <n v="89"/>
    <n v="99"/>
    <n v="0"/>
    <n v="15"/>
    <n v="2"/>
    <n v="1"/>
    <n v="5"/>
    <n v="122"/>
    <n v="3"/>
    <n v="2"/>
    <n v="1"/>
    <n v="4"/>
    <n v="7"/>
    <n v="0"/>
    <n v="0"/>
    <n v="0"/>
    <n v="0"/>
    <n v="0"/>
    <n v="0"/>
    <n v="0"/>
  </r>
  <r>
    <d v="2013-08-15T00:00:00"/>
    <n v="7960"/>
    <n v="1962"/>
    <x v="0"/>
    <s v="2n Cycle"/>
    <s v="Together"/>
    <n v="82122"/>
    <n v="0"/>
    <n v="89"/>
    <n v="734"/>
    <n v="22"/>
    <n v="350"/>
    <n v="151"/>
    <n v="25"/>
    <n v="100"/>
    <n v="1382"/>
    <n v="1"/>
    <n v="3"/>
    <n v="9"/>
    <n v="13"/>
    <n v="1"/>
    <n v="0"/>
    <n v="0"/>
    <n v="1"/>
    <n v="0"/>
    <n v="0"/>
    <n v="0"/>
    <n v="0"/>
  </r>
  <r>
    <d v="2013-07-15T00:00:00"/>
    <n v="3426"/>
    <n v="1975"/>
    <x v="0"/>
    <s v="Graduation"/>
    <s v="Divorced"/>
    <n v="70300"/>
    <n v="1"/>
    <n v="89"/>
    <n v="1045"/>
    <n v="61"/>
    <n v="338"/>
    <n v="60"/>
    <n v="46"/>
    <n v="46"/>
    <n v="1596"/>
    <n v="3"/>
    <n v="5"/>
    <n v="5"/>
    <n v="13"/>
    <n v="8"/>
    <n v="0"/>
    <n v="0"/>
    <n v="0"/>
    <n v="0"/>
    <n v="0"/>
    <n v="0"/>
    <n v="0"/>
  </r>
  <r>
    <d v="2013-07-04T00:00:00"/>
    <n v="5316"/>
    <n v="1976"/>
    <x v="0"/>
    <s v="Master"/>
    <s v="Together"/>
    <n v="21024"/>
    <n v="0"/>
    <n v="89"/>
    <n v="36"/>
    <n v="4"/>
    <n v="18"/>
    <n v="6"/>
    <n v="2"/>
    <n v="18"/>
    <n v="84"/>
    <n v="1"/>
    <n v="2"/>
    <n v="0"/>
    <n v="4"/>
    <n v="7"/>
    <n v="0"/>
    <n v="0"/>
    <n v="0"/>
    <n v="0"/>
    <n v="0"/>
    <n v="0"/>
    <n v="0"/>
  </r>
  <r>
    <d v="2013-05-15T00:00:00"/>
    <n v="1404"/>
    <n v="1968"/>
    <x v="6"/>
    <s v="Graduation"/>
    <s v="Together"/>
    <n v="34916"/>
    <n v="2"/>
    <n v="89"/>
    <n v="51"/>
    <n v="23"/>
    <n v="82"/>
    <n v="33"/>
    <n v="0"/>
    <n v="42"/>
    <n v="231"/>
    <n v="4"/>
    <n v="5"/>
    <n v="1"/>
    <n v="3"/>
    <n v="9"/>
    <n v="0"/>
    <n v="0"/>
    <n v="0"/>
    <n v="0"/>
    <n v="0"/>
    <n v="0"/>
    <n v="0"/>
  </r>
  <r>
    <d v="2013-04-15T00:00:00"/>
    <n v="10598"/>
    <n v="1967"/>
    <x v="0"/>
    <s v="Graduation"/>
    <s v="Together"/>
    <n v="27943"/>
    <n v="2"/>
    <n v="89"/>
    <n v="12"/>
    <n v="1"/>
    <n v="16"/>
    <n v="4"/>
    <n v="1"/>
    <n v="3"/>
    <n v="37"/>
    <n v="3"/>
    <n v="2"/>
    <n v="0"/>
    <n v="3"/>
    <n v="8"/>
    <n v="0"/>
    <n v="0"/>
    <n v="0"/>
    <n v="0"/>
    <n v="0"/>
    <n v="0"/>
    <n v="0"/>
  </r>
  <r>
    <d v="2013-03-28T00:00:00"/>
    <n v="8212"/>
    <n v="1971"/>
    <x v="0"/>
    <s v="Master"/>
    <s v="Married"/>
    <n v="39791"/>
    <n v="1"/>
    <n v="89"/>
    <n v="85"/>
    <n v="15"/>
    <n v="27"/>
    <n v="13"/>
    <n v="13"/>
    <n v="21"/>
    <n v="174"/>
    <n v="2"/>
    <n v="3"/>
    <n v="1"/>
    <n v="4"/>
    <n v="7"/>
    <n v="0"/>
    <n v="0"/>
    <n v="0"/>
    <n v="0"/>
    <n v="0"/>
    <n v="0"/>
    <n v="0"/>
  </r>
  <r>
    <d v="2013-03-23T00:00:00"/>
    <n v="3233"/>
    <n v="1965"/>
    <x v="6"/>
    <s v="PhD"/>
    <s v="Married"/>
    <n v="62745"/>
    <n v="1"/>
    <n v="89"/>
    <n v="562"/>
    <n v="21"/>
    <n v="464"/>
    <n v="28"/>
    <n v="10"/>
    <n v="32"/>
    <n v="1117"/>
    <n v="3"/>
    <n v="7"/>
    <n v="8"/>
    <n v="11"/>
    <n v="5"/>
    <n v="0"/>
    <n v="0"/>
    <n v="0"/>
    <n v="0"/>
    <n v="0"/>
    <n v="0"/>
    <n v="0"/>
  </r>
  <r>
    <d v="2013-01-02T00:00:00"/>
    <n v="7892"/>
    <n v="1969"/>
    <x v="2"/>
    <s v="Graduation"/>
    <s v="Single"/>
    <n v="18589"/>
    <n v="0"/>
    <n v="89"/>
    <n v="6"/>
    <n v="4"/>
    <n v="25"/>
    <n v="15"/>
    <n v="12"/>
    <n v="13"/>
    <n v="75"/>
    <n v="2"/>
    <n v="2"/>
    <n v="1"/>
    <n v="3"/>
    <n v="7"/>
    <n v="0"/>
    <n v="0"/>
    <n v="0"/>
    <n v="0"/>
    <n v="0"/>
    <n v="0"/>
    <n v="0"/>
  </r>
  <r>
    <d v="2012-11-12T00:00:00"/>
    <n v="2975"/>
    <n v="1976"/>
    <x v="0"/>
    <s v="Graduation"/>
    <s v="Together"/>
    <n v="85606"/>
    <n v="1"/>
    <n v="89"/>
    <n v="717"/>
    <n v="42"/>
    <n v="864"/>
    <n v="219"/>
    <n v="30"/>
    <n v="84"/>
    <n v="1956"/>
    <n v="2"/>
    <n v="6"/>
    <n v="7"/>
    <n v="9"/>
    <n v="3"/>
    <n v="0"/>
    <n v="0"/>
    <n v="0"/>
    <n v="1"/>
    <n v="0"/>
    <n v="0"/>
    <n v="0"/>
  </r>
  <r>
    <d v="2012-11-05T00:00:00"/>
    <n v="5043"/>
    <n v="1951"/>
    <x v="0"/>
    <s v="Basic"/>
    <s v="Married"/>
    <n v="26997"/>
    <n v="0"/>
    <n v="89"/>
    <n v="7"/>
    <n v="23"/>
    <n v="78"/>
    <n v="133"/>
    <n v="49"/>
    <n v="144"/>
    <n v="434"/>
    <n v="2"/>
    <n v="4"/>
    <n v="2"/>
    <n v="5"/>
    <n v="7"/>
    <n v="0"/>
    <n v="0"/>
    <n v="0"/>
    <n v="0"/>
    <n v="0"/>
    <n v="0"/>
    <n v="0"/>
  </r>
  <r>
    <d v="2012-09-17T00:00:00"/>
    <n v="3104"/>
    <n v="1961"/>
    <x v="4"/>
    <s v="Graduation"/>
    <s v="Single"/>
    <n v="82332"/>
    <n v="0"/>
    <n v="89"/>
    <n v="830"/>
    <n v="59"/>
    <n v="968"/>
    <n v="51"/>
    <n v="79"/>
    <n v="19"/>
    <n v="2006"/>
    <n v="1"/>
    <n v="5"/>
    <n v="3"/>
    <n v="12"/>
    <n v="2"/>
    <n v="0"/>
    <n v="0"/>
    <n v="1"/>
    <n v="0"/>
    <n v="0"/>
    <n v="1"/>
    <n v="0"/>
  </r>
  <r>
    <d v="2014-05-23T00:00:00"/>
    <n v="10854"/>
    <n v="1970"/>
    <x v="5"/>
    <s v="PhD"/>
    <s v="Married"/>
    <n v="38853"/>
    <n v="2"/>
    <n v="90"/>
    <n v="29"/>
    <n v="0"/>
    <n v="14"/>
    <n v="0"/>
    <n v="0"/>
    <n v="2"/>
    <n v="45"/>
    <n v="2"/>
    <n v="2"/>
    <n v="0"/>
    <n v="3"/>
    <n v="7"/>
    <n v="0"/>
    <n v="0"/>
    <n v="0"/>
    <n v="0"/>
    <n v="0"/>
    <n v="0"/>
    <n v="0"/>
  </r>
  <r>
    <d v="2014-04-23T00:00:00"/>
    <n v="7419"/>
    <n v="1968"/>
    <x v="0"/>
    <s v="Master"/>
    <s v="Divorced"/>
    <n v="27071"/>
    <n v="1"/>
    <n v="90"/>
    <n v="8"/>
    <n v="3"/>
    <n v="19"/>
    <n v="0"/>
    <n v="2"/>
    <n v="3"/>
    <n v="35"/>
    <n v="2"/>
    <n v="2"/>
    <n v="0"/>
    <n v="3"/>
    <n v="6"/>
    <n v="0"/>
    <n v="0"/>
    <n v="0"/>
    <n v="0"/>
    <n v="0"/>
    <n v="0"/>
    <n v="0"/>
  </r>
  <r>
    <d v="2014-03-31T00:00:00"/>
    <n v="5558"/>
    <n v="1954"/>
    <x v="0"/>
    <s v="PhD"/>
    <s v="Single"/>
    <n v="90933"/>
    <n v="0"/>
    <n v="90"/>
    <n v="1020"/>
    <n v="31"/>
    <n v="430"/>
    <n v="62"/>
    <n v="63"/>
    <n v="79"/>
    <n v="1685"/>
    <n v="1"/>
    <n v="4"/>
    <n v="6"/>
    <n v="4"/>
    <n v="1"/>
    <n v="0"/>
    <n v="0"/>
    <n v="1"/>
    <n v="0"/>
    <n v="0"/>
    <n v="0"/>
    <n v="0"/>
  </r>
  <r>
    <d v="2014-03-02T00:00:00"/>
    <n v="832"/>
    <n v="1966"/>
    <x v="0"/>
    <s v="PhD"/>
    <s v="Together"/>
    <n v="65814"/>
    <n v="1"/>
    <n v="90"/>
    <n v="561"/>
    <n v="14"/>
    <n v="113"/>
    <n v="10"/>
    <n v="14"/>
    <n v="35"/>
    <n v="747"/>
    <n v="3"/>
    <n v="8"/>
    <n v="2"/>
    <n v="10"/>
    <n v="5"/>
    <n v="0"/>
    <n v="0"/>
    <n v="0"/>
    <n v="0"/>
    <n v="0"/>
    <n v="0"/>
    <n v="0"/>
  </r>
  <r>
    <d v="2014-01-26T00:00:00"/>
    <n v="4964"/>
    <n v="1958"/>
    <x v="1"/>
    <s v="PhD"/>
    <s v="Together"/>
    <n v="74250"/>
    <n v="0"/>
    <n v="90"/>
    <n v="680"/>
    <n v="11"/>
    <n v="392"/>
    <n v="75"/>
    <n v="0"/>
    <n v="0"/>
    <n v="1158"/>
    <n v="1"/>
    <n v="2"/>
    <n v="11"/>
    <n v="4"/>
    <n v="1"/>
    <n v="0"/>
    <n v="0"/>
    <n v="0"/>
    <n v="0"/>
    <n v="0"/>
    <n v="0"/>
    <n v="0"/>
  </r>
  <r>
    <d v="2014-01-03T00:00:00"/>
    <n v="11030"/>
    <n v="1976"/>
    <x v="0"/>
    <s v="Master"/>
    <s v="Married"/>
    <n v="33181"/>
    <n v="1"/>
    <n v="90"/>
    <n v="9"/>
    <n v="0"/>
    <n v="3"/>
    <n v="0"/>
    <n v="0"/>
    <n v="4"/>
    <n v="16"/>
    <n v="1"/>
    <n v="1"/>
    <n v="0"/>
    <n v="2"/>
    <n v="6"/>
    <n v="1"/>
    <n v="0"/>
    <n v="0"/>
    <n v="0"/>
    <n v="0"/>
    <n v="0"/>
    <n v="0"/>
  </r>
  <r>
    <d v="2013-07-18T00:00:00"/>
    <n v="4587"/>
    <n v="1944"/>
    <x v="0"/>
    <s v="Master"/>
    <s v="Widow"/>
    <n v="45006"/>
    <n v="0"/>
    <n v="90"/>
    <n v="162"/>
    <n v="25"/>
    <n v="53"/>
    <n v="16"/>
    <n v="0"/>
    <n v="10"/>
    <n v="266"/>
    <n v="1"/>
    <n v="3"/>
    <n v="1"/>
    <n v="7"/>
    <n v="3"/>
    <n v="0"/>
    <n v="0"/>
    <n v="0"/>
    <n v="0"/>
    <n v="0"/>
    <n v="0"/>
    <n v="0"/>
  </r>
  <r>
    <d v="2013-07-12T00:00:00"/>
    <n v="450"/>
    <n v="1958"/>
    <x v="2"/>
    <s v="Master"/>
    <s v="Together"/>
    <n v="42315"/>
    <n v="1"/>
    <n v="90"/>
    <n v="67"/>
    <n v="15"/>
    <n v="80"/>
    <n v="17"/>
    <n v="11"/>
    <n v="80"/>
    <n v="270"/>
    <n v="3"/>
    <n v="1"/>
    <n v="4"/>
    <n v="4"/>
    <n v="3"/>
    <n v="0"/>
    <n v="0"/>
    <n v="0"/>
    <n v="0"/>
    <n v="0"/>
    <n v="0"/>
    <n v="0"/>
  </r>
  <r>
    <d v="2013-05-21T00:00:00"/>
    <n v="11031"/>
    <n v="1950"/>
    <x v="3"/>
    <s v="PhD"/>
    <s v="Married"/>
    <n v="48699"/>
    <n v="2"/>
    <n v="90"/>
    <n v="26"/>
    <n v="1"/>
    <n v="10"/>
    <n v="2"/>
    <n v="0"/>
    <n v="1"/>
    <n v="40"/>
    <n v="1"/>
    <n v="1"/>
    <n v="0"/>
    <n v="3"/>
    <n v="5"/>
    <n v="0"/>
    <n v="0"/>
    <n v="0"/>
    <n v="0"/>
    <n v="0"/>
    <n v="0"/>
    <n v="0"/>
  </r>
  <r>
    <d v="2013-05-02T00:00:00"/>
    <n v="4990"/>
    <n v="1954"/>
    <x v="3"/>
    <s v="Graduation"/>
    <s v="Married"/>
    <n v="59111"/>
    <n v="0"/>
    <n v="90"/>
    <n v="524"/>
    <n v="0"/>
    <n v="134"/>
    <n v="28"/>
    <n v="28"/>
    <n v="155"/>
    <n v="869"/>
    <n v="1"/>
    <n v="11"/>
    <n v="1"/>
    <n v="8"/>
    <n v="7"/>
    <n v="0"/>
    <n v="0"/>
    <n v="0"/>
    <n v="0"/>
    <n v="0"/>
    <n v="0"/>
    <n v="0"/>
  </r>
  <r>
    <d v="2013-04-27T00:00:00"/>
    <n v="221"/>
    <n v="1955"/>
    <x v="4"/>
    <s v="Graduation"/>
    <s v="Married"/>
    <n v="48726"/>
    <n v="1"/>
    <n v="90"/>
    <n v="138"/>
    <n v="3"/>
    <n v="38"/>
    <n v="4"/>
    <n v="0"/>
    <n v="59"/>
    <n v="242"/>
    <n v="3"/>
    <n v="3"/>
    <n v="2"/>
    <n v="4"/>
    <n v="6"/>
    <n v="0"/>
    <n v="0"/>
    <n v="0"/>
    <n v="0"/>
    <n v="0"/>
    <n v="0"/>
    <n v="0"/>
  </r>
  <r>
    <d v="2013-04-27T00:00:00"/>
    <n v="4351"/>
    <n v="1955"/>
    <x v="0"/>
    <s v="Graduation"/>
    <s v="Divorced"/>
    <n v="37244"/>
    <n v="2"/>
    <n v="90"/>
    <n v="18"/>
    <n v="2"/>
    <n v="10"/>
    <n v="0"/>
    <n v="0"/>
    <n v="25"/>
    <n v="55"/>
    <n v="1"/>
    <n v="1"/>
    <n v="1"/>
    <n v="2"/>
    <n v="7"/>
    <n v="1"/>
    <n v="0"/>
    <n v="0"/>
    <n v="0"/>
    <n v="0"/>
    <n v="0"/>
    <n v="0"/>
  </r>
  <r>
    <d v="2013-04-08T00:00:00"/>
    <n v="1357"/>
    <n v="1970"/>
    <x v="4"/>
    <s v="Graduation"/>
    <s v="Together"/>
    <n v="74854"/>
    <n v="3"/>
    <n v="90"/>
    <n v="856"/>
    <n v="59"/>
    <n v="487"/>
    <n v="58"/>
    <n v="29"/>
    <n v="73"/>
    <n v="1562"/>
    <n v="7"/>
    <n v="2"/>
    <n v="5"/>
    <n v="5"/>
    <n v="5"/>
    <n v="0"/>
    <n v="0"/>
    <n v="0"/>
    <n v="0"/>
    <n v="0"/>
    <n v="0"/>
    <n v="0"/>
  </r>
  <r>
    <d v="2012-10-11T00:00:00"/>
    <n v="5667"/>
    <n v="1964"/>
    <x v="1"/>
    <s v="PhD"/>
    <s v="Married"/>
    <n v="60896"/>
    <n v="1"/>
    <n v="90"/>
    <n v="1013"/>
    <n v="30"/>
    <n v="399"/>
    <n v="60"/>
    <n v="46"/>
    <n v="153"/>
    <n v="1701"/>
    <n v="3"/>
    <n v="9"/>
    <n v="10"/>
    <n v="4"/>
    <n v="6"/>
    <n v="0"/>
    <n v="0"/>
    <n v="0"/>
    <n v="0"/>
    <n v="0"/>
    <n v="1"/>
    <n v="0"/>
  </r>
  <r>
    <d v="2012-08-31T00:00:00"/>
    <n v="8867"/>
    <n v="1988"/>
    <x v="6"/>
    <s v="PhD"/>
    <s v="Married"/>
    <n v="67546"/>
    <n v="0"/>
    <n v="90"/>
    <n v="864"/>
    <n v="134"/>
    <n v="768"/>
    <n v="150"/>
    <n v="38"/>
    <n v="172"/>
    <n v="2126"/>
    <n v="1"/>
    <n v="4"/>
    <n v="10"/>
    <n v="5"/>
    <n v="3"/>
    <n v="0"/>
    <n v="0"/>
    <n v="0"/>
    <n v="0"/>
    <n v="0"/>
    <n v="0"/>
    <n v="0"/>
  </r>
  <r>
    <d v="2012-08-31T00:00:00"/>
    <n v="2747"/>
    <n v="1988"/>
    <x v="0"/>
    <s v="PhD"/>
    <s v="Married"/>
    <n v="67546"/>
    <n v="0"/>
    <n v="90"/>
    <n v="864"/>
    <n v="134"/>
    <n v="768"/>
    <n v="150"/>
    <n v="38"/>
    <n v="172"/>
    <n v="2126"/>
    <n v="1"/>
    <n v="4"/>
    <n v="10"/>
    <n v="5"/>
    <n v="3"/>
    <n v="0"/>
    <n v="0"/>
    <n v="0"/>
    <n v="0"/>
    <n v="0"/>
    <n v="0"/>
    <n v="0"/>
  </r>
  <r>
    <d v="2012-08-22T00:00:00"/>
    <n v="7422"/>
    <n v="1987"/>
    <x v="0"/>
    <s v="Graduation"/>
    <s v="Single"/>
    <n v="46923"/>
    <n v="1"/>
    <n v="90"/>
    <n v="85"/>
    <n v="44"/>
    <n v="54"/>
    <n v="102"/>
    <n v="78"/>
    <n v="6"/>
    <n v="369"/>
    <n v="3"/>
    <n v="5"/>
    <n v="1"/>
    <n v="7"/>
    <n v="7"/>
    <n v="0"/>
    <n v="0"/>
    <n v="0"/>
    <n v="0"/>
    <n v="0"/>
    <n v="0"/>
    <n v="0"/>
  </r>
  <r>
    <d v="2012-08-20T00:00:00"/>
    <n v="4148"/>
    <n v="1972"/>
    <x v="0"/>
    <s v="Graduation"/>
    <s v="Married"/>
    <n v="38988"/>
    <n v="3"/>
    <n v="90"/>
    <n v="164"/>
    <n v="24"/>
    <n v="103"/>
    <n v="12"/>
    <n v="3"/>
    <n v="42"/>
    <n v="348"/>
    <n v="7"/>
    <n v="5"/>
    <n v="1"/>
    <n v="6"/>
    <n v="8"/>
    <n v="0"/>
    <n v="0"/>
    <n v="0"/>
    <n v="0"/>
    <n v="0"/>
    <n v="0"/>
    <n v="0"/>
  </r>
  <r>
    <d v="2012-08-18T00:00:00"/>
    <n v="9516"/>
    <n v="1971"/>
    <x v="0"/>
    <s v="2n Cycle"/>
    <s v="Divorced"/>
    <n v="49118"/>
    <n v="0"/>
    <n v="90"/>
    <n v="620"/>
    <n v="54"/>
    <n v="239"/>
    <n v="99"/>
    <n v="98"/>
    <n v="119"/>
    <n v="1229"/>
    <n v="2"/>
    <n v="9"/>
    <n v="7"/>
    <n v="10"/>
    <n v="7"/>
    <n v="0"/>
    <n v="1"/>
    <n v="0"/>
    <n v="0"/>
    <n v="1"/>
    <n v="1"/>
    <n v="0"/>
  </r>
  <r>
    <d v="2012-08-04T00:00:00"/>
    <n v="1291"/>
    <n v="1978"/>
    <x v="0"/>
    <s v="PhD"/>
    <s v="Together"/>
    <n v="27683"/>
    <n v="1"/>
    <n v="90"/>
    <n v="152"/>
    <n v="9"/>
    <n v="121"/>
    <n v="12"/>
    <n v="12"/>
    <n v="45"/>
    <n v="351"/>
    <n v="4"/>
    <n v="6"/>
    <n v="2"/>
    <n v="4"/>
    <n v="8"/>
    <n v="0"/>
    <n v="0"/>
    <n v="0"/>
    <n v="0"/>
    <n v="0"/>
    <n v="0"/>
    <n v="0"/>
  </r>
  <r>
    <d v="2014-04-26T00:00:00"/>
    <n v="1833"/>
    <n v="1974"/>
    <x v="0"/>
    <s v="PhD"/>
    <s v="Single"/>
    <n v="39190"/>
    <n v="1"/>
    <n v="91"/>
    <n v="68"/>
    <n v="8"/>
    <n v="18"/>
    <n v="19"/>
    <n v="8"/>
    <n v="12"/>
    <n v="133"/>
    <n v="2"/>
    <n v="2"/>
    <n v="1"/>
    <n v="4"/>
    <n v="5"/>
    <n v="0"/>
    <n v="0"/>
    <n v="0"/>
    <n v="0"/>
    <n v="0"/>
    <n v="0"/>
    <n v="0"/>
  </r>
  <r>
    <d v="2014-01-25T00:00:00"/>
    <n v="7270"/>
    <n v="1981"/>
    <x v="6"/>
    <s v="Graduation"/>
    <s v="Divorced"/>
    <n v="56981"/>
    <n v="0"/>
    <n v="91"/>
    <n v="908"/>
    <n v="48"/>
    <n v="217"/>
    <n v="32"/>
    <n v="12"/>
    <n v="24"/>
    <n v="1241"/>
    <n v="1"/>
    <n v="2"/>
    <n v="3"/>
    <n v="13"/>
    <n v="6"/>
    <n v="0"/>
    <n v="1"/>
    <n v="0"/>
    <n v="0"/>
    <n v="0"/>
    <n v="0"/>
    <n v="0"/>
  </r>
  <r>
    <d v="2014-01-05T00:00:00"/>
    <n v="8182"/>
    <n v="1984"/>
    <x v="1"/>
    <s v="Graduation"/>
    <s v="Married"/>
    <n v="23228"/>
    <n v="1"/>
    <n v="91"/>
    <n v="53"/>
    <n v="3"/>
    <n v="49"/>
    <n v="7"/>
    <n v="4"/>
    <n v="5"/>
    <n v="121"/>
    <n v="4"/>
    <n v="3"/>
    <n v="0"/>
    <n v="4"/>
    <n v="8"/>
    <n v="0"/>
    <n v="0"/>
    <n v="0"/>
    <n v="0"/>
    <n v="0"/>
    <n v="0"/>
    <n v="0"/>
  </r>
  <r>
    <d v="2013-12-23T00:00:00"/>
    <n v="10394"/>
    <n v="1984"/>
    <x v="1"/>
    <s v="Graduation"/>
    <s v="Married"/>
    <n v="90000"/>
    <n v="0"/>
    <n v="91"/>
    <n v="675"/>
    <n v="144"/>
    <n v="133"/>
    <n v="94"/>
    <n v="192"/>
    <n v="241"/>
    <n v="1479"/>
    <n v="1"/>
    <n v="4"/>
    <n v="8"/>
    <n v="5"/>
    <n v="1"/>
    <n v="1"/>
    <n v="0"/>
    <n v="1"/>
    <n v="1"/>
    <n v="0"/>
    <n v="0"/>
    <n v="0"/>
  </r>
  <r>
    <d v="2013-12-22T00:00:00"/>
    <n v="1142"/>
    <n v="1953"/>
    <x v="0"/>
    <s v="PhD"/>
    <s v="Married"/>
    <n v="55707"/>
    <n v="1"/>
    <n v="91"/>
    <n v="208"/>
    <n v="7"/>
    <n v="82"/>
    <n v="30"/>
    <n v="66"/>
    <n v="35"/>
    <n v="428"/>
    <n v="2"/>
    <n v="3"/>
    <n v="2"/>
    <n v="9"/>
    <n v="3"/>
    <n v="0"/>
    <n v="0"/>
    <n v="0"/>
    <n v="0"/>
    <n v="0"/>
    <n v="0"/>
    <n v="0"/>
  </r>
  <r>
    <d v="2013-12-20T00:00:00"/>
    <n v="451"/>
    <n v="1989"/>
    <x v="5"/>
    <s v="Graduation"/>
    <s v="Single"/>
    <n v="9255"/>
    <n v="1"/>
    <n v="91"/>
    <n v="9"/>
    <n v="0"/>
    <n v="7"/>
    <n v="2"/>
    <n v="0"/>
    <n v="4"/>
    <n v="22"/>
    <n v="1"/>
    <n v="1"/>
    <n v="1"/>
    <n v="2"/>
    <n v="8"/>
    <n v="0"/>
    <n v="0"/>
    <n v="0"/>
    <n v="0"/>
    <n v="0"/>
    <n v="0"/>
    <n v="0"/>
  </r>
  <r>
    <d v="2013-12-07T00:00:00"/>
    <n v="7128"/>
    <n v="1977"/>
    <x v="0"/>
    <s v="PhD"/>
    <s v="Single"/>
    <n v="42997"/>
    <n v="2"/>
    <n v="91"/>
    <n v="4"/>
    <n v="0"/>
    <n v="5"/>
    <n v="0"/>
    <n v="1"/>
    <n v="5"/>
    <n v="15"/>
    <n v="1"/>
    <n v="1"/>
    <n v="0"/>
    <n v="2"/>
    <n v="7"/>
    <n v="0"/>
    <n v="0"/>
    <n v="0"/>
    <n v="0"/>
    <n v="0"/>
    <n v="0"/>
    <n v="0"/>
  </r>
  <r>
    <d v="2013-11-28T00:00:00"/>
    <n v="10678"/>
    <n v="1959"/>
    <x v="0"/>
    <s v="Graduation"/>
    <s v="Together"/>
    <n v="71232"/>
    <n v="1"/>
    <n v="91"/>
    <n v="653"/>
    <n v="17"/>
    <n v="170"/>
    <n v="34"/>
    <n v="26"/>
    <n v="17"/>
    <n v="917"/>
    <n v="2"/>
    <n v="11"/>
    <n v="2"/>
    <n v="10"/>
    <n v="7"/>
    <n v="0"/>
    <n v="0"/>
    <n v="0"/>
    <n v="0"/>
    <n v="0"/>
    <n v="0"/>
    <n v="0"/>
  </r>
  <r>
    <d v="2013-11-12T00:00:00"/>
    <n v="7755"/>
    <n v="1954"/>
    <x v="0"/>
    <s v="PhD"/>
    <s v="Married"/>
    <n v="57744"/>
    <n v="1"/>
    <n v="91"/>
    <n v="350"/>
    <n v="3"/>
    <n v="39"/>
    <n v="0"/>
    <n v="0"/>
    <n v="19"/>
    <n v="411"/>
    <n v="2"/>
    <n v="9"/>
    <n v="1"/>
    <n v="4"/>
    <n v="8"/>
    <n v="0"/>
    <n v="0"/>
    <n v="0"/>
    <n v="0"/>
    <n v="0"/>
    <n v="0"/>
    <n v="0"/>
  </r>
  <r>
    <d v="2013-09-25T00:00:00"/>
    <n v="4754"/>
    <n v="1966"/>
    <x v="0"/>
    <s v="Master"/>
    <s v="Married"/>
    <n v="33585"/>
    <n v="1"/>
    <n v="91"/>
    <n v="30"/>
    <n v="11"/>
    <n v="33"/>
    <n v="13"/>
    <n v="6"/>
    <n v="29"/>
    <n v="122"/>
    <n v="1"/>
    <n v="2"/>
    <n v="0"/>
    <n v="4"/>
    <n v="4"/>
    <n v="0"/>
    <n v="0"/>
    <n v="0"/>
    <n v="0"/>
    <n v="0"/>
    <n v="0"/>
    <n v="0"/>
  </r>
  <r>
    <d v="2013-09-01T00:00:00"/>
    <n v="20"/>
    <n v="1965"/>
    <x v="4"/>
    <s v="2n Cycle"/>
    <s v="Married"/>
    <n v="46891"/>
    <n v="1"/>
    <n v="91"/>
    <n v="43"/>
    <n v="12"/>
    <n v="23"/>
    <n v="29"/>
    <n v="15"/>
    <n v="61"/>
    <n v="183"/>
    <n v="1"/>
    <n v="2"/>
    <n v="1"/>
    <n v="4"/>
    <n v="4"/>
    <n v="0"/>
    <n v="0"/>
    <n v="0"/>
    <n v="0"/>
    <n v="0"/>
    <n v="0"/>
    <n v="0"/>
  </r>
  <r>
    <d v="2013-09-01T00:00:00"/>
    <n v="2246"/>
    <n v="1965"/>
    <x v="0"/>
    <s v="2n Cycle"/>
    <s v="Married"/>
    <n v="46891"/>
    <n v="1"/>
    <n v="91"/>
    <n v="43"/>
    <n v="12"/>
    <n v="23"/>
    <n v="29"/>
    <n v="15"/>
    <n v="61"/>
    <n v="183"/>
    <n v="1"/>
    <n v="2"/>
    <n v="1"/>
    <n v="4"/>
    <n v="4"/>
    <n v="0"/>
    <n v="0"/>
    <n v="0"/>
    <n v="0"/>
    <n v="0"/>
    <n v="0"/>
    <n v="0"/>
  </r>
  <r>
    <d v="2013-08-31T00:00:00"/>
    <n v="10307"/>
    <n v="1956"/>
    <x v="0"/>
    <s v="Graduation"/>
    <s v="Married"/>
    <n v="50387"/>
    <n v="2"/>
    <n v="91"/>
    <n v="369"/>
    <n v="9"/>
    <n v="87"/>
    <n v="12"/>
    <n v="14"/>
    <n v="34"/>
    <n v="525"/>
    <n v="3"/>
    <n v="6"/>
    <n v="2"/>
    <n v="8"/>
    <n v="5"/>
    <n v="0"/>
    <n v="0"/>
    <n v="0"/>
    <n v="0"/>
    <n v="0"/>
    <n v="0"/>
    <n v="0"/>
  </r>
  <r>
    <d v="2013-08-16T00:00:00"/>
    <n v="2147"/>
    <n v="1969"/>
    <x v="0"/>
    <s v="Graduation"/>
    <s v="Together"/>
    <n v="76653"/>
    <n v="0"/>
    <n v="91"/>
    <n v="736"/>
    <n v="63"/>
    <n v="946"/>
    <n v="219"/>
    <n v="189"/>
    <n v="126"/>
    <n v="2279"/>
    <n v="1"/>
    <n v="4"/>
    <n v="7"/>
    <n v="11"/>
    <n v="2"/>
    <n v="0"/>
    <n v="0"/>
    <n v="1"/>
    <n v="1"/>
    <n v="0"/>
    <n v="0"/>
    <n v="0"/>
  </r>
  <r>
    <d v="2013-03-30T00:00:00"/>
    <n v="10590"/>
    <n v="1956"/>
    <x v="0"/>
    <s v="PhD"/>
    <s v="Together"/>
    <n v="76542"/>
    <n v="0"/>
    <n v="91"/>
    <n v="794"/>
    <n v="73"/>
    <n v="573"/>
    <n v="0"/>
    <n v="29"/>
    <n v="14"/>
    <n v="1483"/>
    <n v="1"/>
    <n v="4"/>
    <n v="8"/>
    <n v="10"/>
    <n v="2"/>
    <n v="0"/>
    <n v="0"/>
    <n v="0"/>
    <n v="0"/>
    <n v="0"/>
    <n v="0"/>
    <n v="0"/>
  </r>
  <r>
    <d v="2013-03-28T00:00:00"/>
    <n v="6565"/>
    <n v="1949"/>
    <x v="2"/>
    <s v="Master"/>
    <s v="Married"/>
    <n v="76995"/>
    <n v="1"/>
    <n v="91"/>
    <n v="1012"/>
    <n v="80"/>
    <n v="498"/>
    <n v="0"/>
    <n v="16"/>
    <n v="176"/>
    <n v="1782"/>
    <n v="2"/>
    <n v="11"/>
    <n v="4"/>
    <n v="9"/>
    <n v="5"/>
    <n v="0"/>
    <n v="0"/>
    <n v="0"/>
    <n v="1"/>
    <n v="0"/>
    <n v="0"/>
    <n v="0"/>
  </r>
  <r>
    <d v="2013-01-02T00:00:00"/>
    <n v="6619"/>
    <n v="1978"/>
    <x v="0"/>
    <s v="Graduation"/>
    <s v="Married"/>
    <n v="38415"/>
    <n v="2"/>
    <n v="91"/>
    <n v="22"/>
    <n v="1"/>
    <n v="13"/>
    <n v="4"/>
    <n v="0"/>
    <n v="4"/>
    <n v="44"/>
    <n v="2"/>
    <n v="1"/>
    <n v="0"/>
    <n v="3"/>
    <n v="7"/>
    <n v="0"/>
    <n v="0"/>
    <n v="0"/>
    <n v="0"/>
    <n v="0"/>
    <n v="0"/>
    <n v="0"/>
  </r>
  <r>
    <d v="2012-08-04T00:00:00"/>
    <n v="4817"/>
    <n v="1956"/>
    <x v="0"/>
    <s v="Graduation"/>
    <s v="Divorced"/>
    <n v="22304"/>
    <n v="0"/>
    <n v="91"/>
    <n v="3"/>
    <n v="2"/>
    <n v="7"/>
    <n v="0"/>
    <n v="4"/>
    <n v="2"/>
    <n v="18"/>
    <n v="1"/>
    <n v="1"/>
    <n v="0"/>
    <n v="2"/>
    <n v="8"/>
    <n v="0"/>
    <n v="0"/>
    <n v="0"/>
    <n v="0"/>
    <n v="0"/>
    <n v="0"/>
    <n v="0"/>
  </r>
  <r>
    <d v="2014-05-22T00:00:00"/>
    <n v="4508"/>
    <n v="1952"/>
    <x v="4"/>
    <s v="Graduation"/>
    <s v="Single"/>
    <n v="75127"/>
    <n v="0"/>
    <n v="92"/>
    <n v="203"/>
    <n v="35"/>
    <n v="305"/>
    <n v="46"/>
    <n v="17"/>
    <n v="227"/>
    <n v="833"/>
    <n v="1"/>
    <n v="2"/>
    <n v="11"/>
    <n v="5"/>
    <n v="1"/>
    <n v="0"/>
    <n v="0"/>
    <n v="0"/>
    <n v="0"/>
    <n v="0"/>
    <n v="0"/>
    <n v="0"/>
  </r>
  <r>
    <d v="2014-05-22T00:00:00"/>
    <n v="4843"/>
    <n v="1952"/>
    <x v="6"/>
    <s v="Graduation"/>
    <s v="Single"/>
    <n v="75127"/>
    <n v="0"/>
    <n v="92"/>
    <n v="203"/>
    <n v="35"/>
    <n v="305"/>
    <n v="46"/>
    <n v="17"/>
    <n v="227"/>
    <n v="833"/>
    <n v="1"/>
    <n v="2"/>
    <n v="11"/>
    <n v="5"/>
    <n v="1"/>
    <n v="0"/>
    <n v="0"/>
    <n v="0"/>
    <n v="0"/>
    <n v="0"/>
    <n v="0"/>
    <n v="0"/>
  </r>
  <r>
    <d v="2014-02-24T00:00:00"/>
    <n v="9197"/>
    <n v="1953"/>
    <x v="0"/>
    <s v="Graduation"/>
    <s v="Married"/>
    <n v="39722"/>
    <n v="1"/>
    <n v="92"/>
    <n v="32"/>
    <n v="0"/>
    <n v="5"/>
    <n v="2"/>
    <n v="0"/>
    <n v="8"/>
    <n v="47"/>
    <n v="2"/>
    <n v="2"/>
    <n v="0"/>
    <n v="3"/>
    <n v="5"/>
    <n v="0"/>
    <n v="0"/>
    <n v="0"/>
    <n v="0"/>
    <n v="0"/>
    <n v="0"/>
    <n v="0"/>
  </r>
  <r>
    <d v="2013-12-07T00:00:00"/>
    <n v="6237"/>
    <n v="1966"/>
    <x v="0"/>
    <s v="PhD"/>
    <s v="Single"/>
    <n v="7144"/>
    <n v="2"/>
    <n v="92"/>
    <n v="81"/>
    <n v="4"/>
    <n v="33"/>
    <n v="5"/>
    <n v="2"/>
    <n v="291"/>
    <n v="416"/>
    <n v="0"/>
    <n v="23"/>
    <n v="1"/>
    <n v="1"/>
    <n v="0"/>
    <n v="0"/>
    <n v="0"/>
    <n v="0"/>
    <n v="0"/>
    <n v="0"/>
    <n v="0"/>
    <n v="0"/>
  </r>
  <r>
    <d v="2013-12-06T00:00:00"/>
    <n v="6515"/>
    <n v="1977"/>
    <x v="6"/>
    <s v="Graduation"/>
    <s v="Together"/>
    <n v="39771"/>
    <n v="1"/>
    <n v="92"/>
    <n v="6"/>
    <n v="2"/>
    <n v="18"/>
    <n v="2"/>
    <n v="8"/>
    <n v="14"/>
    <n v="50"/>
    <n v="1"/>
    <n v="2"/>
    <n v="0"/>
    <n v="3"/>
    <n v="4"/>
    <n v="0"/>
    <n v="0"/>
    <n v="0"/>
    <n v="0"/>
    <n v="0"/>
    <n v="0"/>
    <n v="0"/>
  </r>
  <r>
    <d v="2013-10-09T00:00:00"/>
    <n v="5954"/>
    <n v="1972"/>
    <x v="0"/>
    <s v="Master"/>
    <s v="Divorced"/>
    <n v="42618"/>
    <n v="1"/>
    <n v="92"/>
    <n v="76"/>
    <n v="14"/>
    <n v="74"/>
    <n v="13"/>
    <n v="5"/>
    <n v="10"/>
    <n v="192"/>
    <n v="2"/>
    <n v="5"/>
    <n v="0"/>
    <n v="4"/>
    <n v="8"/>
    <n v="0"/>
    <n v="0"/>
    <n v="0"/>
    <n v="0"/>
    <n v="0"/>
    <n v="0"/>
    <n v="0"/>
  </r>
  <r>
    <d v="2013-10-03T00:00:00"/>
    <n v="7938"/>
    <n v="1958"/>
    <x v="4"/>
    <s v="PhD"/>
    <s v="Together"/>
    <n v="51518"/>
    <n v="1"/>
    <n v="92"/>
    <n v="350"/>
    <n v="8"/>
    <n v="66"/>
    <n v="17"/>
    <n v="4"/>
    <n v="4"/>
    <n v="449"/>
    <n v="2"/>
    <n v="3"/>
    <n v="2"/>
    <n v="10"/>
    <n v="3"/>
    <n v="0"/>
    <n v="0"/>
    <n v="0"/>
    <n v="0"/>
    <n v="0"/>
    <n v="0"/>
    <n v="0"/>
  </r>
  <r>
    <d v="2013-09-12T00:00:00"/>
    <n v="961"/>
    <n v="1972"/>
    <x v="0"/>
    <s v="Graduation"/>
    <s v="Married"/>
    <n v="74716"/>
    <n v="1"/>
    <n v="92"/>
    <n v="133"/>
    <n v="27"/>
    <n v="421"/>
    <n v="13"/>
    <n v="195"/>
    <n v="71"/>
    <n v="860"/>
    <n v="2"/>
    <n v="7"/>
    <n v="3"/>
    <n v="5"/>
    <n v="4"/>
    <n v="0"/>
    <n v="0"/>
    <n v="0"/>
    <n v="0"/>
    <n v="0"/>
    <n v="0"/>
    <n v="0"/>
  </r>
  <r>
    <d v="2013-08-09T00:00:00"/>
    <n v="1764"/>
    <n v="1975"/>
    <x v="6"/>
    <s v="Graduation"/>
    <s v="Single"/>
    <n v="33955"/>
    <n v="1"/>
    <n v="92"/>
    <n v="100"/>
    <n v="2"/>
    <n v="128"/>
    <n v="23"/>
    <n v="7"/>
    <n v="10"/>
    <n v="270"/>
    <n v="4"/>
    <n v="5"/>
    <n v="1"/>
    <n v="5"/>
    <n v="8"/>
    <n v="0"/>
    <n v="0"/>
    <n v="0"/>
    <n v="0"/>
    <n v="0"/>
    <n v="0"/>
    <n v="0"/>
  </r>
  <r>
    <d v="2013-07-24T00:00:00"/>
    <n v="1916"/>
    <n v="1954"/>
    <x v="4"/>
    <s v="Master"/>
    <s v="Married"/>
    <n v="45736"/>
    <n v="1"/>
    <n v="92"/>
    <n v="188"/>
    <n v="3"/>
    <n v="180"/>
    <n v="20"/>
    <n v="3"/>
    <n v="43"/>
    <n v="437"/>
    <n v="5"/>
    <n v="7"/>
    <n v="1"/>
    <n v="6"/>
    <n v="7"/>
    <n v="0"/>
    <n v="0"/>
    <n v="0"/>
    <n v="0"/>
    <n v="0"/>
    <n v="0"/>
    <n v="0"/>
  </r>
  <r>
    <d v="2013-07-14T00:00:00"/>
    <n v="6941"/>
    <n v="1971"/>
    <x v="0"/>
    <s v="Graduation"/>
    <s v="Single"/>
    <n v="31632"/>
    <n v="0"/>
    <n v="92"/>
    <n v="17"/>
    <n v="8"/>
    <n v="12"/>
    <n v="11"/>
    <n v="15"/>
    <n v="32"/>
    <n v="95"/>
    <n v="1"/>
    <n v="2"/>
    <n v="1"/>
    <n v="2"/>
    <n v="7"/>
    <n v="0"/>
    <n v="0"/>
    <n v="0"/>
    <n v="0"/>
    <n v="0"/>
    <n v="0"/>
    <n v="0"/>
  </r>
  <r>
    <d v="2013-06-26T00:00:00"/>
    <n v="5562"/>
    <n v="1974"/>
    <x v="0"/>
    <s v="Graduation"/>
    <s v="Married"/>
    <n v="60093"/>
    <n v="1"/>
    <n v="92"/>
    <n v="502"/>
    <n v="12"/>
    <n v="109"/>
    <n v="16"/>
    <n v="6"/>
    <n v="90"/>
    <n v="735"/>
    <n v="2"/>
    <n v="7"/>
    <n v="2"/>
    <n v="10"/>
    <n v="6"/>
    <n v="0"/>
    <n v="0"/>
    <n v="0"/>
    <n v="0"/>
    <n v="0"/>
    <n v="0"/>
    <n v="0"/>
  </r>
  <r>
    <d v="2013-06-14T00:00:00"/>
    <n v="1517"/>
    <n v="1969"/>
    <x v="0"/>
    <s v="Graduation"/>
    <s v="Single"/>
    <n v="30822"/>
    <n v="1"/>
    <n v="92"/>
    <n v="3"/>
    <n v="9"/>
    <n v="13"/>
    <n v="2"/>
    <n v="12"/>
    <n v="12"/>
    <n v="51"/>
    <n v="1"/>
    <n v="1"/>
    <n v="0"/>
    <n v="3"/>
    <n v="7"/>
    <n v="0"/>
    <n v="0"/>
    <n v="0"/>
    <n v="0"/>
    <n v="0"/>
    <n v="0"/>
    <n v="0"/>
  </r>
  <r>
    <d v="2013-05-24T00:00:00"/>
    <n v="7286"/>
    <n v="1968"/>
    <x v="3"/>
    <s v="Graduation"/>
    <s v="Together"/>
    <n v="41728"/>
    <n v="1"/>
    <n v="92"/>
    <n v="13"/>
    <n v="6"/>
    <n v="15"/>
    <n v="3"/>
    <n v="5"/>
    <n v="13"/>
    <n v="55"/>
    <n v="1"/>
    <n v="2"/>
    <n v="0"/>
    <n v="2"/>
    <n v="10"/>
    <n v="0"/>
    <n v="0"/>
    <n v="0"/>
    <n v="0"/>
    <n v="0"/>
    <n v="0"/>
    <n v="0"/>
  </r>
  <r>
    <d v="2013-05-23T00:00:00"/>
    <n v="4687"/>
    <n v="1958"/>
    <x v="0"/>
    <s v="Master"/>
    <s v="Married"/>
    <n v="80739"/>
    <n v="0"/>
    <n v="92"/>
    <n v="674"/>
    <n v="92"/>
    <n v="736"/>
    <n v="39"/>
    <n v="0"/>
    <n v="92"/>
    <n v="1633"/>
    <n v="1"/>
    <n v="3"/>
    <n v="11"/>
    <n v="9"/>
    <n v="1"/>
    <n v="0"/>
    <n v="0"/>
    <n v="0"/>
    <n v="0"/>
    <n v="0"/>
    <n v="0"/>
    <n v="0"/>
  </r>
  <r>
    <d v="2013-05-02T00:00:00"/>
    <n v="5631"/>
    <n v="1991"/>
    <x v="2"/>
    <s v="Graduation"/>
    <s v="Single"/>
    <n v="49767"/>
    <n v="0"/>
    <n v="92"/>
    <n v="202"/>
    <n v="47"/>
    <n v="197"/>
    <n v="55"/>
    <n v="42"/>
    <n v="149"/>
    <n v="692"/>
    <n v="1"/>
    <n v="5"/>
    <n v="4"/>
    <n v="8"/>
    <n v="4"/>
    <n v="0"/>
    <n v="0"/>
    <n v="0"/>
    <n v="0"/>
    <n v="0"/>
    <n v="0"/>
    <n v="0"/>
  </r>
  <r>
    <d v="2013-01-27T00:00:00"/>
    <n v="1951"/>
    <n v="1981"/>
    <x v="0"/>
    <s v="Basic"/>
    <s v="Married"/>
    <n v="34445"/>
    <n v="0"/>
    <n v="92"/>
    <n v="228"/>
    <n v="122"/>
    <n v="122"/>
    <n v="208"/>
    <n v="129"/>
    <n v="30"/>
    <n v="839"/>
    <n v="6"/>
    <n v="11"/>
    <n v="2"/>
    <n v="8"/>
    <n v="9"/>
    <n v="0"/>
    <n v="0"/>
    <n v="0"/>
    <n v="0"/>
    <n v="0"/>
    <n v="0"/>
    <n v="0"/>
  </r>
  <r>
    <d v="2013-01-06T00:00:00"/>
    <n v="123"/>
    <n v="1951"/>
    <x v="3"/>
    <s v="Graduation"/>
    <s v="Widow"/>
    <n v="67046"/>
    <n v="1"/>
    <n v="92"/>
    <n v="544"/>
    <n v="35"/>
    <n v="133"/>
    <n v="23"/>
    <n v="151"/>
    <n v="107"/>
    <n v="993"/>
    <n v="2"/>
    <n v="4"/>
    <n v="5"/>
    <n v="4"/>
    <n v="2"/>
    <n v="0"/>
    <n v="0"/>
    <n v="0"/>
    <n v="0"/>
    <n v="0"/>
    <n v="0"/>
    <n v="0"/>
  </r>
  <r>
    <d v="2012-11-25T00:00:00"/>
    <n v="9451"/>
    <n v="1965"/>
    <x v="1"/>
    <s v="Graduation"/>
    <s v="Married"/>
    <n v="73538"/>
    <n v="1"/>
    <n v="92"/>
    <n v="811"/>
    <n v="76"/>
    <n v="428"/>
    <n v="99"/>
    <n v="137"/>
    <n v="107"/>
    <n v="1658"/>
    <n v="3"/>
    <n v="10"/>
    <n v="4"/>
    <n v="9"/>
    <n v="7"/>
    <n v="0"/>
    <n v="0"/>
    <n v="0"/>
    <n v="0"/>
    <n v="0"/>
    <n v="0"/>
    <n v="0"/>
  </r>
  <r>
    <d v="2012-11-10T00:00:00"/>
    <n v="7396"/>
    <n v="1966"/>
    <x v="0"/>
    <s v="Graduation"/>
    <s v="Married"/>
    <n v="80398"/>
    <n v="0"/>
    <n v="92"/>
    <n v="342"/>
    <n v="51"/>
    <n v="936"/>
    <n v="207"/>
    <n v="35"/>
    <n v="26"/>
    <n v="1597"/>
    <n v="1"/>
    <n v="5"/>
    <n v="8"/>
    <n v="12"/>
    <n v="3"/>
    <n v="0"/>
    <n v="0"/>
    <n v="1"/>
    <n v="0"/>
    <n v="0"/>
    <n v="0"/>
    <n v="0"/>
  </r>
  <r>
    <d v="2012-11-08T00:00:00"/>
    <n v="3298"/>
    <n v="1956"/>
    <x v="6"/>
    <s v="Master"/>
    <s v="Married"/>
    <n v="52973"/>
    <n v="1"/>
    <n v="92"/>
    <n v="856"/>
    <n v="0"/>
    <n v="76"/>
    <n v="12"/>
    <n v="9"/>
    <n v="199"/>
    <n v="1152"/>
    <n v="7"/>
    <n v="9"/>
    <n v="6"/>
    <n v="9"/>
    <n v="8"/>
    <n v="0"/>
    <n v="0"/>
    <n v="0"/>
    <n v="0"/>
    <n v="0"/>
    <n v="0"/>
    <n v="0"/>
  </r>
  <r>
    <d v="2012-11-03T00:00:00"/>
    <n v="6730"/>
    <n v="1954"/>
    <x v="0"/>
    <s v="Graduation"/>
    <s v="Married"/>
    <n v="38998"/>
    <n v="2"/>
    <n v="92"/>
    <n v="34"/>
    <n v="1"/>
    <n v="14"/>
    <n v="0"/>
    <n v="0"/>
    <n v="5"/>
    <n v="54"/>
    <n v="3"/>
    <n v="2"/>
    <n v="0"/>
    <n v="3"/>
    <n v="8"/>
    <n v="0"/>
    <n v="0"/>
    <n v="0"/>
    <n v="0"/>
    <n v="0"/>
    <n v="0"/>
    <n v="1"/>
  </r>
  <r>
    <d v="2012-11-03T00:00:00"/>
    <n v="9916"/>
    <n v="1954"/>
    <x v="6"/>
    <s v="Graduation"/>
    <s v="Married"/>
    <n v="38998"/>
    <n v="2"/>
    <n v="92"/>
    <n v="34"/>
    <n v="1"/>
    <n v="14"/>
    <n v="0"/>
    <n v="0"/>
    <n v="5"/>
    <n v="54"/>
    <n v="3"/>
    <n v="2"/>
    <n v="0"/>
    <n v="3"/>
    <n v="8"/>
    <n v="0"/>
    <n v="0"/>
    <n v="0"/>
    <n v="0"/>
    <n v="0"/>
    <n v="0"/>
    <n v="1"/>
  </r>
  <r>
    <d v="2012-09-22T00:00:00"/>
    <n v="2227"/>
    <n v="1958"/>
    <x v="6"/>
    <s v="2n Cycle"/>
    <s v="Together"/>
    <n v="26490"/>
    <n v="0"/>
    <n v="92"/>
    <n v="45"/>
    <n v="47"/>
    <n v="52"/>
    <n v="21"/>
    <n v="20"/>
    <n v="25"/>
    <n v="210"/>
    <n v="2"/>
    <n v="3"/>
    <n v="1"/>
    <n v="5"/>
    <n v="6"/>
    <n v="0"/>
    <n v="0"/>
    <n v="0"/>
    <n v="0"/>
    <n v="0"/>
    <n v="0"/>
    <n v="0"/>
  </r>
  <r>
    <d v="2012-09-22T00:00:00"/>
    <n v="946"/>
    <n v="1958"/>
    <x v="0"/>
    <s v="2n Cycle"/>
    <s v="Together"/>
    <n v="26490"/>
    <n v="0"/>
    <n v="92"/>
    <n v="45"/>
    <n v="47"/>
    <n v="52"/>
    <n v="21"/>
    <n v="20"/>
    <n v="25"/>
    <n v="210"/>
    <n v="2"/>
    <n v="3"/>
    <n v="1"/>
    <n v="5"/>
    <n v="6"/>
    <n v="0"/>
    <n v="0"/>
    <n v="0"/>
    <n v="0"/>
    <n v="0"/>
    <n v="0"/>
    <n v="0"/>
  </r>
  <r>
    <d v="2012-09-04T00:00:00"/>
    <n v="3745"/>
    <n v="1988"/>
    <x v="5"/>
    <s v="2n Cycle"/>
    <s v="Married"/>
    <n v="23331"/>
    <n v="1"/>
    <n v="92"/>
    <n v="5"/>
    <n v="36"/>
    <n v="7"/>
    <n v="0"/>
    <n v="10"/>
    <n v="45"/>
    <n v="103"/>
    <n v="2"/>
    <n v="3"/>
    <n v="0"/>
    <n v="3"/>
    <n v="8"/>
    <n v="0"/>
    <n v="0"/>
    <n v="0"/>
    <n v="0"/>
    <n v="0"/>
    <n v="0"/>
    <n v="0"/>
  </r>
  <r>
    <d v="2012-08-25T00:00:00"/>
    <n v="4094"/>
    <n v="1961"/>
    <x v="3"/>
    <s v="Graduation"/>
    <s v="Married"/>
    <n v="60544"/>
    <n v="2"/>
    <n v="92"/>
    <n v="201"/>
    <n v="2"/>
    <n v="43"/>
    <n v="3"/>
    <n v="5"/>
    <n v="35"/>
    <n v="289"/>
    <n v="4"/>
    <n v="5"/>
    <n v="1"/>
    <n v="5"/>
    <n v="6"/>
    <n v="0"/>
    <n v="0"/>
    <n v="0"/>
    <n v="0"/>
    <n v="0"/>
    <n v="0"/>
    <n v="0"/>
  </r>
  <r>
    <d v="2012-08-25T00:00:00"/>
    <n v="8588"/>
    <n v="1961"/>
    <x v="4"/>
    <s v="Graduation"/>
    <s v="Married"/>
    <n v="60544"/>
    <n v="2"/>
    <n v="92"/>
    <n v="201"/>
    <n v="2"/>
    <n v="43"/>
    <n v="3"/>
    <n v="5"/>
    <n v="35"/>
    <n v="289"/>
    <n v="4"/>
    <n v="5"/>
    <n v="1"/>
    <n v="5"/>
    <n v="6"/>
    <n v="0"/>
    <n v="0"/>
    <n v="0"/>
    <n v="0"/>
    <n v="0"/>
    <n v="0"/>
    <n v="0"/>
  </r>
  <r>
    <d v="2012-08-15T00:00:00"/>
    <n v="3916"/>
    <n v="1971"/>
    <x v="0"/>
    <s v="PhD"/>
    <s v="Together"/>
    <n v="49269"/>
    <n v="1"/>
    <n v="92"/>
    <n v="639"/>
    <n v="8"/>
    <n v="166"/>
    <n v="11"/>
    <n v="8"/>
    <n v="58"/>
    <n v="890"/>
    <n v="3"/>
    <n v="7"/>
    <n v="3"/>
    <n v="12"/>
    <n v="7"/>
    <n v="0"/>
    <n v="0"/>
    <n v="0"/>
    <n v="0"/>
    <n v="0"/>
    <n v="0"/>
    <n v="0"/>
  </r>
  <r>
    <d v="2012-08-06T00:00:00"/>
    <n v="9135"/>
    <n v="1950"/>
    <x v="0"/>
    <s v="Graduation"/>
    <s v="Together"/>
    <n v="27203"/>
    <n v="2"/>
    <n v="92"/>
    <n v="13"/>
    <n v="2"/>
    <n v="21"/>
    <n v="4"/>
    <n v="0"/>
    <n v="24"/>
    <n v="64"/>
    <n v="2"/>
    <n v="1"/>
    <n v="1"/>
    <n v="2"/>
    <n v="8"/>
    <n v="0"/>
    <n v="0"/>
    <n v="0"/>
    <n v="0"/>
    <n v="0"/>
    <n v="0"/>
    <n v="0"/>
  </r>
  <r>
    <d v="2014-04-11T00:00:00"/>
    <n v="1755"/>
    <n v="1988"/>
    <x v="6"/>
    <s v="2n Cycle"/>
    <s v="Together"/>
    <n v="45204"/>
    <n v="1"/>
    <n v="93"/>
    <n v="30"/>
    <n v="11"/>
    <n v="25"/>
    <n v="29"/>
    <n v="1"/>
    <n v="18"/>
    <n v="114"/>
    <n v="1"/>
    <n v="1"/>
    <n v="1"/>
    <n v="4"/>
    <n v="3"/>
    <n v="0"/>
    <n v="0"/>
    <n v="0"/>
    <n v="0"/>
    <n v="0"/>
    <n v="0"/>
    <n v="0"/>
  </r>
  <r>
    <d v="2014-03-04T00:00:00"/>
    <n v="2875"/>
    <n v="1978"/>
    <x v="0"/>
    <s v="Graduation"/>
    <s v="Married"/>
    <n v="67023"/>
    <n v="0"/>
    <n v="93"/>
    <n v="444"/>
    <n v="44"/>
    <n v="382"/>
    <n v="11"/>
    <n v="8"/>
    <n v="17"/>
    <n v="906"/>
    <n v="1"/>
    <n v="3"/>
    <n v="7"/>
    <n v="13"/>
    <n v="2"/>
    <n v="0"/>
    <n v="0"/>
    <n v="0"/>
    <n v="0"/>
    <n v="0"/>
    <n v="0"/>
    <n v="1"/>
  </r>
  <r>
    <d v="2014-02-10T00:00:00"/>
    <n v="2008"/>
    <n v="1978"/>
    <x v="6"/>
    <s v="Graduation"/>
    <s v="Married"/>
    <n v="77583"/>
    <n v="0"/>
    <n v="93"/>
    <n v="372"/>
    <n v="23"/>
    <n v="384"/>
    <n v="250"/>
    <n v="12"/>
    <n v="108"/>
    <n v="1149"/>
    <n v="1"/>
    <n v="4"/>
    <n v="5"/>
    <n v="9"/>
    <n v="2"/>
    <n v="0"/>
    <n v="0"/>
    <n v="0"/>
    <n v="1"/>
    <n v="0"/>
    <n v="0"/>
    <n v="0"/>
  </r>
  <r>
    <d v="2014-01-14T00:00:00"/>
    <n v="10925"/>
    <n v="1983"/>
    <x v="6"/>
    <s v="Graduation"/>
    <s v="Married"/>
    <n v="76630"/>
    <n v="0"/>
    <n v="93"/>
    <n v="255"/>
    <n v="31"/>
    <n v="446"/>
    <n v="40"/>
    <n v="56"/>
    <n v="175"/>
    <n v="1003"/>
    <n v="1"/>
    <n v="3"/>
    <n v="10"/>
    <n v="11"/>
    <n v="1"/>
    <n v="0"/>
    <n v="0"/>
    <n v="0"/>
    <n v="0"/>
    <n v="0"/>
    <n v="0"/>
    <n v="0"/>
  </r>
  <r>
    <d v="2013-11-13T00:00:00"/>
    <n v="1604"/>
    <n v="1960"/>
    <x v="0"/>
    <s v="Master"/>
    <s v="Married"/>
    <n v="47353"/>
    <n v="1"/>
    <n v="93"/>
    <n v="184"/>
    <n v="2"/>
    <n v="19"/>
    <n v="8"/>
    <n v="8"/>
    <n v="4"/>
    <n v="225"/>
    <n v="3"/>
    <n v="2"/>
    <n v="2"/>
    <n v="6"/>
    <n v="5"/>
    <n v="0"/>
    <n v="0"/>
    <n v="0"/>
    <n v="0"/>
    <n v="0"/>
    <n v="0"/>
    <n v="0"/>
  </r>
  <r>
    <d v="2013-10-20T00:00:00"/>
    <n v="5389"/>
    <n v="1964"/>
    <x v="0"/>
    <s v="Graduation"/>
    <s v="Married"/>
    <n v="48920"/>
    <n v="2"/>
    <n v="93"/>
    <n v="238"/>
    <n v="17"/>
    <n v="68"/>
    <n v="8"/>
    <n v="10"/>
    <n v="6"/>
    <n v="347"/>
    <n v="3"/>
    <n v="6"/>
    <n v="2"/>
    <n v="5"/>
    <n v="7"/>
    <n v="0"/>
    <n v="1"/>
    <n v="0"/>
    <n v="0"/>
    <n v="0"/>
    <n v="0"/>
    <n v="0"/>
  </r>
  <r>
    <d v="2013-09-28T00:00:00"/>
    <n v="2878"/>
    <n v="1947"/>
    <x v="0"/>
    <s v="PhD"/>
    <s v="Married"/>
    <n v="67472"/>
    <n v="1"/>
    <n v="93"/>
    <n v="162"/>
    <n v="31"/>
    <n v="127"/>
    <n v="8"/>
    <n v="17"/>
    <n v="69"/>
    <n v="414"/>
    <n v="2"/>
    <n v="4"/>
    <n v="2"/>
    <n v="7"/>
    <n v="3"/>
    <n v="0"/>
    <n v="0"/>
    <n v="0"/>
    <n v="0"/>
    <n v="0"/>
    <n v="0"/>
    <n v="0"/>
  </r>
  <r>
    <d v="2013-09-10T00:00:00"/>
    <n v="4440"/>
    <n v="1964"/>
    <x v="6"/>
    <s v="Master"/>
    <s v="Married"/>
    <n v="64100"/>
    <n v="1"/>
    <n v="93"/>
    <n v="509"/>
    <n v="0"/>
    <n v="27"/>
    <n v="0"/>
    <n v="0"/>
    <n v="10"/>
    <n v="546"/>
    <n v="1"/>
    <n v="8"/>
    <n v="3"/>
    <n v="6"/>
    <n v="7"/>
    <n v="0"/>
    <n v="1"/>
    <n v="0"/>
    <n v="0"/>
    <n v="0"/>
    <n v="0"/>
    <n v="0"/>
  </r>
  <r>
    <d v="2013-05-30T00:00:00"/>
    <n v="1324"/>
    <n v="1988"/>
    <x v="5"/>
    <s v="Graduation"/>
    <s v="Married"/>
    <n v="38872"/>
    <n v="1"/>
    <n v="93"/>
    <n v="23"/>
    <n v="3"/>
    <n v="21"/>
    <n v="3"/>
    <n v="19"/>
    <n v="22"/>
    <n v="91"/>
    <n v="2"/>
    <n v="3"/>
    <n v="0"/>
    <n v="3"/>
    <n v="8"/>
    <n v="0"/>
    <n v="0"/>
    <n v="0"/>
    <n v="0"/>
    <n v="0"/>
    <n v="0"/>
    <n v="0"/>
  </r>
  <r>
    <d v="2013-04-10T00:00:00"/>
    <n v="6262"/>
    <n v="1962"/>
    <x v="4"/>
    <s v="Master"/>
    <s v="Single"/>
    <n v="72217"/>
    <n v="0"/>
    <n v="93"/>
    <n v="816"/>
    <n v="42"/>
    <n v="450"/>
    <n v="55"/>
    <n v="56"/>
    <n v="154"/>
    <n v="1573"/>
    <n v="1"/>
    <n v="3"/>
    <n v="10"/>
    <n v="8"/>
    <n v="2"/>
    <n v="0"/>
    <n v="0"/>
    <n v="0"/>
    <n v="0"/>
    <n v="0"/>
    <n v="0"/>
    <n v="0"/>
  </r>
  <r>
    <d v="2013-01-29T00:00:00"/>
    <n v="3628"/>
    <n v="1987"/>
    <x v="0"/>
    <s v="Basic"/>
    <s v="Single"/>
    <n v="15038"/>
    <n v="1"/>
    <n v="93"/>
    <n v="4"/>
    <n v="8"/>
    <n v="11"/>
    <n v="19"/>
    <n v="12"/>
    <n v="26"/>
    <n v="80"/>
    <n v="2"/>
    <n v="2"/>
    <n v="1"/>
    <n v="2"/>
    <n v="9"/>
    <n v="0"/>
    <n v="0"/>
    <n v="0"/>
    <n v="0"/>
    <n v="0"/>
    <n v="0"/>
    <n v="0"/>
  </r>
  <r>
    <d v="2013-01-20T00:00:00"/>
    <n v="3641"/>
    <n v="1976"/>
    <x v="0"/>
    <s v="Graduation"/>
    <s v="Married"/>
    <n v="13624"/>
    <n v="1"/>
    <n v="93"/>
    <n v="10"/>
    <n v="2"/>
    <n v="15"/>
    <n v="2"/>
    <n v="1"/>
    <n v="6"/>
    <n v="36"/>
    <n v="2"/>
    <n v="2"/>
    <n v="0"/>
    <n v="3"/>
    <n v="6"/>
    <n v="0"/>
    <n v="0"/>
    <n v="0"/>
    <n v="0"/>
    <n v="0"/>
    <n v="0"/>
    <n v="0"/>
  </r>
  <r>
    <d v="2013-01-12T00:00:00"/>
    <n v="322"/>
    <n v="1978"/>
    <x v="3"/>
    <s v="Graduation"/>
    <s v="Together"/>
    <n v="42554"/>
    <n v="2"/>
    <n v="93"/>
    <n v="29"/>
    <n v="1"/>
    <n v="11"/>
    <n v="0"/>
    <n v="0"/>
    <n v="0"/>
    <n v="41"/>
    <n v="2"/>
    <n v="2"/>
    <n v="0"/>
    <n v="3"/>
    <n v="4"/>
    <n v="0"/>
    <n v="0"/>
    <n v="0"/>
    <n v="0"/>
    <n v="0"/>
    <n v="0"/>
    <n v="0"/>
  </r>
  <r>
    <d v="2013-01-10T00:00:00"/>
    <n v="175"/>
    <n v="1986"/>
    <x v="0"/>
    <s v="Graduation"/>
    <s v="Married"/>
    <n v="71952"/>
    <n v="1"/>
    <n v="93"/>
    <n v="656"/>
    <n v="80"/>
    <n v="455"/>
    <n v="52"/>
    <n v="107"/>
    <n v="93"/>
    <n v="1443"/>
    <n v="2"/>
    <n v="8"/>
    <n v="4"/>
    <n v="8"/>
    <n v="4"/>
    <n v="1"/>
    <n v="0"/>
    <n v="1"/>
    <n v="0"/>
    <n v="0"/>
    <n v="0"/>
    <n v="0"/>
  </r>
  <r>
    <d v="2013-01-10T00:00:00"/>
    <n v="6988"/>
    <n v="1986"/>
    <x v="3"/>
    <s v="Graduation"/>
    <s v="Married"/>
    <n v="71952"/>
    <n v="1"/>
    <n v="93"/>
    <n v="656"/>
    <n v="80"/>
    <n v="455"/>
    <n v="52"/>
    <n v="107"/>
    <n v="93"/>
    <n v="1443"/>
    <n v="2"/>
    <n v="8"/>
    <n v="4"/>
    <n v="8"/>
    <n v="4"/>
    <n v="1"/>
    <n v="0"/>
    <n v="1"/>
    <n v="0"/>
    <n v="0"/>
    <n v="0"/>
    <n v="0"/>
  </r>
  <r>
    <d v="2012-12-16T00:00:00"/>
    <n v="8204"/>
    <n v="1971"/>
    <x v="4"/>
    <s v="2n Cycle"/>
    <s v="Married"/>
    <n v="78041"/>
    <n v="0"/>
    <n v="93"/>
    <n v="482"/>
    <n v="35"/>
    <n v="553"/>
    <n v="72"/>
    <n v="160"/>
    <n v="17"/>
    <n v="1319"/>
    <n v="1"/>
    <n v="4"/>
    <n v="4"/>
    <n v="9"/>
    <n v="2"/>
    <n v="0"/>
    <n v="0"/>
    <n v="0"/>
    <n v="0"/>
    <n v="0"/>
    <n v="0"/>
    <n v="0"/>
  </r>
  <r>
    <d v="2012-12-02T00:00:00"/>
    <n v="7476"/>
    <n v="1964"/>
    <x v="6"/>
    <s v="Master"/>
    <s v="Single"/>
    <n v="63972"/>
    <n v="1"/>
    <n v="93"/>
    <n v="928"/>
    <n v="63"/>
    <n v="254"/>
    <n v="0"/>
    <n v="12"/>
    <n v="12"/>
    <n v="1269"/>
    <n v="4"/>
    <n v="5"/>
    <n v="4"/>
    <n v="10"/>
    <n v="4"/>
    <n v="0"/>
    <n v="1"/>
    <n v="0"/>
    <n v="0"/>
    <n v="0"/>
    <n v="0"/>
    <n v="0"/>
  </r>
  <r>
    <d v="2012-12-01T00:00:00"/>
    <n v="5221"/>
    <n v="1957"/>
    <x v="4"/>
    <s v="Graduation"/>
    <s v="Married"/>
    <n v="52852"/>
    <n v="1"/>
    <n v="93"/>
    <n v="714"/>
    <n v="8"/>
    <n v="99"/>
    <n v="11"/>
    <n v="0"/>
    <n v="47"/>
    <n v="879"/>
    <n v="4"/>
    <n v="10"/>
    <n v="7"/>
    <n v="5"/>
    <n v="8"/>
    <n v="1"/>
    <n v="0"/>
    <n v="0"/>
    <n v="0"/>
    <n v="0"/>
    <n v="0"/>
    <n v="0"/>
  </r>
  <r>
    <d v="2012-10-23T00:00:00"/>
    <n v="8970"/>
    <n v="1972"/>
    <x v="0"/>
    <s v="PhD"/>
    <s v="Married"/>
    <n v="62010"/>
    <n v="1"/>
    <n v="93"/>
    <n v="371"/>
    <n v="22"/>
    <n v="39"/>
    <n v="6"/>
    <n v="0"/>
    <n v="92"/>
    <n v="530"/>
    <n v="4"/>
    <n v="6"/>
    <n v="2"/>
    <n v="7"/>
    <n v="5"/>
    <n v="0"/>
    <n v="0"/>
    <n v="0"/>
    <n v="0"/>
    <n v="0"/>
    <n v="0"/>
    <n v="0"/>
  </r>
  <r>
    <d v="2012-10-10T00:00:00"/>
    <n v="9286"/>
    <n v="1960"/>
    <x v="0"/>
    <s v="Master"/>
    <s v="Together"/>
    <n v="83151"/>
    <n v="0"/>
    <n v="93"/>
    <n v="407"/>
    <n v="28"/>
    <n v="100"/>
    <n v="120"/>
    <n v="74"/>
    <n v="18"/>
    <n v="747"/>
    <n v="1"/>
    <n v="5"/>
    <n v="9"/>
    <n v="4"/>
    <n v="3"/>
    <n v="0"/>
    <n v="0"/>
    <n v="0"/>
    <n v="0"/>
    <n v="0"/>
    <n v="0"/>
    <n v="0"/>
  </r>
  <r>
    <d v="2012-08-22T00:00:00"/>
    <n v="5831"/>
    <n v="1967"/>
    <x v="0"/>
    <s v="Graduation"/>
    <s v="Married"/>
    <n v="77870"/>
    <n v="1"/>
    <n v="93"/>
    <n v="1017"/>
    <n v="50"/>
    <n v="500"/>
    <n v="65"/>
    <n v="50"/>
    <n v="133"/>
    <n v="1815"/>
    <n v="3"/>
    <n v="5"/>
    <n v="5"/>
    <n v="5"/>
    <n v="8"/>
    <n v="0"/>
    <n v="1"/>
    <n v="0"/>
    <n v="1"/>
    <n v="0"/>
    <n v="1"/>
    <n v="0"/>
  </r>
  <r>
    <d v="2014-04-24T00:00:00"/>
    <n v="1010"/>
    <n v="1977"/>
    <x v="0"/>
    <s v="Graduation"/>
    <s v="Together"/>
    <n v="46931"/>
    <n v="3"/>
    <n v="94"/>
    <n v="41"/>
    <n v="0"/>
    <n v="17"/>
    <n v="3"/>
    <n v="1"/>
    <n v="16"/>
    <n v="78"/>
    <n v="2"/>
    <n v="1"/>
    <n v="1"/>
    <n v="3"/>
    <n v="3"/>
    <n v="0"/>
    <n v="0"/>
    <n v="0"/>
    <n v="0"/>
    <n v="0"/>
    <n v="0"/>
    <n v="0"/>
  </r>
  <r>
    <d v="2014-04-09T00:00:00"/>
    <n v="11074"/>
    <n v="1977"/>
    <x v="6"/>
    <s v="Graduation"/>
    <s v="Single"/>
    <n v="85072"/>
    <n v="0"/>
    <n v="94"/>
    <n v="494"/>
    <n v="92"/>
    <n v="391"/>
    <n v="194"/>
    <n v="11"/>
    <n v="241"/>
    <n v="1423"/>
    <n v="1"/>
    <n v="3"/>
    <n v="4"/>
    <n v="10"/>
    <n v="0"/>
    <n v="0"/>
    <n v="0"/>
    <n v="0"/>
    <n v="0"/>
    <n v="0"/>
    <n v="0"/>
    <n v="0"/>
  </r>
  <r>
    <d v="2014-03-18T00:00:00"/>
    <n v="5896"/>
    <n v="1987"/>
    <x v="0"/>
    <s v="Master"/>
    <s v="Married"/>
    <n v="73395"/>
    <n v="0"/>
    <n v="94"/>
    <n v="272"/>
    <n v="7"/>
    <n v="80"/>
    <n v="20"/>
    <n v="7"/>
    <n v="11"/>
    <n v="397"/>
    <n v="1"/>
    <n v="4"/>
    <n v="4"/>
    <n v="6"/>
    <n v="2"/>
    <n v="0"/>
    <n v="0"/>
    <n v="0"/>
    <n v="0"/>
    <n v="0"/>
    <n v="0"/>
    <n v="0"/>
  </r>
  <r>
    <d v="2014-02-17T00:00:00"/>
    <n v="3515"/>
    <n v="1952"/>
    <x v="0"/>
    <s v="Graduation"/>
    <s v="Single"/>
    <n v="62307"/>
    <n v="1"/>
    <n v="94"/>
    <n v="87"/>
    <n v="13"/>
    <n v="34"/>
    <n v="10"/>
    <n v="6"/>
    <n v="10"/>
    <n v="160"/>
    <n v="1"/>
    <n v="4"/>
    <n v="0"/>
    <n v="4"/>
    <n v="5"/>
    <n v="0"/>
    <n v="0"/>
    <n v="0"/>
    <n v="0"/>
    <n v="0"/>
    <n v="0"/>
    <n v="0"/>
  </r>
  <r>
    <d v="2014-01-19T00:00:00"/>
    <n v="5324"/>
    <n v="1981"/>
    <x v="2"/>
    <s v="PhD"/>
    <s v="Married"/>
    <n v="58293"/>
    <n v="1"/>
    <n v="94"/>
    <n v="173"/>
    <n v="43"/>
    <n v="118"/>
    <n v="46"/>
    <n v="27"/>
    <n v="15"/>
    <n v="422"/>
    <n v="5"/>
    <n v="5"/>
    <n v="3"/>
    <n v="6"/>
    <n v="5"/>
    <n v="0"/>
    <n v="0"/>
    <n v="0"/>
    <n v="0"/>
    <n v="0"/>
    <n v="0"/>
    <n v="0"/>
  </r>
  <r>
    <d v="2014-01-04T00:00:00"/>
    <n v="6534"/>
    <n v="1974"/>
    <x v="6"/>
    <s v="Graduation"/>
    <s v="Together"/>
    <n v="47889"/>
    <n v="1"/>
    <n v="94"/>
    <n v="29"/>
    <n v="0"/>
    <n v="29"/>
    <n v="0"/>
    <n v="5"/>
    <n v="4"/>
    <n v="67"/>
    <n v="1"/>
    <n v="2"/>
    <n v="0"/>
    <n v="3"/>
    <n v="5"/>
    <n v="0"/>
    <n v="0"/>
    <n v="0"/>
    <n v="0"/>
    <n v="0"/>
    <n v="0"/>
    <n v="0"/>
  </r>
  <r>
    <d v="2013-12-10T00:00:00"/>
    <n v="8373"/>
    <n v="1979"/>
    <x v="1"/>
    <s v="Basic"/>
    <s v="Together"/>
    <n v="24594"/>
    <n v="1"/>
    <n v="94"/>
    <n v="1"/>
    <n v="3"/>
    <n v="6"/>
    <n v="10"/>
    <n v="0"/>
    <n v="9"/>
    <n v="29"/>
    <n v="1"/>
    <n v="1"/>
    <n v="0"/>
    <n v="3"/>
    <n v="5"/>
    <n v="0"/>
    <n v="0"/>
    <n v="0"/>
    <n v="0"/>
    <n v="0"/>
    <n v="0"/>
    <n v="0"/>
  </r>
  <r>
    <d v="2013-12-10T00:00:00"/>
    <n v="3829"/>
    <n v="1979"/>
    <x v="6"/>
    <s v="Basic"/>
    <s v="Together"/>
    <n v="24594"/>
    <n v="1"/>
    <n v="94"/>
    <n v="1"/>
    <n v="3"/>
    <n v="6"/>
    <n v="10"/>
    <n v="0"/>
    <n v="9"/>
    <n v="29"/>
    <n v="1"/>
    <n v="1"/>
    <n v="0"/>
    <n v="3"/>
    <n v="5"/>
    <n v="0"/>
    <n v="0"/>
    <n v="0"/>
    <n v="0"/>
    <n v="0"/>
    <n v="0"/>
    <n v="0"/>
  </r>
  <r>
    <d v="2013-11-10T00:00:00"/>
    <n v="4501"/>
    <n v="1965"/>
    <x v="0"/>
    <s v="Master"/>
    <s v="Single"/>
    <n v="69882"/>
    <n v="0"/>
    <n v="94"/>
    <n v="292"/>
    <n v="127"/>
    <n v="635"/>
    <n v="132"/>
    <n v="127"/>
    <n v="165"/>
    <n v="1478"/>
    <n v="1"/>
    <n v="3"/>
    <n v="7"/>
    <n v="9"/>
    <n v="1"/>
    <n v="0"/>
    <n v="0"/>
    <n v="0"/>
    <n v="0"/>
    <n v="0"/>
    <n v="0"/>
    <n v="0"/>
  </r>
  <r>
    <d v="2013-08-20T00:00:00"/>
    <n v="4179"/>
    <n v="1959"/>
    <x v="0"/>
    <s v="Graduation"/>
    <s v="Together"/>
    <n v="24221"/>
    <n v="0"/>
    <n v="94"/>
    <n v="8"/>
    <n v="9"/>
    <n v="9"/>
    <n v="2"/>
    <n v="5"/>
    <n v="22"/>
    <n v="55"/>
    <n v="1"/>
    <n v="1"/>
    <n v="1"/>
    <n v="3"/>
    <n v="4"/>
    <n v="0"/>
    <n v="0"/>
    <n v="0"/>
    <n v="0"/>
    <n v="0"/>
    <n v="0"/>
    <n v="0"/>
  </r>
  <r>
    <d v="2013-08-02T00:00:00"/>
    <n v="2292"/>
    <n v="1985"/>
    <x v="0"/>
    <s v="Graduation"/>
    <s v="Single"/>
    <n v="22327"/>
    <n v="1"/>
    <n v="94"/>
    <n v="5"/>
    <n v="4"/>
    <n v="8"/>
    <n v="2"/>
    <n v="0"/>
    <n v="5"/>
    <n v="24"/>
    <n v="1"/>
    <n v="1"/>
    <n v="0"/>
    <n v="3"/>
    <n v="5"/>
    <n v="0"/>
    <n v="0"/>
    <n v="0"/>
    <n v="0"/>
    <n v="0"/>
    <n v="0"/>
    <n v="0"/>
  </r>
  <r>
    <d v="2013-07-26T00:00:00"/>
    <n v="9239"/>
    <n v="1961"/>
    <x v="2"/>
    <s v="Master"/>
    <s v="Married"/>
    <n v="61923"/>
    <n v="2"/>
    <n v="94"/>
    <n v="92"/>
    <n v="4"/>
    <n v="18"/>
    <n v="3"/>
    <n v="3"/>
    <n v="6"/>
    <n v="126"/>
    <n v="1"/>
    <n v="2"/>
    <n v="1"/>
    <n v="4"/>
    <n v="3"/>
    <n v="0"/>
    <n v="0"/>
    <n v="0"/>
    <n v="0"/>
    <n v="0"/>
    <n v="0"/>
    <n v="0"/>
  </r>
  <r>
    <d v="2013-05-06T00:00:00"/>
    <n v="8953"/>
    <n v="1965"/>
    <x v="0"/>
    <s v="Master"/>
    <s v="Single"/>
    <n v="35791"/>
    <n v="3"/>
    <n v="94"/>
    <n v="27"/>
    <n v="0"/>
    <n v="5"/>
    <n v="0"/>
    <n v="0"/>
    <n v="3"/>
    <n v="35"/>
    <n v="2"/>
    <n v="1"/>
    <n v="0"/>
    <n v="3"/>
    <n v="8"/>
    <n v="0"/>
    <n v="0"/>
    <n v="0"/>
    <n v="0"/>
    <n v="0"/>
    <n v="0"/>
    <n v="0"/>
  </r>
  <r>
    <d v="2013-05-06T00:00:00"/>
    <n v="10258"/>
    <n v="1965"/>
    <x v="2"/>
    <s v="Master"/>
    <s v="Single"/>
    <n v="35791"/>
    <n v="3"/>
    <n v="94"/>
    <n v="27"/>
    <n v="0"/>
    <n v="5"/>
    <n v="0"/>
    <n v="0"/>
    <n v="3"/>
    <n v="35"/>
    <n v="2"/>
    <n v="1"/>
    <n v="0"/>
    <n v="3"/>
    <n v="8"/>
    <n v="0"/>
    <n v="0"/>
    <n v="0"/>
    <n v="0"/>
    <n v="0"/>
    <n v="0"/>
    <n v="0"/>
  </r>
  <r>
    <d v="2013-03-27T00:00:00"/>
    <n v="3520"/>
    <n v="1990"/>
    <x v="1"/>
    <s v="Master"/>
    <s v="Single"/>
    <n v="91172"/>
    <n v="0"/>
    <n v="94"/>
    <n v="162"/>
    <n v="28"/>
    <n v="818"/>
    <n v="0"/>
    <n v="28"/>
    <n v="56"/>
    <n v="1092"/>
    <n v="0"/>
    <n v="4"/>
    <n v="3"/>
    <n v="7"/>
    <n v="3"/>
    <n v="1"/>
    <n v="0"/>
    <n v="1"/>
    <n v="1"/>
    <n v="1"/>
    <n v="1"/>
    <n v="0"/>
  </r>
  <r>
    <d v="2013-02-14T00:00:00"/>
    <n v="10402"/>
    <n v="1967"/>
    <x v="1"/>
    <s v="Graduation"/>
    <s v="Married"/>
    <n v="35441"/>
    <n v="2"/>
    <n v="94"/>
    <n v="25"/>
    <n v="1"/>
    <n v="9"/>
    <n v="2"/>
    <n v="1"/>
    <n v="1"/>
    <n v="39"/>
    <n v="2"/>
    <n v="1"/>
    <n v="0"/>
    <n v="3"/>
    <n v="8"/>
    <n v="0"/>
    <n v="0"/>
    <n v="0"/>
    <n v="0"/>
    <n v="0"/>
    <n v="0"/>
    <n v="0"/>
  </r>
  <r>
    <d v="2013-02-08T00:00:00"/>
    <n v="11114"/>
    <n v="1970"/>
    <x v="0"/>
    <s v="Graduation"/>
    <s v="Together"/>
    <n v="19656"/>
    <n v="1"/>
    <n v="94"/>
    <n v="25"/>
    <n v="4"/>
    <n v="9"/>
    <n v="6"/>
    <n v="8"/>
    <n v="32"/>
    <n v="84"/>
    <n v="3"/>
    <n v="2"/>
    <n v="1"/>
    <n v="3"/>
    <n v="7"/>
    <n v="0"/>
    <n v="0"/>
    <n v="0"/>
    <n v="0"/>
    <n v="0"/>
    <n v="0"/>
    <n v="0"/>
  </r>
  <r>
    <d v="2013-01-09T00:00:00"/>
    <n v="9553"/>
    <n v="1987"/>
    <x v="5"/>
    <s v="Graduation"/>
    <s v="Married"/>
    <n v="7500"/>
    <n v="0"/>
    <n v="94"/>
    <n v="0"/>
    <n v="2"/>
    <n v="3"/>
    <n v="4"/>
    <n v="1"/>
    <n v="5"/>
    <n v="15"/>
    <n v="1"/>
    <n v="0"/>
    <n v="0"/>
    <n v="3"/>
    <n v="6"/>
    <n v="0"/>
    <n v="0"/>
    <n v="0"/>
    <n v="0"/>
    <n v="0"/>
    <n v="0"/>
    <n v="0"/>
  </r>
  <r>
    <d v="2012-11-01T00:00:00"/>
    <n v="6055"/>
    <n v="1979"/>
    <x v="0"/>
    <s v="Graduation"/>
    <s v="Married"/>
    <n v="71626"/>
    <n v="0"/>
    <n v="94"/>
    <n v="546"/>
    <n v="72"/>
    <n v="376"/>
    <n v="94"/>
    <n v="145"/>
    <n v="72"/>
    <n v="1305"/>
    <n v="1"/>
    <n v="5"/>
    <n v="5"/>
    <n v="8"/>
    <n v="3"/>
    <n v="0"/>
    <n v="1"/>
    <n v="0"/>
    <n v="0"/>
    <n v="0"/>
    <n v="0"/>
    <n v="0"/>
  </r>
  <r>
    <d v="2012-10-04T00:00:00"/>
    <n v="4786"/>
    <n v="1977"/>
    <x v="2"/>
    <s v="Graduation"/>
    <s v="Married"/>
    <n v="75330"/>
    <n v="2"/>
    <n v="94"/>
    <n v="555"/>
    <n v="82"/>
    <n v="257"/>
    <n v="93"/>
    <n v="61"/>
    <n v="61"/>
    <n v="1109"/>
    <n v="4"/>
    <n v="10"/>
    <n v="3"/>
    <n v="12"/>
    <n v="6"/>
    <n v="0"/>
    <n v="0"/>
    <n v="0"/>
    <n v="0"/>
    <n v="0"/>
    <n v="0"/>
    <n v="0"/>
  </r>
  <r>
    <d v="2012-09-14T00:00:00"/>
    <n v="5015"/>
    <n v="1976"/>
    <x v="0"/>
    <s v="Master"/>
    <s v="Married"/>
    <n v="34529"/>
    <n v="1"/>
    <n v="94"/>
    <n v="68"/>
    <n v="6"/>
    <n v="38"/>
    <n v="3"/>
    <n v="6"/>
    <n v="41"/>
    <n v="162"/>
    <n v="2"/>
    <n v="2"/>
    <n v="2"/>
    <n v="3"/>
    <n v="7"/>
    <n v="0"/>
    <n v="0"/>
    <n v="0"/>
    <n v="0"/>
    <n v="0"/>
    <n v="0"/>
    <n v="0"/>
  </r>
  <r>
    <d v="2012-09-10T00:00:00"/>
    <n v="8560"/>
    <n v="1992"/>
    <x v="1"/>
    <s v="Graduation"/>
    <s v="Single"/>
    <n v="48789"/>
    <n v="0"/>
    <n v="94"/>
    <n v="351"/>
    <n v="16"/>
    <n v="156"/>
    <n v="7"/>
    <n v="5"/>
    <n v="145"/>
    <n v="680"/>
    <n v="1"/>
    <n v="6"/>
    <n v="4"/>
    <n v="7"/>
    <n v="6"/>
    <n v="0"/>
    <n v="0"/>
    <n v="0"/>
    <n v="0"/>
    <n v="0"/>
    <n v="0"/>
    <n v="0"/>
  </r>
  <r>
    <d v="2012-09-06T00:00:00"/>
    <n v="3469"/>
    <n v="1977"/>
    <x v="0"/>
    <s v="PhD"/>
    <s v="Divorced"/>
    <n v="34487"/>
    <n v="2"/>
    <n v="94"/>
    <n v="19"/>
    <n v="18"/>
    <n v="33"/>
    <n v="24"/>
    <n v="1"/>
    <n v="8"/>
    <n v="103"/>
    <n v="3"/>
    <n v="3"/>
    <n v="0"/>
    <n v="3"/>
    <n v="9"/>
    <n v="0"/>
    <n v="0"/>
    <n v="0"/>
    <n v="0"/>
    <n v="0"/>
    <n v="0"/>
    <n v="0"/>
  </r>
  <r>
    <d v="2012-08-22T00:00:00"/>
    <n v="5885"/>
    <n v="1973"/>
    <x v="1"/>
    <s v="2n Cycle"/>
    <s v="Married"/>
    <n v="35688"/>
    <n v="3"/>
    <n v="94"/>
    <n v="73"/>
    <n v="3"/>
    <n v="90"/>
    <n v="12"/>
    <n v="1"/>
    <n v="32"/>
    <n v="211"/>
    <n v="7"/>
    <n v="4"/>
    <n v="1"/>
    <n v="4"/>
    <n v="8"/>
    <n v="0"/>
    <n v="0"/>
    <n v="0"/>
    <n v="0"/>
    <n v="0"/>
    <n v="0"/>
    <n v="0"/>
  </r>
  <r>
    <d v="2012-08-22T00:00:00"/>
    <n v="3310"/>
    <n v="1973"/>
    <x v="0"/>
    <s v="2n Cycle"/>
    <s v="Married"/>
    <n v="35688"/>
    <n v="3"/>
    <n v="94"/>
    <n v="73"/>
    <n v="3"/>
    <n v="90"/>
    <n v="12"/>
    <n v="1"/>
    <n v="32"/>
    <n v="211"/>
    <n v="7"/>
    <n v="4"/>
    <n v="1"/>
    <n v="4"/>
    <n v="8"/>
    <n v="0"/>
    <n v="0"/>
    <n v="0"/>
    <n v="0"/>
    <n v="0"/>
    <n v="0"/>
    <n v="0"/>
  </r>
  <r>
    <d v="2012-08-17T00:00:00"/>
    <n v="2134"/>
    <n v="1952"/>
    <x v="6"/>
    <s v="Graduation"/>
    <s v="Single"/>
    <n v="53700"/>
    <n v="1"/>
    <n v="94"/>
    <n v="263"/>
    <n v="5"/>
    <n v="233"/>
    <n v="69"/>
    <n v="41"/>
    <n v="83"/>
    <n v="694"/>
    <n v="4"/>
    <n v="5"/>
    <n v="5"/>
    <n v="8"/>
    <n v="5"/>
    <n v="0"/>
    <n v="0"/>
    <n v="0"/>
    <n v="0"/>
    <n v="0"/>
    <n v="0"/>
    <n v="0"/>
  </r>
  <r>
    <d v="2014-03-01T00:00:00"/>
    <n v="2532"/>
    <n v="1987"/>
    <x v="0"/>
    <s v="Master"/>
    <s v="Single"/>
    <n v="73454"/>
    <n v="0"/>
    <n v="95"/>
    <n v="982"/>
    <n v="73"/>
    <n v="351"/>
    <n v="56"/>
    <n v="14"/>
    <n v="175"/>
    <n v="1651"/>
    <n v="1"/>
    <n v="2"/>
    <n v="4"/>
    <n v="6"/>
    <n v="5"/>
    <n v="1"/>
    <n v="0"/>
    <n v="0"/>
    <n v="0"/>
    <n v="0"/>
    <n v="0"/>
    <n v="0"/>
  </r>
  <r>
    <d v="2013-12-17T00:00:00"/>
    <n v="2579"/>
    <n v="1957"/>
    <x v="0"/>
    <s v="Graduation"/>
    <s v="Married"/>
    <n v="71113"/>
    <n v="1"/>
    <n v="95"/>
    <n v="495"/>
    <n v="33"/>
    <n v="255"/>
    <n v="11"/>
    <n v="33"/>
    <n v="8"/>
    <n v="835"/>
    <n v="4"/>
    <n v="6"/>
    <n v="7"/>
    <n v="9"/>
    <n v="4"/>
    <n v="0"/>
    <n v="0"/>
    <n v="0"/>
    <n v="0"/>
    <n v="0"/>
    <n v="0"/>
    <n v="0"/>
  </r>
  <r>
    <d v="2013-10-18T00:00:00"/>
    <n v="3117"/>
    <n v="1955"/>
    <x v="3"/>
    <s v="Graduation"/>
    <s v="Single"/>
    <n v="53790.45"/>
    <n v="1"/>
    <n v="95"/>
    <n v="264"/>
    <n v="0"/>
    <n v="21"/>
    <n v="12"/>
    <n v="6"/>
    <n v="147"/>
    <n v="450"/>
    <n v="3"/>
    <n v="6"/>
    <n v="1"/>
    <n v="5"/>
    <n v="7"/>
    <n v="0"/>
    <n v="0"/>
    <n v="0"/>
    <n v="0"/>
    <n v="0"/>
    <n v="0"/>
    <n v="0"/>
  </r>
  <r>
    <d v="2013-09-26T00:00:00"/>
    <n v="5623"/>
    <n v="1980"/>
    <x v="0"/>
    <s v="Master"/>
    <s v="Married"/>
    <n v="31535"/>
    <n v="1"/>
    <n v="95"/>
    <n v="15"/>
    <n v="4"/>
    <n v="13"/>
    <n v="0"/>
    <n v="0"/>
    <n v="19"/>
    <n v="51"/>
    <n v="1"/>
    <n v="1"/>
    <n v="1"/>
    <n v="2"/>
    <n v="7"/>
    <n v="1"/>
    <n v="0"/>
    <n v="0"/>
    <n v="0"/>
    <n v="0"/>
    <n v="0"/>
    <n v="0"/>
  </r>
  <r>
    <d v="2013-09-17T00:00:00"/>
    <n v="4789"/>
    <n v="1953"/>
    <x v="5"/>
    <s v="Graduation"/>
    <s v="Together"/>
    <n v="80812"/>
    <n v="0"/>
    <n v="95"/>
    <n v="769"/>
    <n v="22"/>
    <n v="500"/>
    <n v="210"/>
    <n v="143"/>
    <n v="33"/>
    <n v="1677"/>
    <n v="1"/>
    <n v="4"/>
    <n v="8"/>
    <n v="5"/>
    <n v="2"/>
    <n v="1"/>
    <n v="0"/>
    <n v="1"/>
    <n v="1"/>
    <n v="0"/>
    <n v="0"/>
    <n v="0"/>
  </r>
  <r>
    <d v="2013-08-17T00:00:00"/>
    <n v="9523"/>
    <n v="1982"/>
    <x v="0"/>
    <s v="Graduation"/>
    <s v="Together"/>
    <n v="40479"/>
    <n v="1"/>
    <n v="95"/>
    <n v="5"/>
    <n v="0"/>
    <n v="8"/>
    <n v="2"/>
    <n v="0"/>
    <n v="0"/>
    <n v="15"/>
    <n v="1"/>
    <n v="0"/>
    <n v="0"/>
    <n v="3"/>
    <n v="4"/>
    <n v="0"/>
    <n v="0"/>
    <n v="0"/>
    <n v="0"/>
    <n v="0"/>
    <n v="0"/>
    <n v="0"/>
  </r>
  <r>
    <d v="2013-08-11T00:00:00"/>
    <n v="5268"/>
    <n v="1960"/>
    <x v="4"/>
    <s v="Graduation"/>
    <s v="Married"/>
    <n v="29440"/>
    <n v="2"/>
    <n v="95"/>
    <n v="17"/>
    <n v="8"/>
    <n v="14"/>
    <n v="10"/>
    <n v="4"/>
    <n v="3"/>
    <n v="56"/>
    <n v="2"/>
    <n v="1"/>
    <n v="0"/>
    <n v="4"/>
    <n v="7"/>
    <n v="0"/>
    <n v="0"/>
    <n v="0"/>
    <n v="0"/>
    <n v="0"/>
    <n v="0"/>
    <n v="0"/>
  </r>
  <r>
    <d v="2013-08-02T00:00:00"/>
    <n v="1545"/>
    <n v="1986"/>
    <x v="0"/>
    <s v="Graduation"/>
    <s v="Married"/>
    <n v="38508"/>
    <n v="1"/>
    <n v="95"/>
    <n v="120"/>
    <n v="19"/>
    <n v="206"/>
    <n v="25"/>
    <n v="19"/>
    <n v="54"/>
    <n v="443"/>
    <n v="6"/>
    <n v="7"/>
    <n v="2"/>
    <n v="5"/>
    <n v="8"/>
    <n v="0"/>
    <n v="0"/>
    <n v="0"/>
    <n v="0"/>
    <n v="0"/>
    <n v="0"/>
    <n v="0"/>
  </r>
  <r>
    <d v="2013-07-07T00:00:00"/>
    <n v="2254"/>
    <n v="1983"/>
    <x v="3"/>
    <s v="Graduation"/>
    <s v="Married"/>
    <n v="69520"/>
    <n v="0"/>
    <n v="95"/>
    <n v="627"/>
    <n v="120"/>
    <n v="414"/>
    <n v="121"/>
    <n v="80"/>
    <n v="93"/>
    <n v="1455"/>
    <n v="1"/>
    <n v="9"/>
    <n v="6"/>
    <n v="5"/>
    <n v="5"/>
    <n v="0"/>
    <n v="0"/>
    <n v="0"/>
    <n v="0"/>
    <n v="0"/>
    <n v="0"/>
    <n v="0"/>
  </r>
  <r>
    <d v="2013-06-04T00:00:00"/>
    <n v="2661"/>
    <n v="1964"/>
    <x v="6"/>
    <s v="Graduation"/>
    <s v="Single"/>
    <n v="18701"/>
    <n v="2"/>
    <n v="95"/>
    <n v="12"/>
    <n v="4"/>
    <n v="2"/>
    <n v="10"/>
    <n v="6"/>
    <n v="10"/>
    <n v="44"/>
    <n v="4"/>
    <n v="2"/>
    <n v="0"/>
    <n v="4"/>
    <n v="5"/>
    <n v="0"/>
    <n v="0"/>
    <n v="0"/>
    <n v="0"/>
    <n v="0"/>
    <n v="0"/>
    <n v="0"/>
  </r>
  <r>
    <d v="2013-06-04T00:00:00"/>
    <n v="3130"/>
    <n v="1964"/>
    <x v="0"/>
    <s v="Graduation"/>
    <s v="Single"/>
    <n v="18701"/>
    <n v="2"/>
    <n v="95"/>
    <n v="12"/>
    <n v="4"/>
    <n v="2"/>
    <n v="10"/>
    <n v="6"/>
    <n v="10"/>
    <n v="44"/>
    <n v="4"/>
    <n v="2"/>
    <n v="0"/>
    <n v="4"/>
    <n v="5"/>
    <n v="0"/>
    <n v="0"/>
    <n v="0"/>
    <n v="0"/>
    <n v="0"/>
    <n v="0"/>
    <n v="0"/>
  </r>
  <r>
    <d v="2013-05-29T00:00:00"/>
    <n v="5847"/>
    <n v="1969"/>
    <x v="0"/>
    <s v="Graduation"/>
    <s v="Divorced"/>
    <n v="69901"/>
    <n v="1"/>
    <n v="95"/>
    <n v="312"/>
    <n v="21"/>
    <n v="206"/>
    <n v="102"/>
    <n v="92"/>
    <n v="149"/>
    <n v="882"/>
    <n v="3"/>
    <n v="7"/>
    <n v="3"/>
    <n v="10"/>
    <n v="5"/>
    <n v="0"/>
    <n v="0"/>
    <n v="0"/>
    <n v="0"/>
    <n v="0"/>
    <n v="0"/>
    <n v="0"/>
  </r>
  <r>
    <d v="2013-05-29T00:00:00"/>
    <n v="5863"/>
    <n v="1953"/>
    <x v="0"/>
    <s v="Graduation"/>
    <s v="Married"/>
    <n v="47703"/>
    <n v="1"/>
    <n v="95"/>
    <n v="359"/>
    <n v="0"/>
    <n v="134"/>
    <n v="13"/>
    <n v="26"/>
    <n v="123"/>
    <n v="655"/>
    <n v="4"/>
    <n v="6"/>
    <n v="3"/>
    <n v="8"/>
    <n v="5"/>
    <n v="0"/>
    <n v="0"/>
    <n v="0"/>
    <n v="0"/>
    <n v="0"/>
    <n v="0"/>
    <n v="0"/>
  </r>
  <r>
    <d v="2013-01-02T00:00:00"/>
    <n v="999"/>
    <n v="1991"/>
    <x v="1"/>
    <s v="Graduation"/>
    <s v="Single"/>
    <n v="86037"/>
    <n v="0"/>
    <n v="95"/>
    <n v="490"/>
    <n v="44"/>
    <n v="125"/>
    <n v="29"/>
    <n v="20"/>
    <n v="22"/>
    <n v="730"/>
    <n v="1"/>
    <n v="6"/>
    <n v="7"/>
    <n v="11"/>
    <n v="3"/>
    <n v="0"/>
    <n v="1"/>
    <n v="1"/>
    <n v="0"/>
    <n v="0"/>
    <n v="1"/>
    <n v="0"/>
  </r>
  <r>
    <d v="2012-09-21T00:00:00"/>
    <n v="2931"/>
    <n v="1978"/>
    <x v="0"/>
    <s v="Graduation"/>
    <s v="Divorced"/>
    <n v="71847"/>
    <n v="0"/>
    <n v="95"/>
    <n v="737"/>
    <n v="21"/>
    <n v="106"/>
    <n v="55"/>
    <n v="63"/>
    <n v="210"/>
    <n v="1192"/>
    <n v="0"/>
    <n v="6"/>
    <n v="7"/>
    <n v="9"/>
    <n v="3"/>
    <n v="0"/>
    <n v="0"/>
    <n v="0"/>
    <n v="1"/>
    <n v="0"/>
    <n v="0"/>
    <n v="0"/>
  </r>
  <r>
    <d v="2012-09-19T00:00:00"/>
    <n v="1890"/>
    <n v="1971"/>
    <x v="0"/>
    <s v="2n Cycle"/>
    <s v="Together"/>
    <n v="42033"/>
    <n v="2"/>
    <n v="95"/>
    <n v="11"/>
    <n v="1"/>
    <n v="4"/>
    <n v="2"/>
    <n v="0"/>
    <n v="7"/>
    <n v="25"/>
    <n v="1"/>
    <n v="1"/>
    <n v="0"/>
    <n v="2"/>
    <n v="7"/>
    <n v="0"/>
    <n v="0"/>
    <n v="0"/>
    <n v="0"/>
    <n v="0"/>
    <n v="0"/>
    <n v="0"/>
  </r>
  <r>
    <d v="2012-08-31T00:00:00"/>
    <n v="5589"/>
    <n v="1964"/>
    <x v="5"/>
    <s v="Graduation"/>
    <s v="Divorced"/>
    <n v="51983"/>
    <n v="1"/>
    <n v="95"/>
    <n v="631"/>
    <n v="0"/>
    <n v="115"/>
    <n v="10"/>
    <n v="7"/>
    <n v="30"/>
    <n v="793"/>
    <n v="3"/>
    <n v="9"/>
    <n v="2"/>
    <n v="10"/>
    <n v="7"/>
    <n v="0"/>
    <n v="0"/>
    <n v="0"/>
    <n v="0"/>
    <n v="0"/>
    <n v="0"/>
    <n v="0"/>
  </r>
  <r>
    <d v="2012-08-10T00:00:00"/>
    <n v="10172"/>
    <n v="1988"/>
    <x v="0"/>
    <s v="Graduation"/>
    <s v="Single"/>
    <n v="68655"/>
    <n v="0"/>
    <n v="95"/>
    <n v="456"/>
    <n v="19"/>
    <n v="832"/>
    <n v="75"/>
    <n v="118"/>
    <n v="38"/>
    <n v="1538"/>
    <n v="1"/>
    <n v="4"/>
    <n v="5"/>
    <n v="11"/>
    <n v="3"/>
    <n v="0"/>
    <n v="0"/>
    <n v="0"/>
    <n v="0"/>
    <n v="0"/>
    <n v="0"/>
    <n v="0"/>
  </r>
  <r>
    <d v="2012-08-10T00:00:00"/>
    <n v="6729"/>
    <n v="1988"/>
    <x v="6"/>
    <s v="Graduation"/>
    <s v="Single"/>
    <n v="68655"/>
    <n v="0"/>
    <n v="95"/>
    <n v="456"/>
    <n v="19"/>
    <n v="832"/>
    <n v="75"/>
    <n v="118"/>
    <n v="38"/>
    <n v="1538"/>
    <n v="1"/>
    <n v="4"/>
    <n v="5"/>
    <n v="11"/>
    <n v="3"/>
    <n v="0"/>
    <n v="0"/>
    <n v="0"/>
    <n v="0"/>
    <n v="0"/>
    <n v="0"/>
    <n v="0"/>
  </r>
  <r>
    <d v="2014-06-24T00:00:00"/>
    <n v="10492"/>
    <n v="1959"/>
    <x v="5"/>
    <s v="Graduation"/>
    <s v="Together"/>
    <n v="38285"/>
    <n v="3"/>
    <n v="96"/>
    <n v="2"/>
    <n v="0"/>
    <n v="5"/>
    <n v="2"/>
    <n v="0"/>
    <n v="1"/>
    <n v="10"/>
    <n v="1"/>
    <n v="0"/>
    <n v="0"/>
    <n v="3"/>
    <n v="2"/>
    <n v="0"/>
    <n v="0"/>
    <n v="0"/>
    <n v="0"/>
    <n v="0"/>
    <n v="0"/>
    <n v="0"/>
  </r>
  <r>
    <d v="2014-06-22T00:00:00"/>
    <n v="2939"/>
    <n v="1970"/>
    <x v="1"/>
    <s v="Master"/>
    <s v="Together"/>
    <n v="79419"/>
    <n v="0"/>
    <n v="96"/>
    <n v="751"/>
    <n v="127"/>
    <n v="687"/>
    <n v="20"/>
    <n v="15"/>
    <n v="31"/>
    <n v="1631"/>
    <n v="1"/>
    <n v="4"/>
    <n v="6"/>
    <n v="4"/>
    <n v="2"/>
    <n v="0"/>
    <n v="0"/>
    <n v="0"/>
    <n v="0"/>
    <n v="0"/>
    <n v="0"/>
    <n v="0"/>
  </r>
  <r>
    <d v="2014-04-29T00:00:00"/>
    <n v="5948"/>
    <n v="1975"/>
    <x v="2"/>
    <s v="Graduation"/>
    <s v="Single"/>
    <n v="57338"/>
    <n v="1"/>
    <n v="96"/>
    <n v="143"/>
    <n v="6"/>
    <n v="52"/>
    <n v="11"/>
    <n v="8"/>
    <n v="17"/>
    <n v="237"/>
    <n v="2"/>
    <n v="4"/>
    <n v="1"/>
    <n v="5"/>
    <n v="5"/>
    <n v="0"/>
    <n v="0"/>
    <n v="0"/>
    <n v="0"/>
    <n v="0"/>
    <n v="0"/>
    <n v="0"/>
  </r>
  <r>
    <d v="2014-04-23T00:00:00"/>
    <n v="574"/>
    <n v="1964"/>
    <x v="4"/>
    <s v="Graduation"/>
    <s v="Married"/>
    <n v="42523"/>
    <n v="0"/>
    <n v="96"/>
    <n v="14"/>
    <n v="36"/>
    <n v="11"/>
    <n v="3"/>
    <n v="26"/>
    <n v="35"/>
    <n v="125"/>
    <n v="1"/>
    <n v="1"/>
    <n v="1"/>
    <n v="4"/>
    <n v="2"/>
    <n v="0"/>
    <n v="0"/>
    <n v="0"/>
    <n v="0"/>
    <n v="0"/>
    <n v="0"/>
    <n v="0"/>
  </r>
  <r>
    <d v="2014-04-23T00:00:00"/>
    <n v="3266"/>
    <n v="1964"/>
    <x v="1"/>
    <s v="Graduation"/>
    <s v="Married"/>
    <n v="42523"/>
    <n v="0"/>
    <n v="96"/>
    <n v="14"/>
    <n v="36"/>
    <n v="11"/>
    <n v="3"/>
    <n v="26"/>
    <n v="35"/>
    <n v="125"/>
    <n v="1"/>
    <n v="1"/>
    <n v="1"/>
    <n v="4"/>
    <n v="2"/>
    <n v="0"/>
    <n v="0"/>
    <n v="0"/>
    <n v="0"/>
    <n v="0"/>
    <n v="0"/>
    <n v="0"/>
  </r>
  <r>
    <d v="2014-04-05T00:00:00"/>
    <n v="10500"/>
    <n v="1984"/>
    <x v="3"/>
    <s v="Graduation"/>
    <s v="Married"/>
    <n v="31761"/>
    <n v="1"/>
    <n v="96"/>
    <n v="19"/>
    <n v="1"/>
    <n v="20"/>
    <n v="16"/>
    <n v="14"/>
    <n v="28"/>
    <n v="98"/>
    <n v="2"/>
    <n v="3"/>
    <n v="0"/>
    <n v="4"/>
    <n v="5"/>
    <n v="0"/>
    <n v="0"/>
    <n v="0"/>
    <n v="0"/>
    <n v="0"/>
    <n v="0"/>
    <n v="0"/>
  </r>
  <r>
    <d v="2014-03-07T00:00:00"/>
    <n v="7987"/>
    <n v="1969"/>
    <x v="1"/>
    <s v="Graduation"/>
    <s v="Married"/>
    <n v="65747"/>
    <n v="1"/>
    <n v="96"/>
    <n v="346"/>
    <n v="17"/>
    <n v="48"/>
    <n v="23"/>
    <n v="13"/>
    <n v="13"/>
    <n v="460"/>
    <n v="4"/>
    <n v="8"/>
    <n v="1"/>
    <n v="6"/>
    <n v="6"/>
    <n v="0"/>
    <n v="1"/>
    <n v="0"/>
    <n v="0"/>
    <n v="0"/>
    <n v="0"/>
    <n v="0"/>
  </r>
  <r>
    <d v="2014-02-15T00:00:00"/>
    <n v="1135"/>
    <n v="1960"/>
    <x v="1"/>
    <s v="Master"/>
    <s v="Together"/>
    <n v="17144"/>
    <n v="2"/>
    <n v="96"/>
    <n v="18"/>
    <n v="2"/>
    <n v="19"/>
    <n v="0"/>
    <n v="2"/>
    <n v="6"/>
    <n v="47"/>
    <n v="5"/>
    <n v="3"/>
    <n v="0"/>
    <n v="4"/>
    <n v="7"/>
    <n v="0"/>
    <n v="0"/>
    <n v="0"/>
    <n v="0"/>
    <n v="0"/>
    <n v="0"/>
    <n v="0"/>
  </r>
  <r>
    <d v="2014-02-15T00:00:00"/>
    <n v="24"/>
    <n v="1960"/>
    <x v="6"/>
    <s v="Master"/>
    <s v="Together"/>
    <n v="17144"/>
    <n v="2"/>
    <n v="96"/>
    <n v="18"/>
    <n v="2"/>
    <n v="19"/>
    <n v="0"/>
    <n v="2"/>
    <n v="6"/>
    <n v="47"/>
    <n v="5"/>
    <n v="3"/>
    <n v="0"/>
    <n v="4"/>
    <n v="7"/>
    <n v="0"/>
    <n v="0"/>
    <n v="0"/>
    <n v="0"/>
    <n v="0"/>
    <n v="0"/>
    <n v="0"/>
  </r>
  <r>
    <d v="2014-01-01T00:00:00"/>
    <n v="7244"/>
    <n v="1951"/>
    <x v="3"/>
    <s v="Graduation"/>
    <s v="Single"/>
    <n v="53790.45"/>
    <n v="3"/>
    <n v="96"/>
    <n v="48"/>
    <n v="5"/>
    <n v="48"/>
    <n v="6"/>
    <n v="10"/>
    <n v="7"/>
    <n v="124"/>
    <n v="3"/>
    <n v="2"/>
    <n v="1"/>
    <n v="4"/>
    <n v="6"/>
    <n v="0"/>
    <n v="0"/>
    <n v="0"/>
    <n v="0"/>
    <n v="0"/>
    <n v="0"/>
    <n v="0"/>
  </r>
  <r>
    <d v="2013-11-22T00:00:00"/>
    <n v="1966"/>
    <n v="1965"/>
    <x v="3"/>
    <s v="PhD"/>
    <s v="Married"/>
    <n v="84618"/>
    <n v="0"/>
    <n v="96"/>
    <n v="684"/>
    <n v="100"/>
    <n v="801"/>
    <n v="21"/>
    <n v="66"/>
    <n v="0"/>
    <n v="1672"/>
    <n v="1"/>
    <n v="6"/>
    <n v="9"/>
    <n v="10"/>
    <n v="2"/>
    <n v="0"/>
    <n v="0"/>
    <n v="1"/>
    <n v="0"/>
    <n v="0"/>
    <n v="0"/>
    <n v="0"/>
  </r>
  <r>
    <d v="2013-11-22T00:00:00"/>
    <n v="7789"/>
    <n v="1965"/>
    <x v="0"/>
    <s v="PhD"/>
    <s v="Married"/>
    <n v="84618"/>
    <n v="0"/>
    <n v="96"/>
    <n v="684"/>
    <n v="100"/>
    <n v="801"/>
    <n v="21"/>
    <n v="66"/>
    <n v="0"/>
    <n v="1672"/>
    <n v="1"/>
    <n v="6"/>
    <n v="9"/>
    <n v="10"/>
    <n v="2"/>
    <n v="0"/>
    <n v="0"/>
    <n v="1"/>
    <n v="0"/>
    <n v="0"/>
    <n v="0"/>
    <n v="0"/>
  </r>
  <r>
    <d v="2013-11-21T00:00:00"/>
    <n v="3336"/>
    <n v="1948"/>
    <x v="3"/>
    <s v="PhD"/>
    <s v="Together"/>
    <n v="66375"/>
    <n v="1"/>
    <n v="96"/>
    <n v="712"/>
    <n v="0"/>
    <n v="45"/>
    <n v="0"/>
    <n v="0"/>
    <n v="191"/>
    <n v="948"/>
    <n v="3"/>
    <n v="2"/>
    <n v="4"/>
    <n v="5"/>
    <n v="7"/>
    <n v="1"/>
    <n v="0"/>
    <n v="0"/>
    <n v="0"/>
    <n v="0"/>
    <n v="0"/>
    <n v="0"/>
  </r>
  <r>
    <d v="2013-10-12T00:00:00"/>
    <n v="5644"/>
    <n v="1957"/>
    <x v="0"/>
    <s v="Graduation"/>
    <s v="Together"/>
    <n v="42213"/>
    <n v="1"/>
    <n v="96"/>
    <n v="309"/>
    <n v="3"/>
    <n v="24"/>
    <n v="4"/>
    <n v="3"/>
    <n v="20"/>
    <n v="363"/>
    <n v="2"/>
    <n v="5"/>
    <n v="1"/>
    <n v="7"/>
    <n v="7"/>
    <n v="0"/>
    <n v="1"/>
    <n v="0"/>
    <n v="0"/>
    <n v="0"/>
    <n v="0"/>
    <n v="0"/>
  </r>
  <r>
    <d v="2013-08-11T00:00:00"/>
    <n v="1295"/>
    <n v="1963"/>
    <x v="1"/>
    <s v="Graduation"/>
    <s v="Married"/>
    <n v="53790.45"/>
    <n v="1"/>
    <n v="96"/>
    <n v="231"/>
    <n v="65"/>
    <n v="196"/>
    <n v="38"/>
    <n v="71"/>
    <n v="124"/>
    <n v="725"/>
    <n v="1"/>
    <n v="6"/>
    <n v="5"/>
    <n v="7"/>
    <n v="4"/>
    <n v="0"/>
    <n v="0"/>
    <n v="0"/>
    <n v="0"/>
    <n v="0"/>
    <n v="0"/>
    <n v="0"/>
  </r>
  <r>
    <d v="2013-07-08T00:00:00"/>
    <n v="6663"/>
    <n v="1940"/>
    <x v="0"/>
    <s v="PhD"/>
    <s v="Single"/>
    <n v="51141"/>
    <n v="0"/>
    <n v="96"/>
    <n v="144"/>
    <n v="0"/>
    <n v="7"/>
    <n v="0"/>
    <n v="0"/>
    <n v="6"/>
    <n v="157"/>
    <n v="1"/>
    <n v="3"/>
    <n v="1"/>
    <n v="4"/>
    <n v="5"/>
    <n v="0"/>
    <n v="0"/>
    <n v="0"/>
    <n v="0"/>
    <n v="0"/>
    <n v="0"/>
    <n v="0"/>
  </r>
  <r>
    <d v="2013-05-10T00:00:00"/>
    <n v="10262"/>
    <n v="1980"/>
    <x v="5"/>
    <s v="Graduation"/>
    <s v="Married"/>
    <n v="15072"/>
    <n v="2"/>
    <n v="96"/>
    <n v="8"/>
    <n v="2"/>
    <n v="15"/>
    <n v="0"/>
    <n v="10"/>
    <n v="18"/>
    <n v="53"/>
    <n v="4"/>
    <n v="3"/>
    <n v="1"/>
    <n v="3"/>
    <n v="5"/>
    <n v="0"/>
    <n v="0"/>
    <n v="0"/>
    <n v="0"/>
    <n v="0"/>
    <n v="0"/>
    <n v="0"/>
  </r>
  <r>
    <d v="2013-02-07T00:00:00"/>
    <n v="456"/>
    <n v="1986"/>
    <x v="0"/>
    <s v="2n Cycle"/>
    <s v="Married"/>
    <n v="7500"/>
    <n v="1"/>
    <n v="96"/>
    <n v="1"/>
    <n v="11"/>
    <n v="5"/>
    <n v="4"/>
    <n v="6"/>
    <n v="9"/>
    <n v="36"/>
    <n v="2"/>
    <n v="2"/>
    <n v="0"/>
    <n v="3"/>
    <n v="8"/>
    <n v="0"/>
    <n v="0"/>
    <n v="0"/>
    <n v="0"/>
    <n v="0"/>
    <n v="0"/>
    <n v="0"/>
  </r>
  <r>
    <d v="2013-01-17T00:00:00"/>
    <n v="3270"/>
    <n v="1978"/>
    <x v="6"/>
    <s v="2n Cycle"/>
    <s v="Together"/>
    <n v="17117"/>
    <n v="1"/>
    <n v="96"/>
    <n v="12"/>
    <n v="23"/>
    <n v="38"/>
    <n v="30"/>
    <n v="18"/>
    <n v="7"/>
    <n v="128"/>
    <n v="4"/>
    <n v="3"/>
    <n v="1"/>
    <n v="3"/>
    <n v="9"/>
    <n v="0"/>
    <n v="0"/>
    <n v="0"/>
    <n v="0"/>
    <n v="0"/>
    <n v="0"/>
    <n v="0"/>
  </r>
  <r>
    <d v="2012-12-01T00:00:00"/>
    <n v="5748"/>
    <n v="1965"/>
    <x v="6"/>
    <s v="Graduation"/>
    <s v="Married"/>
    <n v="59754"/>
    <n v="1"/>
    <n v="96"/>
    <n v="115"/>
    <n v="27"/>
    <n v="44"/>
    <n v="4"/>
    <n v="146"/>
    <n v="139"/>
    <n v="475"/>
    <n v="3"/>
    <n v="5"/>
    <n v="2"/>
    <n v="6"/>
    <n v="5"/>
    <n v="0"/>
    <n v="0"/>
    <n v="0"/>
    <n v="0"/>
    <n v="0"/>
    <n v="1"/>
    <n v="0"/>
  </r>
  <r>
    <d v="2012-11-05T00:00:00"/>
    <n v="8952"/>
    <n v="1953"/>
    <x v="0"/>
    <s v="Master"/>
    <s v="Married"/>
    <n v="65569"/>
    <n v="1"/>
    <n v="96"/>
    <n v="397"/>
    <n v="46"/>
    <n v="288"/>
    <n v="20"/>
    <n v="38"/>
    <n v="70"/>
    <n v="859"/>
    <n v="2"/>
    <n v="6"/>
    <n v="5"/>
    <n v="10"/>
    <n v="3"/>
    <n v="0"/>
    <n v="0"/>
    <n v="0"/>
    <n v="0"/>
    <n v="0"/>
    <n v="0"/>
    <n v="0"/>
  </r>
  <r>
    <d v="2012-10-28T00:00:00"/>
    <n v="3921"/>
    <n v="1952"/>
    <x v="0"/>
    <s v="2n Cycle"/>
    <s v="Widow"/>
    <n v="28457"/>
    <n v="0"/>
    <n v="96"/>
    <n v="24"/>
    <n v="1"/>
    <n v="108"/>
    <n v="29"/>
    <n v="29"/>
    <n v="14"/>
    <n v="205"/>
    <n v="1"/>
    <n v="4"/>
    <n v="1"/>
    <n v="4"/>
    <n v="8"/>
    <n v="0"/>
    <n v="0"/>
    <n v="0"/>
    <n v="0"/>
    <n v="0"/>
    <n v="0"/>
    <n v="0"/>
  </r>
  <r>
    <d v="2012-09-12T00:00:00"/>
    <n v="9826"/>
    <n v="1972"/>
    <x v="2"/>
    <s v="PhD"/>
    <s v="Single"/>
    <n v="86857"/>
    <n v="0"/>
    <n v="96"/>
    <n v="899"/>
    <n v="102"/>
    <n v="838"/>
    <n v="133"/>
    <n v="102"/>
    <n v="40"/>
    <n v="2114"/>
    <n v="1"/>
    <n v="5"/>
    <n v="6"/>
    <n v="10"/>
    <n v="2"/>
    <n v="0"/>
    <n v="0"/>
    <n v="0"/>
    <n v="0"/>
    <n v="0"/>
    <n v="1"/>
    <n v="0"/>
  </r>
  <r>
    <d v="2012-09-12T00:00:00"/>
    <n v="5830"/>
    <n v="1972"/>
    <x v="6"/>
    <s v="PhD"/>
    <s v="Single"/>
    <n v="86857"/>
    <n v="0"/>
    <n v="96"/>
    <n v="899"/>
    <n v="102"/>
    <n v="838"/>
    <n v="133"/>
    <n v="102"/>
    <n v="40"/>
    <n v="2114"/>
    <n v="1"/>
    <n v="5"/>
    <n v="6"/>
    <n v="10"/>
    <n v="2"/>
    <n v="0"/>
    <n v="0"/>
    <n v="0"/>
    <n v="0"/>
    <n v="0"/>
    <n v="1"/>
    <n v="0"/>
  </r>
  <r>
    <d v="2012-08-29T00:00:00"/>
    <n v="8310"/>
    <n v="1964"/>
    <x v="0"/>
    <s v="Graduation"/>
    <s v="Together"/>
    <n v="68142"/>
    <n v="1"/>
    <n v="96"/>
    <n v="897"/>
    <n v="126"/>
    <n v="196"/>
    <n v="91"/>
    <n v="112"/>
    <n v="37"/>
    <n v="1459"/>
    <n v="3"/>
    <n v="10"/>
    <n v="4"/>
    <n v="7"/>
    <n v="6"/>
    <n v="0"/>
    <n v="0"/>
    <n v="0"/>
    <n v="0"/>
    <n v="0"/>
    <n v="0"/>
    <n v="0"/>
  </r>
  <r>
    <d v="2014-06-26T00:00:00"/>
    <n v="6382"/>
    <n v="1953"/>
    <x v="2"/>
    <s v="Graduation"/>
    <s v="Together"/>
    <n v="48794"/>
    <n v="2"/>
    <n v="97"/>
    <n v="25"/>
    <n v="0"/>
    <n v="11"/>
    <n v="3"/>
    <n v="0"/>
    <n v="15"/>
    <n v="54"/>
    <n v="1"/>
    <n v="1"/>
    <n v="0"/>
    <n v="3"/>
    <n v="4"/>
    <n v="0"/>
    <n v="0"/>
    <n v="0"/>
    <n v="0"/>
    <n v="0"/>
    <n v="0"/>
    <n v="0"/>
  </r>
  <r>
    <d v="2014-06-06T00:00:00"/>
    <n v="8439"/>
    <n v="1964"/>
    <x v="0"/>
    <s v="Graduation"/>
    <s v="Together"/>
    <n v="63404"/>
    <n v="2"/>
    <n v="97"/>
    <n v="734"/>
    <n v="26"/>
    <n v="70"/>
    <n v="11"/>
    <n v="44"/>
    <n v="17"/>
    <n v="902"/>
    <n v="2"/>
    <n v="6"/>
    <n v="3"/>
    <n v="4"/>
    <n v="4"/>
    <n v="0"/>
    <n v="0"/>
    <n v="0"/>
    <n v="1"/>
    <n v="0"/>
    <n v="0"/>
    <n v="0"/>
  </r>
  <r>
    <d v="2014-05-24T00:00:00"/>
    <n v="7613"/>
    <n v="1974"/>
    <x v="0"/>
    <s v="2n Cycle"/>
    <s v="Together"/>
    <n v="49669"/>
    <n v="1"/>
    <n v="97"/>
    <n v="166"/>
    <n v="5"/>
    <n v="107"/>
    <n v="11"/>
    <n v="8"/>
    <n v="29"/>
    <n v="326"/>
    <n v="2"/>
    <n v="5"/>
    <n v="1"/>
    <n v="6"/>
    <n v="6"/>
    <n v="0"/>
    <n v="0"/>
    <n v="0"/>
    <n v="0"/>
    <n v="0"/>
    <n v="0"/>
    <n v="0"/>
  </r>
  <r>
    <d v="2014-04-24T00:00:00"/>
    <n v="48"/>
    <n v="1964"/>
    <x v="0"/>
    <s v="Graduation"/>
    <s v="Together"/>
    <n v="55761"/>
    <n v="1"/>
    <n v="97"/>
    <n v="136"/>
    <n v="1"/>
    <n v="12"/>
    <n v="0"/>
    <n v="3"/>
    <n v="32"/>
    <n v="184"/>
    <n v="2"/>
    <n v="4"/>
    <n v="1"/>
    <n v="3"/>
    <n v="6"/>
    <n v="0"/>
    <n v="1"/>
    <n v="0"/>
    <n v="0"/>
    <n v="0"/>
    <n v="0"/>
    <n v="0"/>
  </r>
  <r>
    <d v="2014-01-23T00:00:00"/>
    <n v="5046"/>
    <n v="1958"/>
    <x v="6"/>
    <s v="Graduation"/>
    <s v="Divorced"/>
    <n v="78331"/>
    <n v="1"/>
    <n v="97"/>
    <n v="756"/>
    <n v="138"/>
    <n v="354"/>
    <n v="160"/>
    <n v="169"/>
    <n v="61"/>
    <n v="1638"/>
    <n v="2"/>
    <n v="10"/>
    <n v="6"/>
    <n v="7"/>
    <n v="4"/>
    <n v="0"/>
    <n v="0"/>
    <n v="0"/>
    <n v="0"/>
    <n v="0"/>
    <n v="0"/>
    <n v="0"/>
  </r>
  <r>
    <d v="2013-11-25T00:00:00"/>
    <n v="3231"/>
    <n v="1973"/>
    <x v="2"/>
    <s v="Graduation"/>
    <s v="Married"/>
    <n v="37971"/>
    <n v="1"/>
    <n v="97"/>
    <n v="5"/>
    <n v="4"/>
    <n v="10"/>
    <n v="2"/>
    <n v="2"/>
    <n v="7"/>
    <n v="30"/>
    <n v="1"/>
    <n v="1"/>
    <n v="0"/>
    <n v="3"/>
    <n v="8"/>
    <n v="0"/>
    <n v="0"/>
    <n v="0"/>
    <n v="0"/>
    <n v="0"/>
    <n v="0"/>
    <n v="0"/>
  </r>
  <r>
    <d v="2013-11-07T00:00:00"/>
    <n v="7181"/>
    <n v="1977"/>
    <x v="0"/>
    <s v="Graduation"/>
    <s v="Married"/>
    <n v="30368"/>
    <n v="1"/>
    <n v="97"/>
    <n v="35"/>
    <n v="0"/>
    <n v="13"/>
    <n v="2"/>
    <n v="0"/>
    <n v="2"/>
    <n v="52"/>
    <n v="2"/>
    <n v="2"/>
    <n v="0"/>
    <n v="3"/>
    <n v="8"/>
    <n v="0"/>
    <n v="0"/>
    <n v="0"/>
    <n v="0"/>
    <n v="0"/>
    <n v="0"/>
    <n v="0"/>
  </r>
  <r>
    <d v="2013-10-25T00:00:00"/>
    <n v="1663"/>
    <n v="1978"/>
    <x v="0"/>
    <s v="PhD"/>
    <s v="Together"/>
    <n v="34043"/>
    <n v="1"/>
    <n v="97"/>
    <n v="20"/>
    <n v="2"/>
    <n v="14"/>
    <n v="3"/>
    <n v="0"/>
    <n v="10"/>
    <n v="49"/>
    <n v="1"/>
    <n v="2"/>
    <n v="0"/>
    <n v="2"/>
    <n v="9"/>
    <n v="0"/>
    <n v="0"/>
    <n v="0"/>
    <n v="0"/>
    <n v="0"/>
    <n v="0"/>
    <n v="0"/>
  </r>
  <r>
    <d v="2013-08-25T00:00:00"/>
    <n v="5441"/>
    <n v="1965"/>
    <x v="0"/>
    <s v="PhD"/>
    <s v="Widow"/>
    <n v="54111"/>
    <n v="1"/>
    <n v="97"/>
    <n v="267"/>
    <n v="6"/>
    <n v="54"/>
    <n v="8"/>
    <n v="3"/>
    <n v="50"/>
    <n v="388"/>
    <n v="2"/>
    <n v="5"/>
    <n v="2"/>
    <n v="6"/>
    <n v="5"/>
    <n v="0"/>
    <n v="0"/>
    <n v="0"/>
    <n v="0"/>
    <n v="0"/>
    <n v="0"/>
    <n v="0"/>
  </r>
  <r>
    <d v="2013-06-12T00:00:00"/>
    <n v="8602"/>
    <n v="1964"/>
    <x v="0"/>
    <s v="Graduation"/>
    <s v="Divorced"/>
    <n v="69932"/>
    <n v="1"/>
    <n v="97"/>
    <n v="412"/>
    <n v="172"/>
    <n v="153"/>
    <n v="150"/>
    <n v="105"/>
    <n v="57"/>
    <n v="1049"/>
    <n v="2"/>
    <n v="7"/>
    <n v="6"/>
    <n v="11"/>
    <n v="4"/>
    <n v="0"/>
    <n v="0"/>
    <n v="0"/>
    <n v="0"/>
    <n v="0"/>
    <n v="0"/>
    <n v="0"/>
  </r>
  <r>
    <d v="2013-05-25T00:00:00"/>
    <n v="9925"/>
    <n v="1981"/>
    <x v="0"/>
    <s v="PhD"/>
    <s v="Together"/>
    <n v="39665"/>
    <n v="1"/>
    <n v="97"/>
    <n v="127"/>
    <n v="1"/>
    <n v="56"/>
    <n v="0"/>
    <n v="1"/>
    <n v="31"/>
    <n v="216"/>
    <n v="3"/>
    <n v="4"/>
    <n v="2"/>
    <n v="3"/>
    <n v="7"/>
    <n v="1"/>
    <n v="0"/>
    <n v="0"/>
    <n v="0"/>
    <n v="0"/>
    <n v="0"/>
    <n v="0"/>
  </r>
  <r>
    <d v="2013-05-07T00:00:00"/>
    <n v="9499"/>
    <n v="1954"/>
    <x v="1"/>
    <s v="Graduation"/>
    <s v="Married"/>
    <n v="93404"/>
    <n v="3"/>
    <n v="97"/>
    <n v="1279"/>
    <n v="15"/>
    <n v="287"/>
    <n v="20"/>
    <n v="0"/>
    <n v="15"/>
    <n v="1616"/>
    <n v="3"/>
    <n v="3"/>
    <n v="4"/>
    <n v="7"/>
    <n v="5"/>
    <n v="0"/>
    <n v="1"/>
    <n v="1"/>
    <n v="0"/>
    <n v="0"/>
    <n v="0"/>
    <n v="0"/>
  </r>
  <r>
    <d v="2013-03-28T00:00:00"/>
    <n v="6568"/>
    <n v="1984"/>
    <x v="2"/>
    <s v="Graduation"/>
    <s v="Married"/>
    <n v="38680"/>
    <n v="1"/>
    <n v="97"/>
    <n v="11"/>
    <n v="0"/>
    <n v="36"/>
    <n v="15"/>
    <n v="5"/>
    <n v="12"/>
    <n v="79"/>
    <n v="1"/>
    <n v="2"/>
    <n v="0"/>
    <n v="3"/>
    <n v="7"/>
    <n v="0"/>
    <n v="0"/>
    <n v="0"/>
    <n v="0"/>
    <n v="0"/>
    <n v="0"/>
    <n v="0"/>
  </r>
  <r>
    <d v="2013-02-27T00:00:00"/>
    <n v="3032"/>
    <n v="1984"/>
    <x v="0"/>
    <s v="Graduation"/>
    <s v="Married"/>
    <n v="24570"/>
    <n v="1"/>
    <n v="97"/>
    <n v="28"/>
    <n v="34"/>
    <n v="62"/>
    <n v="11"/>
    <n v="14"/>
    <n v="44"/>
    <n v="193"/>
    <n v="3"/>
    <n v="4"/>
    <n v="0"/>
    <n v="4"/>
    <n v="9"/>
    <n v="0"/>
    <n v="0"/>
    <n v="0"/>
    <n v="0"/>
    <n v="0"/>
    <n v="0"/>
    <n v="0"/>
  </r>
  <r>
    <d v="2013-02-22T00:00:00"/>
    <n v="5153"/>
    <n v="1967"/>
    <x v="0"/>
    <s v="PhD"/>
    <s v="Married"/>
    <n v="77766"/>
    <n v="1"/>
    <n v="97"/>
    <n v="1004"/>
    <n v="59"/>
    <n v="265"/>
    <n v="115"/>
    <n v="59"/>
    <n v="27"/>
    <n v="1529"/>
    <n v="2"/>
    <n v="11"/>
    <n v="10"/>
    <n v="11"/>
    <n v="6"/>
    <n v="1"/>
    <n v="0"/>
    <n v="0"/>
    <n v="0"/>
    <n v="0"/>
    <n v="1"/>
    <n v="0"/>
  </r>
  <r>
    <d v="2013-02-22T00:00:00"/>
    <n v="4127"/>
    <n v="1967"/>
    <x v="0"/>
    <s v="PhD"/>
    <s v="Married"/>
    <n v="77766"/>
    <n v="1"/>
    <n v="97"/>
    <n v="1004"/>
    <n v="59"/>
    <n v="265"/>
    <n v="115"/>
    <n v="59"/>
    <n v="27"/>
    <n v="1529"/>
    <n v="2"/>
    <n v="11"/>
    <n v="10"/>
    <n v="11"/>
    <n v="6"/>
    <n v="1"/>
    <n v="0"/>
    <n v="0"/>
    <n v="0"/>
    <n v="0"/>
    <n v="1"/>
    <n v="0"/>
  </r>
  <r>
    <d v="2012-12-23T00:00:00"/>
    <n v="9940"/>
    <n v="1958"/>
    <x v="6"/>
    <s v="Graduation"/>
    <s v="Together"/>
    <n v="64961"/>
    <n v="1"/>
    <n v="97"/>
    <n v="382"/>
    <n v="114"/>
    <n v="276"/>
    <n v="75"/>
    <n v="124"/>
    <n v="38"/>
    <n v="1009"/>
    <n v="2"/>
    <n v="6"/>
    <n v="4"/>
    <n v="4"/>
    <n v="3"/>
    <n v="0"/>
    <n v="0"/>
    <n v="0"/>
    <n v="0"/>
    <n v="0"/>
    <n v="0"/>
    <n v="0"/>
  </r>
  <r>
    <d v="2012-11-21T00:00:00"/>
    <n v="7527"/>
    <n v="1968"/>
    <x v="0"/>
    <s v="Master"/>
    <s v="Divorced"/>
    <n v="23748"/>
    <n v="1"/>
    <n v="97"/>
    <n v="6"/>
    <n v="6"/>
    <n v="29"/>
    <n v="12"/>
    <n v="15"/>
    <n v="8"/>
    <n v="76"/>
    <n v="3"/>
    <n v="2"/>
    <n v="1"/>
    <n v="3"/>
    <n v="8"/>
    <n v="0"/>
    <n v="0"/>
    <n v="0"/>
    <n v="0"/>
    <n v="0"/>
    <n v="0"/>
    <n v="0"/>
  </r>
  <r>
    <d v="2012-10-22T00:00:00"/>
    <n v="3406"/>
    <n v="1964"/>
    <x v="6"/>
    <s v="Graduation"/>
    <s v="Single"/>
    <n v="45989"/>
    <n v="1"/>
    <n v="97"/>
    <n v="138"/>
    <n v="33"/>
    <n v="87"/>
    <n v="28"/>
    <n v="24"/>
    <n v="12"/>
    <n v="322"/>
    <n v="4"/>
    <n v="3"/>
    <n v="2"/>
    <n v="7"/>
    <n v="3"/>
    <n v="0"/>
    <n v="0"/>
    <n v="0"/>
    <n v="0"/>
    <n v="0"/>
    <n v="0"/>
    <n v="0"/>
  </r>
  <r>
    <d v="2012-10-05T00:00:00"/>
    <n v="9771"/>
    <n v="1988"/>
    <x v="5"/>
    <s v="2n Cycle"/>
    <s v="Single"/>
    <n v="23331"/>
    <n v="1"/>
    <n v="97"/>
    <n v="104"/>
    <n v="20"/>
    <n v="101"/>
    <n v="24"/>
    <n v="15"/>
    <n v="5"/>
    <n v="269"/>
    <n v="6"/>
    <n v="5"/>
    <n v="1"/>
    <n v="5"/>
    <n v="9"/>
    <n v="0"/>
    <n v="0"/>
    <n v="0"/>
    <n v="0"/>
    <n v="0"/>
    <n v="0"/>
    <n v="0"/>
  </r>
  <r>
    <d v="2014-06-28T00:00:00"/>
    <n v="6722"/>
    <n v="1954"/>
    <x v="1"/>
    <s v="PhD"/>
    <s v="Married"/>
    <n v="70421"/>
    <n v="1"/>
    <n v="98"/>
    <n v="479"/>
    <n v="28"/>
    <n v="136"/>
    <n v="75"/>
    <n v="14"/>
    <n v="35"/>
    <n v="767"/>
    <n v="3"/>
    <n v="10"/>
    <n v="3"/>
    <n v="7"/>
    <n v="6"/>
    <n v="0"/>
    <n v="0"/>
    <n v="0"/>
    <n v="0"/>
    <n v="0"/>
    <n v="0"/>
    <n v="0"/>
  </r>
  <r>
    <d v="2014-05-28T00:00:00"/>
    <n v="213"/>
    <n v="1963"/>
    <x v="0"/>
    <s v="PhD"/>
    <s v="Single"/>
    <n v="23091"/>
    <n v="2"/>
    <n v="98"/>
    <n v="35"/>
    <n v="0"/>
    <n v="11"/>
    <n v="0"/>
    <n v="0"/>
    <n v="2"/>
    <n v="48"/>
    <n v="4"/>
    <n v="2"/>
    <n v="1"/>
    <n v="3"/>
    <n v="7"/>
    <n v="0"/>
    <n v="0"/>
    <n v="0"/>
    <n v="0"/>
    <n v="0"/>
    <n v="0"/>
    <n v="0"/>
  </r>
  <r>
    <d v="2014-03-08T00:00:00"/>
    <n v="8541"/>
    <n v="1990"/>
    <x v="0"/>
    <s v="2n Cycle"/>
    <s v="Married"/>
    <n v="24683"/>
    <n v="1"/>
    <n v="98"/>
    <n v="8"/>
    <n v="4"/>
    <n v="10"/>
    <n v="6"/>
    <n v="7"/>
    <n v="6"/>
    <n v="41"/>
    <n v="2"/>
    <n v="2"/>
    <n v="0"/>
    <n v="4"/>
    <n v="5"/>
    <n v="0"/>
    <n v="0"/>
    <n v="0"/>
    <n v="0"/>
    <n v="0"/>
    <n v="0"/>
    <n v="0"/>
  </r>
  <r>
    <d v="2014-03-01T00:00:00"/>
    <n v="8475"/>
    <n v="1973"/>
    <x v="5"/>
    <s v="PhD"/>
    <s v="Married"/>
    <n v="157243"/>
    <n v="1"/>
    <n v="98"/>
    <n v="20"/>
    <n v="2"/>
    <n v="1582"/>
    <n v="1"/>
    <n v="2"/>
    <n v="1"/>
    <n v="1608"/>
    <n v="15"/>
    <n v="0"/>
    <n v="22"/>
    <n v="0"/>
    <n v="0"/>
    <n v="0"/>
    <n v="0"/>
    <n v="0"/>
    <n v="0"/>
    <n v="0"/>
    <n v="0"/>
    <n v="0"/>
  </r>
  <r>
    <d v="2014-03-01T00:00:00"/>
    <n v="8070"/>
    <n v="1973"/>
    <x v="0"/>
    <s v="PhD"/>
    <s v="Married"/>
    <n v="54222"/>
    <n v="1"/>
    <n v="98"/>
    <n v="199"/>
    <n v="12"/>
    <n v="31"/>
    <n v="3"/>
    <n v="12"/>
    <n v="7"/>
    <n v="264"/>
    <n v="1"/>
    <n v="3"/>
    <n v="3"/>
    <n v="5"/>
    <n v="3"/>
    <n v="0"/>
    <n v="0"/>
    <n v="0"/>
    <n v="0"/>
    <n v="0"/>
    <n v="0"/>
    <n v="0"/>
  </r>
  <r>
    <d v="2013-10-28T00:00:00"/>
    <n v="313"/>
    <n v="1968"/>
    <x v="6"/>
    <s v="Graduation"/>
    <s v="Widow"/>
    <n v="73455"/>
    <n v="0"/>
    <n v="98"/>
    <n v="901"/>
    <n v="61"/>
    <n v="757"/>
    <n v="186"/>
    <n v="163"/>
    <n v="20"/>
    <n v="2088"/>
    <n v="1"/>
    <n v="6"/>
    <n v="5"/>
    <n v="10"/>
    <n v="3"/>
    <n v="0"/>
    <n v="1"/>
    <n v="0"/>
    <n v="0"/>
    <n v="0"/>
    <n v="0"/>
    <n v="0"/>
  </r>
  <r>
    <d v="2013-10-04T00:00:00"/>
    <n v="9757"/>
    <n v="1972"/>
    <x v="0"/>
    <s v="Graduation"/>
    <s v="Together"/>
    <n v="84906"/>
    <n v="0"/>
    <n v="98"/>
    <n v="997"/>
    <n v="15"/>
    <n v="414"/>
    <n v="99"/>
    <n v="30"/>
    <n v="76"/>
    <n v="1631"/>
    <n v="1"/>
    <n v="5"/>
    <n v="6"/>
    <n v="12"/>
    <n v="2"/>
    <n v="0"/>
    <n v="1"/>
    <n v="1"/>
    <n v="0"/>
    <n v="1"/>
    <n v="0"/>
    <n v="0"/>
  </r>
  <r>
    <d v="2013-10-04T00:00:00"/>
    <n v="2088"/>
    <n v="1972"/>
    <x v="4"/>
    <s v="Graduation"/>
    <s v="Together"/>
    <n v="84906"/>
    <n v="0"/>
    <n v="98"/>
    <n v="997"/>
    <n v="15"/>
    <n v="414"/>
    <n v="99"/>
    <n v="30"/>
    <n v="76"/>
    <n v="1631"/>
    <n v="1"/>
    <n v="5"/>
    <n v="6"/>
    <n v="12"/>
    <n v="2"/>
    <n v="0"/>
    <n v="1"/>
    <n v="1"/>
    <n v="0"/>
    <n v="1"/>
    <n v="0"/>
    <n v="0"/>
  </r>
  <r>
    <d v="2013-09-12T00:00:00"/>
    <n v="2320"/>
    <n v="1978"/>
    <x v="0"/>
    <s v="2n Cycle"/>
    <s v="Married"/>
    <n v="47025"/>
    <n v="1"/>
    <n v="98"/>
    <n v="508"/>
    <n v="11"/>
    <n v="59"/>
    <n v="23"/>
    <n v="5"/>
    <n v="29"/>
    <n v="635"/>
    <n v="5"/>
    <n v="11"/>
    <n v="1"/>
    <n v="6"/>
    <n v="9"/>
    <n v="0"/>
    <n v="0"/>
    <n v="0"/>
    <n v="0"/>
    <n v="0"/>
    <n v="0"/>
    <n v="0"/>
  </r>
  <r>
    <d v="2013-07-05T00:00:00"/>
    <n v="966"/>
    <n v="1966"/>
    <x v="0"/>
    <s v="Graduation"/>
    <s v="Married"/>
    <n v="44529"/>
    <n v="1"/>
    <n v="98"/>
    <n v="538"/>
    <n v="13"/>
    <n v="91"/>
    <n v="17"/>
    <n v="6"/>
    <n v="26"/>
    <n v="691"/>
    <n v="6"/>
    <n v="6"/>
    <n v="2"/>
    <n v="11"/>
    <n v="5"/>
    <n v="0"/>
    <n v="1"/>
    <n v="0"/>
    <n v="0"/>
    <n v="0"/>
    <n v="0"/>
    <n v="0"/>
  </r>
  <r>
    <d v="2013-06-24T00:00:00"/>
    <n v="9706"/>
    <n v="1974"/>
    <x v="1"/>
    <s v="PhD"/>
    <s v="Single"/>
    <n v="31560"/>
    <n v="1"/>
    <n v="98"/>
    <n v="62"/>
    <n v="1"/>
    <n v="20"/>
    <n v="4"/>
    <n v="0"/>
    <n v="7"/>
    <n v="94"/>
    <n v="2"/>
    <n v="2"/>
    <n v="1"/>
    <n v="3"/>
    <n v="8"/>
    <n v="0"/>
    <n v="0"/>
    <n v="0"/>
    <n v="0"/>
    <n v="0"/>
    <n v="0"/>
    <n v="0"/>
  </r>
  <r>
    <d v="2013-05-22T00:00:00"/>
    <n v="3979"/>
    <n v="1983"/>
    <x v="0"/>
    <s v="PhD"/>
    <s v="Divorced"/>
    <n v="90687"/>
    <n v="0"/>
    <n v="98"/>
    <n v="982"/>
    <n v="17"/>
    <n v="672"/>
    <n v="23"/>
    <n v="34"/>
    <n v="51"/>
    <n v="1779"/>
    <n v="1"/>
    <n v="6"/>
    <n v="2"/>
    <n v="8"/>
    <n v="2"/>
    <n v="0"/>
    <n v="0"/>
    <n v="1"/>
    <n v="0"/>
    <n v="0"/>
    <n v="1"/>
    <n v="0"/>
  </r>
  <r>
    <d v="2013-05-17T00:00:00"/>
    <n v="5602"/>
    <n v="1989"/>
    <x v="5"/>
    <s v="PhD"/>
    <s v="Together"/>
    <n v="66973"/>
    <n v="0"/>
    <n v="98"/>
    <n v="466"/>
    <n v="22"/>
    <n v="432"/>
    <n v="147"/>
    <n v="113"/>
    <n v="102"/>
    <n v="1282"/>
    <n v="1"/>
    <n v="8"/>
    <n v="7"/>
    <n v="12"/>
    <n v="3"/>
    <n v="0"/>
    <n v="0"/>
    <n v="0"/>
    <n v="0"/>
    <n v="0"/>
    <n v="0"/>
    <n v="0"/>
  </r>
  <r>
    <d v="2013-04-09T00:00:00"/>
    <n v="2202"/>
    <n v="1978"/>
    <x v="0"/>
    <s v="Graduation"/>
    <s v="Together"/>
    <n v="41154"/>
    <n v="1"/>
    <n v="98"/>
    <n v="44"/>
    <n v="2"/>
    <n v="11"/>
    <n v="2"/>
    <n v="3"/>
    <n v="7"/>
    <n v="69"/>
    <n v="1"/>
    <n v="1"/>
    <n v="0"/>
    <n v="4"/>
    <n v="5"/>
    <n v="0"/>
    <n v="0"/>
    <n v="0"/>
    <n v="0"/>
    <n v="0"/>
    <n v="0"/>
    <n v="0"/>
  </r>
  <r>
    <d v="2012-10-14T00:00:00"/>
    <n v="9645"/>
    <n v="1968"/>
    <x v="0"/>
    <s v="Graduation"/>
    <s v="Married"/>
    <n v="64590"/>
    <n v="0"/>
    <n v="98"/>
    <n v="920"/>
    <n v="138"/>
    <n v="168"/>
    <n v="36"/>
    <n v="46"/>
    <n v="30"/>
    <n v="1338"/>
    <n v="1"/>
    <n v="9"/>
    <n v="4"/>
    <n v="10"/>
    <n v="6"/>
    <n v="0"/>
    <n v="0"/>
    <n v="0"/>
    <n v="0"/>
    <n v="0"/>
    <n v="0"/>
    <n v="0"/>
  </r>
  <r>
    <d v="2012-10-04T00:00:00"/>
    <n v="7230"/>
    <n v="1960"/>
    <x v="2"/>
    <s v="PhD"/>
    <s v="Divorced"/>
    <n v="50611"/>
    <n v="1"/>
    <n v="98"/>
    <n v="459"/>
    <n v="0"/>
    <n v="24"/>
    <n v="6"/>
    <n v="0"/>
    <n v="4"/>
    <n v="493"/>
    <n v="6"/>
    <n v="4"/>
    <n v="5"/>
    <n v="7"/>
    <n v="6"/>
    <n v="0"/>
    <n v="1"/>
    <n v="0"/>
    <n v="0"/>
    <n v="0"/>
    <n v="1"/>
    <n v="0"/>
  </r>
  <r>
    <d v="2012-10-04T00:00:00"/>
    <n v="5675"/>
    <n v="1960"/>
    <x v="2"/>
    <s v="PhD"/>
    <s v="Divorced"/>
    <n v="50611"/>
    <n v="1"/>
    <n v="98"/>
    <n v="459"/>
    <n v="0"/>
    <n v="24"/>
    <n v="6"/>
    <n v="0"/>
    <n v="4"/>
    <n v="493"/>
    <n v="6"/>
    <n v="4"/>
    <n v="5"/>
    <n v="7"/>
    <n v="6"/>
    <n v="0"/>
    <n v="1"/>
    <n v="0"/>
    <n v="0"/>
    <n v="0"/>
    <n v="0"/>
    <n v="0"/>
  </r>
  <r>
    <d v="2012-09-25T00:00:00"/>
    <n v="4974"/>
    <n v="1970"/>
    <x v="2"/>
    <s v="Graduation"/>
    <s v="Single"/>
    <n v="83273"/>
    <n v="3"/>
    <n v="98"/>
    <n v="433"/>
    <n v="89"/>
    <n v="650"/>
    <n v="16"/>
    <n v="102"/>
    <n v="102"/>
    <n v="1392"/>
    <n v="10"/>
    <n v="4"/>
    <n v="6"/>
    <n v="9"/>
    <n v="7"/>
    <n v="0"/>
    <n v="0"/>
    <n v="0"/>
    <n v="0"/>
    <n v="0"/>
    <n v="0"/>
    <n v="0"/>
  </r>
  <r>
    <d v="2012-09-23T00:00:00"/>
    <n v="5687"/>
    <n v="1980"/>
    <x v="1"/>
    <s v="Graduation"/>
    <s v="Divorced"/>
    <n v="81702"/>
    <n v="0"/>
    <n v="98"/>
    <n v="563"/>
    <n v="50"/>
    <n v="774"/>
    <n v="28"/>
    <n v="31"/>
    <n v="187"/>
    <n v="1633"/>
    <n v="1"/>
    <n v="7"/>
    <n v="7"/>
    <n v="12"/>
    <n v="3"/>
    <n v="0"/>
    <n v="0"/>
    <n v="0"/>
    <n v="0"/>
    <n v="0"/>
    <n v="0"/>
    <n v="0"/>
  </r>
  <r>
    <d v="2012-08-31T00:00:00"/>
    <n v="5871"/>
    <n v="1979"/>
    <x v="6"/>
    <s v="Master"/>
    <s v="Together"/>
    <n v="24401"/>
    <n v="0"/>
    <n v="98"/>
    <n v="73"/>
    <n v="28"/>
    <n v="217"/>
    <n v="10"/>
    <n v="24"/>
    <n v="115"/>
    <n v="467"/>
    <n v="3"/>
    <n v="6"/>
    <n v="1"/>
    <n v="6"/>
    <n v="8"/>
    <n v="0"/>
    <n v="0"/>
    <n v="0"/>
    <n v="0"/>
    <n v="0"/>
    <n v="0"/>
    <n v="0"/>
  </r>
  <r>
    <d v="2012-08-29T00:00:00"/>
    <n v="3846"/>
    <n v="1974"/>
    <x v="0"/>
    <s v="Graduation"/>
    <s v="Married"/>
    <n v="42557"/>
    <n v="1"/>
    <n v="98"/>
    <n v="192"/>
    <n v="5"/>
    <n v="53"/>
    <n v="0"/>
    <n v="5"/>
    <n v="15"/>
    <n v="270"/>
    <n v="4"/>
    <n v="6"/>
    <n v="1"/>
    <n v="4"/>
    <n v="8"/>
    <n v="0"/>
    <n v="0"/>
    <n v="0"/>
    <n v="0"/>
    <n v="0"/>
    <n v="0"/>
    <n v="0"/>
  </r>
  <r>
    <d v="2012-08-01T00:00:00"/>
    <n v="10001"/>
    <n v="1985"/>
    <x v="0"/>
    <s v="2n Cycle"/>
    <s v="Together"/>
    <n v="7500"/>
    <n v="1"/>
    <n v="98"/>
    <n v="5"/>
    <n v="17"/>
    <n v="17"/>
    <n v="13"/>
    <n v="14"/>
    <n v="34"/>
    <n v="100"/>
    <n v="4"/>
    <n v="2"/>
    <n v="1"/>
    <n v="3"/>
    <n v="9"/>
    <n v="0"/>
    <n v="0"/>
    <n v="0"/>
    <n v="0"/>
    <n v="0"/>
    <n v="0"/>
    <n v="0"/>
  </r>
  <r>
    <d v="2014-06-27T00:00:00"/>
    <n v="2831"/>
    <n v="1976"/>
    <x v="0"/>
    <s v="Graduation"/>
    <s v="Together"/>
    <n v="78416"/>
    <n v="1"/>
    <n v="99"/>
    <n v="453"/>
    <n v="38"/>
    <n v="279"/>
    <n v="188"/>
    <n v="38"/>
    <n v="183"/>
    <n v="1179"/>
    <n v="2"/>
    <n v="7"/>
    <n v="7"/>
    <n v="10"/>
    <n v="3"/>
    <n v="0"/>
    <n v="0"/>
    <n v="0"/>
    <n v="0"/>
    <n v="0"/>
    <n v="0"/>
    <n v="0"/>
  </r>
  <r>
    <d v="2014-06-08T00:00:00"/>
    <n v="868"/>
    <n v="1966"/>
    <x v="6"/>
    <s v="Graduation"/>
    <s v="Married"/>
    <n v="44794"/>
    <n v="1"/>
    <n v="99"/>
    <n v="54"/>
    <n v="0"/>
    <n v="7"/>
    <n v="0"/>
    <n v="0"/>
    <n v="4"/>
    <n v="65"/>
    <n v="1"/>
    <n v="2"/>
    <n v="0"/>
    <n v="3"/>
    <n v="6"/>
    <n v="0"/>
    <n v="0"/>
    <n v="0"/>
    <n v="0"/>
    <n v="0"/>
    <n v="0"/>
    <n v="0"/>
  </r>
  <r>
    <d v="2014-06-08T00:00:00"/>
    <n v="7212"/>
    <n v="1966"/>
    <x v="3"/>
    <s v="Graduation"/>
    <s v="Married"/>
    <n v="44794"/>
    <n v="1"/>
    <n v="99"/>
    <n v="54"/>
    <n v="0"/>
    <n v="7"/>
    <n v="0"/>
    <n v="0"/>
    <n v="4"/>
    <n v="65"/>
    <n v="1"/>
    <n v="2"/>
    <n v="0"/>
    <n v="3"/>
    <n v="6"/>
    <n v="0"/>
    <n v="0"/>
    <n v="0"/>
    <n v="0"/>
    <n v="0"/>
    <n v="0"/>
    <n v="0"/>
  </r>
  <r>
    <d v="2014-05-26T00:00:00"/>
    <n v="1743"/>
    <n v="1974"/>
    <x v="0"/>
    <s v="Graduation"/>
    <s v="Single"/>
    <n v="69719"/>
    <n v="0"/>
    <n v="99"/>
    <n v="273"/>
    <n v="86"/>
    <n v="208"/>
    <n v="177"/>
    <n v="14"/>
    <n v="43"/>
    <n v="801"/>
    <n v="1"/>
    <n v="2"/>
    <n v="3"/>
    <n v="5"/>
    <n v="1"/>
    <n v="0"/>
    <n v="0"/>
    <n v="0"/>
    <n v="0"/>
    <n v="0"/>
    <n v="0"/>
    <n v="0"/>
  </r>
  <r>
    <d v="2014-04-07T00:00:00"/>
    <n v="2415"/>
    <n v="1962"/>
    <x v="0"/>
    <s v="Graduation"/>
    <s v="Together"/>
    <n v="62568"/>
    <n v="1"/>
    <n v="99"/>
    <n v="362"/>
    <n v="17"/>
    <n v="398"/>
    <n v="80"/>
    <n v="35"/>
    <n v="61"/>
    <n v="953"/>
    <n v="3"/>
    <n v="5"/>
    <n v="3"/>
    <n v="5"/>
    <n v="4"/>
    <n v="0"/>
    <n v="0"/>
    <n v="0"/>
    <n v="1"/>
    <n v="0"/>
    <n v="0"/>
    <n v="0"/>
  </r>
  <r>
    <d v="2014-03-25T00:00:00"/>
    <n v="7947"/>
    <n v="1969"/>
    <x v="0"/>
    <s v="Graduation"/>
    <s v="Married"/>
    <n v="42231"/>
    <n v="2"/>
    <n v="99"/>
    <n v="24"/>
    <n v="0"/>
    <n v="8"/>
    <n v="0"/>
    <n v="1"/>
    <n v="4"/>
    <n v="37"/>
    <n v="1"/>
    <n v="1"/>
    <n v="0"/>
    <n v="3"/>
    <n v="5"/>
    <n v="0"/>
    <n v="0"/>
    <n v="0"/>
    <n v="0"/>
    <n v="0"/>
    <n v="0"/>
    <n v="0"/>
  </r>
  <r>
    <d v="2014-03-17T00:00:00"/>
    <n v="2106"/>
    <n v="1974"/>
    <x v="0"/>
    <s v="2n Cycle"/>
    <s v="Married"/>
    <n v="20130"/>
    <n v="0"/>
    <n v="99"/>
    <n v="0"/>
    <n v="6"/>
    <n v="3"/>
    <n v="7"/>
    <n v="6"/>
    <n v="12"/>
    <n v="34"/>
    <n v="1"/>
    <n v="1"/>
    <n v="0"/>
    <n v="3"/>
    <n v="8"/>
    <n v="0"/>
    <n v="0"/>
    <n v="0"/>
    <n v="0"/>
    <n v="0"/>
    <n v="0"/>
    <n v="0"/>
  </r>
  <r>
    <d v="2014-03-17T00:00:00"/>
    <n v="3363"/>
    <n v="1974"/>
    <x v="0"/>
    <s v="2n Cycle"/>
    <s v="Married"/>
    <n v="20130"/>
    <n v="0"/>
    <n v="99"/>
    <n v="0"/>
    <n v="6"/>
    <n v="3"/>
    <n v="7"/>
    <n v="6"/>
    <n v="12"/>
    <n v="34"/>
    <n v="1"/>
    <n v="1"/>
    <n v="0"/>
    <n v="3"/>
    <n v="8"/>
    <n v="0"/>
    <n v="0"/>
    <n v="0"/>
    <n v="0"/>
    <n v="0"/>
    <n v="0"/>
    <n v="0"/>
  </r>
  <r>
    <d v="2014-02-11T00:00:00"/>
    <n v="8595"/>
    <n v="1973"/>
    <x v="3"/>
    <s v="Graduation"/>
    <s v="Widow"/>
    <n v="42429"/>
    <n v="1"/>
    <n v="99"/>
    <n v="55"/>
    <n v="0"/>
    <n v="6"/>
    <n v="2"/>
    <n v="0"/>
    <n v="4"/>
    <n v="67"/>
    <n v="2"/>
    <n v="1"/>
    <n v="1"/>
    <n v="3"/>
    <n v="5"/>
    <n v="0"/>
    <n v="0"/>
    <n v="0"/>
    <n v="0"/>
    <n v="0"/>
    <n v="0"/>
    <n v="0"/>
  </r>
  <r>
    <d v="2014-02-11T00:00:00"/>
    <n v="7232"/>
    <n v="1973"/>
    <x v="0"/>
    <s v="Graduation"/>
    <s v="Widow"/>
    <n v="42429"/>
    <n v="1"/>
    <n v="99"/>
    <n v="55"/>
    <n v="0"/>
    <n v="6"/>
    <n v="2"/>
    <n v="0"/>
    <n v="4"/>
    <n v="67"/>
    <n v="2"/>
    <n v="1"/>
    <n v="1"/>
    <n v="3"/>
    <n v="5"/>
    <n v="0"/>
    <n v="0"/>
    <n v="0"/>
    <n v="0"/>
    <n v="0"/>
    <n v="0"/>
    <n v="0"/>
  </r>
  <r>
    <d v="2013-09-26T00:00:00"/>
    <n v="7829"/>
    <n v="1900"/>
    <x v="5"/>
    <s v="2n Cycle"/>
    <s v="Divorced"/>
    <n v="36640"/>
    <n v="1"/>
    <n v="99"/>
    <n v="15"/>
    <n v="6"/>
    <n v="8"/>
    <n v="7"/>
    <n v="4"/>
    <n v="25"/>
    <n v="65"/>
    <n v="1"/>
    <n v="2"/>
    <n v="1"/>
    <n v="2"/>
    <n v="5"/>
    <n v="0"/>
    <n v="0"/>
    <n v="0"/>
    <n v="0"/>
    <n v="0"/>
    <n v="0"/>
    <n v="1"/>
  </r>
  <r>
    <d v="2013-09-17T00:00:00"/>
    <n v="9977"/>
    <n v="1973"/>
    <x v="2"/>
    <s v="Graduation"/>
    <s v="Divorced"/>
    <n v="78901"/>
    <n v="1"/>
    <n v="99"/>
    <n v="321"/>
    <n v="11"/>
    <n v="309"/>
    <n v="33"/>
    <n v="26"/>
    <n v="34"/>
    <n v="734"/>
    <n v="3"/>
    <n v="9"/>
    <n v="3"/>
    <n v="5"/>
    <n v="4"/>
    <n v="0"/>
    <n v="0"/>
    <n v="0"/>
    <n v="0"/>
    <n v="0"/>
    <n v="0"/>
    <n v="0"/>
  </r>
  <r>
    <d v="2013-03-07T00:00:00"/>
    <n v="10142"/>
    <n v="1976"/>
    <x v="2"/>
    <s v="PhD"/>
    <s v="Divorced"/>
    <n v="66476"/>
    <n v="1"/>
    <n v="99"/>
    <n v="372"/>
    <n v="18"/>
    <n v="126"/>
    <n v="47"/>
    <n v="48"/>
    <n v="78"/>
    <n v="689"/>
    <n v="2"/>
    <n v="5"/>
    <n v="2"/>
    <n v="11"/>
    <n v="4"/>
    <n v="0"/>
    <n v="0"/>
    <n v="0"/>
    <n v="0"/>
    <n v="0"/>
    <n v="0"/>
    <n v="0"/>
  </r>
  <r>
    <d v="2013-01-22T00:00:00"/>
    <n v="5263"/>
    <n v="1977"/>
    <x v="0"/>
    <s v="2n Cycle"/>
    <s v="Married"/>
    <n v="31056"/>
    <n v="1"/>
    <n v="99"/>
    <n v="5"/>
    <n v="10"/>
    <n v="13"/>
    <n v="3"/>
    <n v="8"/>
    <n v="16"/>
    <n v="55"/>
    <n v="1"/>
    <n v="1"/>
    <n v="0"/>
    <n v="3"/>
    <n v="8"/>
    <n v="0"/>
    <n v="0"/>
    <n v="0"/>
    <n v="0"/>
    <n v="0"/>
    <n v="0"/>
    <n v="0"/>
  </r>
  <r>
    <d v="2012-12-03T00:00:00"/>
    <n v="22"/>
    <n v="1976"/>
    <x v="0"/>
    <s v="Graduation"/>
    <s v="Divorced"/>
    <n v="46310"/>
    <n v="1"/>
    <n v="99"/>
    <n v="185"/>
    <n v="2"/>
    <n v="88"/>
    <n v="15"/>
    <n v="5"/>
    <n v="14"/>
    <n v="309"/>
    <n v="2"/>
    <n v="6"/>
    <n v="1"/>
    <n v="5"/>
    <n v="8"/>
    <n v="0"/>
    <n v="0"/>
    <n v="0"/>
    <n v="0"/>
    <n v="0"/>
    <n v="0"/>
    <n v="0"/>
  </r>
  <r>
    <d v="2012-11-29T00:00:00"/>
    <n v="528"/>
    <n v="1978"/>
    <x v="5"/>
    <s v="Graduation"/>
    <s v="Married"/>
    <n v="65819"/>
    <n v="0"/>
    <n v="99"/>
    <n v="267"/>
    <n v="38"/>
    <n v="701"/>
    <n v="149"/>
    <n v="165"/>
    <n v="63"/>
    <n v="1383"/>
    <n v="1"/>
    <n v="5"/>
    <n v="4"/>
    <n v="10"/>
    <n v="3"/>
    <n v="0"/>
    <n v="0"/>
    <n v="0"/>
    <n v="0"/>
    <n v="0"/>
    <n v="0"/>
    <n v="0"/>
  </r>
  <r>
    <d v="2012-09-01T00:00:00"/>
    <n v="4070"/>
    <n v="1969"/>
    <x v="1"/>
    <s v="PhD"/>
    <s v="Married"/>
    <n v="94871"/>
    <n v="2"/>
    <n v="99"/>
    <n v="169"/>
    <n v="24"/>
    <n v="553"/>
    <n v="188"/>
    <n v="0"/>
    <n v="144"/>
    <n v="1078"/>
    <n v="1"/>
    <n v="8"/>
    <n v="5"/>
    <n v="4"/>
    <n v="7"/>
    <n v="0"/>
    <n v="1"/>
    <n v="1"/>
    <n v="0"/>
    <n v="0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ntry wise total sales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28">
    <pivotField numFmtId="14" showAll="0"/>
    <pivotField numFmtId="12" showAll="0"/>
    <pivotField numFmtId="12" showAll="0"/>
    <pivotField axis="axisRow" showAll="0">
      <items count="9">
        <item x="3"/>
        <item x="1"/>
        <item x="4"/>
        <item x="5"/>
        <item x="7"/>
        <item x="6"/>
        <item x="0"/>
        <item x="2"/>
        <item t="default"/>
      </items>
    </pivotField>
    <pivotField showAll="0"/>
    <pivotField showAll="0"/>
    <pivotField numFmtId="165" showAll="0"/>
    <pivotField numFmtId="2" showAll="0"/>
    <pivotField numFmtId="2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 defaultSubtota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amount of purchas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D2241" totalsRowShown="0" headerRowDxfId="1" dataCellStyle="Normal">
  <autoFilter ref="A1:AD2241"/>
  <tableColumns count="30">
    <tableColumn id="1" name="Date_Customer" dataCellStyle="Normal"/>
    <tableColumn id="2" name="ID" dataCellStyle="Normal"/>
    <tableColumn id="3" name="Birth_Year" dataCellStyle="Normal"/>
    <tableColumn id="4" name="Country" dataCellStyle="Normal"/>
    <tableColumn id="5" name="Education" dataCellStyle="Normal"/>
    <tableColumn id="6" name="Marital_Status" dataCellStyle="Normal"/>
    <tableColumn id="7" name=" Income " dataCellStyle="Normal"/>
    <tableColumn id="8" name="Total kids" dataCellStyle="Normal"/>
    <tableColumn id="9" name="Recency" dataCellStyle="Normal"/>
    <tableColumn id="10" name="Wine Spending " dataCellStyle="Normal"/>
    <tableColumn id="11" name="Fruits Spending" dataCellStyle="Normal"/>
    <tableColumn id="12" name="Meat Spending" dataCellStyle="Normal"/>
    <tableColumn id="13" name="Fish Spending" dataCellStyle="Normal"/>
    <tableColumn id="14" name="Sweet Spending" dataCellStyle="Normal"/>
    <tableColumn id="15" name="Gold Spending" dataCellStyle="Normal"/>
    <tableColumn id="28" name="Total amount of purchase" dataCellStyle="Normal">
      <calculatedColumnFormula>SUM(Table1[[#This Row],[Gold Spending]]+Table1[[#This Row],[Sweet Spending]]+Table1[[#This Row],[Fish Spending]]+Table1[[#This Row],[Meat Spending]]+Table1[[#This Row],[Fruits Spending]]+Table1[[#This Row],[Wine Spending ]])</calculatedColumnFormula>
    </tableColumn>
    <tableColumn id="16" name="Deal_Purchases" dataCellStyle="Normal"/>
    <tableColumn id="17" name="Web_Purchases" dataCellStyle="Normal"/>
    <tableColumn id="18" name="Catalog_Purchases" dataCellStyle="Normal"/>
    <tableColumn id="19" name="Store_Purchases" dataCellStyle="Normal"/>
    <tableColumn id="29" name="Total purchase" dataCellStyle="Normal">
      <calculatedColumnFormula>SUM(Table1[[#This Row],[Store_Purchases]]+Table1[[#This Row],[Catalog_Purchases]]+Table1[[#This Row],[Web_Purchases]]+Table1[[#This Row],[Deal_Purchases]])</calculatedColumnFormula>
    </tableColumn>
    <tableColumn id="20" name="Monthly_Web_Visits" dataCellStyle="Normal"/>
    <tableColumn id="21" name="Accepted_Campaign_3" dataCellStyle="Normal"/>
    <tableColumn id="22" name="Accepted_Campaign_4" dataCellStyle="Normal"/>
    <tableColumn id="23" name="Accepted_Campaign_5" dataCellStyle="Normal"/>
    <tableColumn id="24" name="Accepted_Campaign_1" dataCellStyle="Normal"/>
    <tableColumn id="25" name="Accepted_Campaign_2" dataCellStyle="Normal"/>
    <tableColumn id="30" name="Total Campaign Accepted " dataDxfId="0">
      <calculatedColumnFormula>SUM(Table1[[#This Row],[Accepted_Campaign_2]]+Table1[[#This Row],[Accepted_Campaign_1]]+Table1[[#This Row],[Accepted_Campaign_5]]+Table1[[#This Row],[Accepted_Campaign_4]]+Table1[[#This Row],[Accepted_Campaign_3]])</calculatedColumnFormula>
    </tableColumn>
    <tableColumn id="26" name="Campaign_Response" dataCellStyle="Normal"/>
    <tableColumn id="27" name="Complaint_Status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41"/>
  <sheetViews>
    <sheetView tabSelected="1" zoomScale="85" zoomScaleNormal="85" workbookViewId="0">
      <selection activeCell="G9" sqref="G9"/>
    </sheetView>
  </sheetViews>
  <sheetFormatPr defaultRowHeight="15" x14ac:dyDescent="0.25"/>
  <cols>
    <col min="1" max="1" width="16.85546875" customWidth="1"/>
    <col min="2" max="2" width="9.85546875" style="2" bestFit="1" customWidth="1"/>
    <col min="3" max="3" width="12.42578125" customWidth="1"/>
    <col min="4" max="4" width="12" bestFit="1" customWidth="1"/>
    <col min="5" max="5" width="14.5703125" style="4" customWidth="1"/>
    <col min="6" max="6" width="16.28515625" style="4" bestFit="1" customWidth="1"/>
    <col min="7" max="7" width="13.140625" style="6" bestFit="1" customWidth="1"/>
    <col min="8" max="8" width="11.5703125" style="3" customWidth="1"/>
    <col min="9" max="9" width="11.42578125" style="3" customWidth="1"/>
    <col min="10" max="10" width="17.140625" style="5" customWidth="1"/>
    <col min="11" max="11" width="16.85546875" style="5" customWidth="1"/>
    <col min="12" max="12" width="17.140625" style="5" bestFit="1" customWidth="1"/>
    <col min="13" max="13" width="15.42578125" style="5" customWidth="1"/>
    <col min="14" max="14" width="17.42578125" style="5" customWidth="1"/>
    <col min="15" max="15" width="16.140625" style="5" customWidth="1"/>
    <col min="16" max="16" width="26.28515625" style="5" bestFit="1" customWidth="1"/>
    <col min="17" max="17" width="17" style="3" customWidth="1"/>
    <col min="18" max="18" width="17.28515625" style="3" customWidth="1"/>
    <col min="19" max="19" width="19.5703125" style="3" customWidth="1"/>
    <col min="20" max="21" width="17.7109375" style="3" customWidth="1"/>
    <col min="22" max="22" width="21.85546875" style="3" customWidth="1"/>
    <col min="23" max="27" width="23.140625" style="3" customWidth="1"/>
    <col min="28" max="28" width="26.42578125" style="3" bestFit="1" customWidth="1"/>
    <col min="29" max="29" width="21.85546875" style="3" bestFit="1" customWidth="1"/>
    <col min="30" max="30" width="18.7109375" style="3" customWidth="1"/>
    <col min="32" max="32" width="16.140625" customWidth="1"/>
    <col min="33" max="33" width="9.140625" customWidth="1"/>
  </cols>
  <sheetData>
    <row r="1" spans="1:30" x14ac:dyDescent="0.25">
      <c r="A1" s="1" t="s">
        <v>42</v>
      </c>
      <c r="B1" s="2" t="s">
        <v>0</v>
      </c>
      <c r="C1" s="2" t="s">
        <v>43</v>
      </c>
      <c r="D1" s="2" t="s">
        <v>5</v>
      </c>
      <c r="E1" s="4" t="s">
        <v>1</v>
      </c>
      <c r="F1" s="4" t="s">
        <v>2</v>
      </c>
      <c r="G1" s="6" t="s">
        <v>3</v>
      </c>
      <c r="H1" s="3" t="s">
        <v>27</v>
      </c>
      <c r="I1" s="3" t="s">
        <v>4</v>
      </c>
      <c r="J1" s="5" t="s">
        <v>45</v>
      </c>
      <c r="K1" s="5" t="s">
        <v>44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69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71</v>
      </c>
      <c r="V1" s="3" t="s">
        <v>54</v>
      </c>
      <c r="W1" s="3" t="s">
        <v>55</v>
      </c>
      <c r="X1" t="s">
        <v>56</v>
      </c>
      <c r="Y1" s="3" t="s">
        <v>57</v>
      </c>
      <c r="Z1" s="3" t="s">
        <v>58</v>
      </c>
      <c r="AA1" s="3" t="s">
        <v>59</v>
      </c>
      <c r="AB1" s="3" t="s">
        <v>72</v>
      </c>
      <c r="AC1" s="10" t="s">
        <v>60</v>
      </c>
      <c r="AD1" s="3" t="s">
        <v>61</v>
      </c>
    </row>
    <row r="2" spans="1:30" x14ac:dyDescent="0.25">
      <c r="A2">
        <v>41806</v>
      </c>
      <c r="B2">
        <v>1826</v>
      </c>
      <c r="C2">
        <v>1970</v>
      </c>
      <c r="D2" t="s">
        <v>8</v>
      </c>
      <c r="E2" t="s">
        <v>6</v>
      </c>
      <c r="F2" t="s">
        <v>7</v>
      </c>
      <c r="G2">
        <v>84835</v>
      </c>
      <c r="H2">
        <v>0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f>SUM(Table1[[#This Row],[Gold Spending]]+Table1[[#This Row],[Sweet Spending]]+Table1[[#This Row],[Fish Spending]]+Table1[[#This Row],[Meat Spending]]+Table1[[#This Row],[Fruits Spending]]+Table1[[#This Row],[Wine Spending ]])</f>
        <v>1190</v>
      </c>
      <c r="Q2">
        <v>1</v>
      </c>
      <c r="R2">
        <v>4</v>
      </c>
      <c r="S2">
        <v>4</v>
      </c>
      <c r="T2">
        <v>6</v>
      </c>
      <c r="U2">
        <f>SUM(Table1[[#This Row],[Store_Purchases]]+Table1[[#This Row],[Catalog_Purchases]]+Table1[[#This Row],[Web_Purchases]]+Table1[[#This Row],[Deal_Purchases]])</f>
        <v>15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f>SUM(Table1[[#This Row],[Accepted_Campaign_2]]+Table1[[#This Row],[Accepted_Campaign_1]]+Table1[[#This Row],[Accepted_Campaign_5]]+Table1[[#This Row],[Accepted_Campaign_4]]+Table1[[#This Row],[Accepted_Campaign_3]])</f>
        <v>0</v>
      </c>
      <c r="AC2">
        <v>1</v>
      </c>
      <c r="AD2">
        <v>0</v>
      </c>
    </row>
    <row r="3" spans="1:30" x14ac:dyDescent="0.25">
      <c r="A3">
        <v>41805</v>
      </c>
      <c r="B3">
        <v>1</v>
      </c>
      <c r="C3">
        <v>1961</v>
      </c>
      <c r="D3" t="s">
        <v>10</v>
      </c>
      <c r="E3" t="s">
        <v>6</v>
      </c>
      <c r="F3" t="s">
        <v>9</v>
      </c>
      <c r="G3">
        <v>57091</v>
      </c>
      <c r="H3">
        <v>0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f>SUM(Table1[[#This Row],[Gold Spending]]+Table1[[#This Row],[Sweet Spending]]+Table1[[#This Row],[Fish Spending]]+Table1[[#This Row],[Meat Spending]]+Table1[[#This Row],[Fruits Spending]]+Table1[[#This Row],[Wine Spending ]])</f>
        <v>577</v>
      </c>
      <c r="Q3">
        <v>1</v>
      </c>
      <c r="R3">
        <v>7</v>
      </c>
      <c r="S3">
        <v>3</v>
      </c>
      <c r="T3">
        <v>7</v>
      </c>
      <c r="U3">
        <f>SUM(Table1[[#This Row],[Store_Purchases]]+Table1[[#This Row],[Catalog_Purchases]]+Table1[[#This Row],[Web_Purchases]]+Table1[[#This Row],[Deal_Purchases]])</f>
        <v>18</v>
      </c>
      <c r="V3">
        <v>5</v>
      </c>
      <c r="W3">
        <v>0</v>
      </c>
      <c r="X3">
        <v>0</v>
      </c>
      <c r="Y3">
        <v>0</v>
      </c>
      <c r="Z3">
        <v>0</v>
      </c>
      <c r="AA3">
        <v>1</v>
      </c>
      <c r="AB3">
        <f>SUM(Table1[[#This Row],[Accepted_Campaign_2]]+Table1[[#This Row],[Accepted_Campaign_1]]+Table1[[#This Row],[Accepted_Campaign_5]]+Table1[[#This Row],[Accepted_Campaign_4]]+Table1[[#This Row],[Accepted_Campaign_3]])</f>
        <v>1</v>
      </c>
      <c r="AC3">
        <v>1</v>
      </c>
      <c r="AD3">
        <v>0</v>
      </c>
    </row>
    <row r="4" spans="1:30" x14ac:dyDescent="0.25">
      <c r="A4">
        <v>41772</v>
      </c>
      <c r="B4">
        <v>10476</v>
      </c>
      <c r="C4">
        <v>1958</v>
      </c>
      <c r="D4" t="s">
        <v>63</v>
      </c>
      <c r="E4" t="s">
        <v>6</v>
      </c>
      <c r="F4" t="s">
        <v>11</v>
      </c>
      <c r="G4">
        <v>67267</v>
      </c>
      <c r="H4">
        <v>1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f>SUM(Table1[[#This Row],[Gold Spending]]+Table1[[#This Row],[Sweet Spending]]+Table1[[#This Row],[Fish Spending]]+Table1[[#This Row],[Meat Spending]]+Table1[[#This Row],[Fruits Spending]]+Table1[[#This Row],[Wine Spending ]])</f>
        <v>251</v>
      </c>
      <c r="Q4">
        <v>1</v>
      </c>
      <c r="R4">
        <v>3</v>
      </c>
      <c r="S4">
        <v>2</v>
      </c>
      <c r="T4">
        <v>5</v>
      </c>
      <c r="U4">
        <f>SUM(Table1[[#This Row],[Store_Purchases]]+Table1[[#This Row],[Catalog_Purchases]]+Table1[[#This Row],[Web_Purchases]]+Table1[[#This Row],[Deal_Purchases]])</f>
        <v>11</v>
      </c>
      <c r="V4">
        <v>2</v>
      </c>
      <c r="W4">
        <v>0</v>
      </c>
      <c r="X4">
        <v>0</v>
      </c>
      <c r="Y4">
        <v>0</v>
      </c>
      <c r="Z4">
        <v>0</v>
      </c>
      <c r="AA4">
        <v>0</v>
      </c>
      <c r="AB4">
        <f>SUM(Table1[[#This Row],[Accepted_Campaign_2]]+Table1[[#This Row],[Accepted_Campaign_1]]+Table1[[#This Row],[Accepted_Campaign_5]]+Table1[[#This Row],[Accepted_Campaign_4]]+Table1[[#This Row],[Accepted_Campaign_3]])</f>
        <v>0</v>
      </c>
      <c r="AC4">
        <v>0</v>
      </c>
      <c r="AD4">
        <v>0</v>
      </c>
    </row>
    <row r="5" spans="1:30" x14ac:dyDescent="0.25">
      <c r="A5">
        <v>41770</v>
      </c>
      <c r="B5">
        <v>1386</v>
      </c>
      <c r="C5">
        <v>1967</v>
      </c>
      <c r="D5" t="s">
        <v>13</v>
      </c>
      <c r="E5" t="s">
        <v>6</v>
      </c>
      <c r="F5" t="s">
        <v>12</v>
      </c>
      <c r="G5">
        <v>32474</v>
      </c>
      <c r="H5">
        <v>2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f>SUM(Table1[[#This Row],[Gold Spending]]+Table1[[#This Row],[Sweet Spending]]+Table1[[#This Row],[Fish Spending]]+Table1[[#This Row],[Meat Spending]]+Table1[[#This Row],[Fruits Spending]]+Table1[[#This Row],[Wine Spending ]])</f>
        <v>11</v>
      </c>
      <c r="Q5">
        <v>1</v>
      </c>
      <c r="R5">
        <v>1</v>
      </c>
      <c r="S5">
        <v>0</v>
      </c>
      <c r="T5">
        <v>2</v>
      </c>
      <c r="U5">
        <f>SUM(Table1[[#This Row],[Store_Purchases]]+Table1[[#This Row],[Catalog_Purchases]]+Table1[[#This Row],[Web_Purchases]]+Table1[[#This Row],[Deal_Purchases]])</f>
        <v>4</v>
      </c>
      <c r="V5">
        <v>7</v>
      </c>
      <c r="W5">
        <v>0</v>
      </c>
      <c r="X5">
        <v>0</v>
      </c>
      <c r="Y5">
        <v>0</v>
      </c>
      <c r="Z5">
        <v>0</v>
      </c>
      <c r="AA5">
        <v>0</v>
      </c>
      <c r="AB5">
        <f>SUM(Table1[[#This Row],[Accepted_Campaign_2]]+Table1[[#This Row],[Accepted_Campaign_1]]+Table1[[#This Row],[Accepted_Campaign_5]]+Table1[[#This Row],[Accepted_Campaign_4]]+Table1[[#This Row],[Accepted_Campaign_3]])</f>
        <v>0</v>
      </c>
      <c r="AC5">
        <v>0</v>
      </c>
      <c r="AD5">
        <v>0</v>
      </c>
    </row>
    <row r="6" spans="1:30" x14ac:dyDescent="0.25">
      <c r="A6">
        <v>41737</v>
      </c>
      <c r="B6">
        <v>5371</v>
      </c>
      <c r="C6">
        <v>1989</v>
      </c>
      <c r="D6" t="s">
        <v>8</v>
      </c>
      <c r="E6" t="s">
        <v>6</v>
      </c>
      <c r="F6" t="s">
        <v>9</v>
      </c>
      <c r="G6">
        <v>21474</v>
      </c>
      <c r="H6">
        <v>1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f>SUM(Table1[[#This Row],[Gold Spending]]+Table1[[#This Row],[Sweet Spending]]+Table1[[#This Row],[Fish Spending]]+Table1[[#This Row],[Meat Spending]]+Table1[[#This Row],[Fruits Spending]]+Table1[[#This Row],[Wine Spending ]])</f>
        <v>91</v>
      </c>
      <c r="Q6">
        <v>2</v>
      </c>
      <c r="R6">
        <v>3</v>
      </c>
      <c r="S6">
        <v>1</v>
      </c>
      <c r="T6">
        <v>2</v>
      </c>
      <c r="U6">
        <f>SUM(Table1[[#This Row],[Store_Purchases]]+Table1[[#This Row],[Catalog_Purchases]]+Table1[[#This Row],[Web_Purchases]]+Table1[[#This Row],[Deal_Purchases]])</f>
        <v>8</v>
      </c>
      <c r="V6">
        <v>7</v>
      </c>
      <c r="W6">
        <v>1</v>
      </c>
      <c r="X6">
        <v>0</v>
      </c>
      <c r="Y6">
        <v>0</v>
      </c>
      <c r="Z6">
        <v>0</v>
      </c>
      <c r="AA6">
        <v>0</v>
      </c>
      <c r="AB6">
        <f>SUM(Table1[[#This Row],[Accepted_Campaign_2]]+Table1[[#This Row],[Accepted_Campaign_1]]+Table1[[#This Row],[Accepted_Campaign_5]]+Table1[[#This Row],[Accepted_Campaign_4]]+Table1[[#This Row],[Accepted_Campaign_3]])</f>
        <v>1</v>
      </c>
      <c r="AC6">
        <v>1</v>
      </c>
      <c r="AD6">
        <v>0</v>
      </c>
    </row>
    <row r="7" spans="1:30" x14ac:dyDescent="0.25">
      <c r="A7">
        <v>41715</v>
      </c>
      <c r="B7">
        <v>7348</v>
      </c>
      <c r="C7">
        <v>1958</v>
      </c>
      <c r="D7" t="s">
        <v>8</v>
      </c>
      <c r="E7" t="s">
        <v>14</v>
      </c>
      <c r="F7" t="s">
        <v>9</v>
      </c>
      <c r="G7">
        <v>71691</v>
      </c>
      <c r="H7">
        <v>0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f>SUM(Table1[[#This Row],[Gold Spending]]+Table1[[#This Row],[Sweet Spending]]+Table1[[#This Row],[Fish Spending]]+Table1[[#This Row],[Meat Spending]]+Table1[[#This Row],[Fruits Spending]]+Table1[[#This Row],[Wine Spending ]])</f>
        <v>1192</v>
      </c>
      <c r="Q7">
        <v>1</v>
      </c>
      <c r="R7">
        <v>4</v>
      </c>
      <c r="S7">
        <v>7</v>
      </c>
      <c r="T7">
        <v>5</v>
      </c>
      <c r="U7">
        <f>SUM(Table1[[#This Row],[Store_Purchases]]+Table1[[#This Row],[Catalog_Purchases]]+Table1[[#This Row],[Web_Purchases]]+Table1[[#This Row],[Deal_Purchases]])</f>
        <v>17</v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f>SUM(Table1[[#This Row],[Accepted_Campaign_2]]+Table1[[#This Row],[Accepted_Campaign_1]]+Table1[[#This Row],[Accepted_Campaign_5]]+Table1[[#This Row],[Accepted_Campaign_4]]+Table1[[#This Row],[Accepted_Campaign_3]])</f>
        <v>0</v>
      </c>
      <c r="AC7">
        <v>1</v>
      </c>
      <c r="AD7">
        <v>0</v>
      </c>
    </row>
    <row r="8" spans="1:30" x14ac:dyDescent="0.25">
      <c r="A8">
        <v>41668</v>
      </c>
      <c r="B8">
        <v>4073</v>
      </c>
      <c r="C8">
        <v>1954</v>
      </c>
      <c r="D8" t="s">
        <v>16</v>
      </c>
      <c r="E8" t="s">
        <v>15</v>
      </c>
      <c r="F8" t="s">
        <v>11</v>
      </c>
      <c r="G8">
        <v>63564</v>
      </c>
      <c r="H8">
        <v>0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f>SUM(Table1[[#This Row],[Gold Spending]]+Table1[[#This Row],[Sweet Spending]]+Table1[[#This Row],[Fish Spending]]+Table1[[#This Row],[Meat Spending]]+Table1[[#This Row],[Fruits Spending]]+Table1[[#This Row],[Wine Spending ]])</f>
        <v>1215</v>
      </c>
      <c r="Q8">
        <v>1</v>
      </c>
      <c r="R8">
        <v>10</v>
      </c>
      <c r="S8">
        <v>10</v>
      </c>
      <c r="T8">
        <v>7</v>
      </c>
      <c r="U8">
        <f>SUM(Table1[[#This Row],[Store_Purchases]]+Table1[[#This Row],[Catalog_Purchases]]+Table1[[#This Row],[Web_Purchases]]+Table1[[#This Row],[Deal_Purchases]])</f>
        <v>28</v>
      </c>
      <c r="V8">
        <v>6</v>
      </c>
      <c r="W8">
        <v>1</v>
      </c>
      <c r="X8">
        <v>0</v>
      </c>
      <c r="Y8">
        <v>0</v>
      </c>
      <c r="Z8">
        <v>0</v>
      </c>
      <c r="AA8">
        <v>0</v>
      </c>
      <c r="AB8">
        <f>SUM(Table1[[#This Row],[Accepted_Campaign_2]]+Table1[[#This Row],[Accepted_Campaign_1]]+Table1[[#This Row],[Accepted_Campaign_5]]+Table1[[#This Row],[Accepted_Campaign_4]]+Table1[[#This Row],[Accepted_Campaign_3]])</f>
        <v>1</v>
      </c>
      <c r="AC8">
        <v>1</v>
      </c>
      <c r="AD8">
        <v>0</v>
      </c>
    </row>
    <row r="9" spans="1:30" x14ac:dyDescent="0.25">
      <c r="A9">
        <v>41657</v>
      </c>
      <c r="B9">
        <v>1991</v>
      </c>
      <c r="C9">
        <v>1967</v>
      </c>
      <c r="D9" t="s">
        <v>8</v>
      </c>
      <c r="E9" t="s">
        <v>6</v>
      </c>
      <c r="F9" t="s">
        <v>12</v>
      </c>
      <c r="G9">
        <v>44931</v>
      </c>
      <c r="H9">
        <v>1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f>SUM(Table1[[#This Row],[Gold Spending]]+Table1[[#This Row],[Sweet Spending]]+Table1[[#This Row],[Fish Spending]]+Table1[[#This Row],[Meat Spending]]+Table1[[#This Row],[Fruits Spending]]+Table1[[#This Row],[Wine Spending ]])</f>
        <v>96</v>
      </c>
      <c r="Q9">
        <v>1</v>
      </c>
      <c r="R9">
        <v>2</v>
      </c>
      <c r="S9">
        <v>1</v>
      </c>
      <c r="T9">
        <v>3</v>
      </c>
      <c r="U9">
        <f>SUM(Table1[[#This Row],[Store_Purchases]]+Table1[[#This Row],[Catalog_Purchases]]+Table1[[#This Row],[Web_Purchases]]+Table1[[#This Row],[Deal_Purchases]])</f>
        <v>7</v>
      </c>
      <c r="V9">
        <v>5</v>
      </c>
      <c r="W9">
        <v>0</v>
      </c>
      <c r="X9">
        <v>0</v>
      </c>
      <c r="Y9">
        <v>0</v>
      </c>
      <c r="Z9">
        <v>0</v>
      </c>
      <c r="AA9">
        <v>0</v>
      </c>
      <c r="AB9">
        <f>SUM(Table1[[#This Row],[Accepted_Campaign_2]]+Table1[[#This Row],[Accepted_Campaign_1]]+Table1[[#This Row],[Accepted_Campaign_5]]+Table1[[#This Row],[Accepted_Campaign_4]]+Table1[[#This Row],[Accepted_Campaign_3]])</f>
        <v>0</v>
      </c>
      <c r="AC9">
        <v>0</v>
      </c>
      <c r="AD9">
        <v>0</v>
      </c>
    </row>
    <row r="10" spans="1:30" x14ac:dyDescent="0.25">
      <c r="A10">
        <v>41650</v>
      </c>
      <c r="B10">
        <v>4047</v>
      </c>
      <c r="C10">
        <v>1954</v>
      </c>
      <c r="D10" t="s">
        <v>63</v>
      </c>
      <c r="E10" t="s">
        <v>14</v>
      </c>
      <c r="F10" t="s">
        <v>11</v>
      </c>
      <c r="G10">
        <v>65324</v>
      </c>
      <c r="H10">
        <v>1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f>SUM(Table1[[#This Row],[Gold Spending]]+Table1[[#This Row],[Sweet Spending]]+Table1[[#This Row],[Fish Spending]]+Table1[[#This Row],[Meat Spending]]+Table1[[#This Row],[Fruits Spending]]+Table1[[#This Row],[Wine Spending ]])</f>
        <v>544</v>
      </c>
      <c r="Q10">
        <v>3</v>
      </c>
      <c r="R10">
        <v>6</v>
      </c>
      <c r="S10">
        <v>2</v>
      </c>
      <c r="T10">
        <v>9</v>
      </c>
      <c r="U10">
        <f>SUM(Table1[[#This Row],[Store_Purchases]]+Table1[[#This Row],[Catalog_Purchases]]+Table1[[#This Row],[Web_Purchases]]+Table1[[#This Row],[Deal_Purchases]])</f>
        <v>20</v>
      </c>
      <c r="V10">
        <v>4</v>
      </c>
      <c r="W10">
        <v>0</v>
      </c>
      <c r="X10">
        <v>0</v>
      </c>
      <c r="Y10">
        <v>0</v>
      </c>
      <c r="Z10">
        <v>0</v>
      </c>
      <c r="AA10">
        <v>0</v>
      </c>
      <c r="AB10">
        <f>SUM(Table1[[#This Row],[Accepted_Campaign_2]]+Table1[[#This Row],[Accepted_Campaign_1]]+Table1[[#This Row],[Accepted_Campaign_5]]+Table1[[#This Row],[Accepted_Campaign_4]]+Table1[[#This Row],[Accepted_Campaign_3]])</f>
        <v>0</v>
      </c>
      <c r="AC10">
        <v>0</v>
      </c>
      <c r="AD10">
        <v>0</v>
      </c>
    </row>
    <row r="11" spans="1:30" x14ac:dyDescent="0.25">
      <c r="A11">
        <v>41650</v>
      </c>
      <c r="B11">
        <v>9477</v>
      </c>
      <c r="C11">
        <v>1954</v>
      </c>
      <c r="D11" t="s">
        <v>17</v>
      </c>
      <c r="E11" t="s">
        <v>14</v>
      </c>
      <c r="F11" t="s">
        <v>11</v>
      </c>
      <c r="G11">
        <v>65324</v>
      </c>
      <c r="H11">
        <v>1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f>SUM(Table1[[#This Row],[Gold Spending]]+Table1[[#This Row],[Sweet Spending]]+Table1[[#This Row],[Fish Spending]]+Table1[[#This Row],[Meat Spending]]+Table1[[#This Row],[Fruits Spending]]+Table1[[#This Row],[Wine Spending ]])</f>
        <v>544</v>
      </c>
      <c r="Q11">
        <v>3</v>
      </c>
      <c r="R11">
        <v>6</v>
      </c>
      <c r="S11">
        <v>2</v>
      </c>
      <c r="T11">
        <v>9</v>
      </c>
      <c r="U11">
        <f>SUM(Table1[[#This Row],[Store_Purchases]]+Table1[[#This Row],[Catalog_Purchases]]+Table1[[#This Row],[Web_Purchases]]+Table1[[#This Row],[Deal_Purchases]])</f>
        <v>20</v>
      </c>
      <c r="V11">
        <v>4</v>
      </c>
      <c r="W11">
        <v>0</v>
      </c>
      <c r="X11">
        <v>0</v>
      </c>
      <c r="Y11">
        <v>0</v>
      </c>
      <c r="Z11">
        <v>0</v>
      </c>
      <c r="AA11">
        <v>0</v>
      </c>
      <c r="AB11">
        <f>SUM(Table1[[#This Row],[Accepted_Campaign_2]]+Table1[[#This Row],[Accepted_Campaign_1]]+Table1[[#This Row],[Accepted_Campaign_5]]+Table1[[#This Row],[Accepted_Campaign_4]]+Table1[[#This Row],[Accepted_Campaign_3]])</f>
        <v>0</v>
      </c>
      <c r="AC11">
        <v>0</v>
      </c>
      <c r="AD11">
        <v>0</v>
      </c>
    </row>
    <row r="12" spans="1:30" x14ac:dyDescent="0.25">
      <c r="A12">
        <v>41635</v>
      </c>
      <c r="B12">
        <v>2079</v>
      </c>
      <c r="C12">
        <v>1947</v>
      </c>
      <c r="D12" t="s">
        <v>63</v>
      </c>
      <c r="E12" t="s">
        <v>15</v>
      </c>
      <c r="F12" t="s">
        <v>11</v>
      </c>
      <c r="G12">
        <v>81044</v>
      </c>
      <c r="H12">
        <v>0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f>SUM(Table1[[#This Row],[Gold Spending]]+Table1[[#This Row],[Sweet Spending]]+Table1[[#This Row],[Fish Spending]]+Table1[[#This Row],[Meat Spending]]+Table1[[#This Row],[Fruits Spending]]+Table1[[#This Row],[Wine Spending ]])</f>
        <v>1208</v>
      </c>
      <c r="Q12">
        <v>1</v>
      </c>
      <c r="R12">
        <v>5</v>
      </c>
      <c r="S12">
        <v>6</v>
      </c>
      <c r="T12">
        <v>10</v>
      </c>
      <c r="U12">
        <f>SUM(Table1[[#This Row],[Store_Purchases]]+Table1[[#This Row],[Catalog_Purchases]]+Table1[[#This Row],[Web_Purchases]]+Table1[[#This Row],[Deal_Purchases]])</f>
        <v>22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f>SUM(Table1[[#This Row],[Accepted_Campaign_2]]+Table1[[#This Row],[Accepted_Campaign_1]]+Table1[[#This Row],[Accepted_Campaign_5]]+Table1[[#This Row],[Accepted_Campaign_4]]+Table1[[#This Row],[Accepted_Campaign_3]])</f>
        <v>0</v>
      </c>
      <c r="AC12">
        <v>0</v>
      </c>
      <c r="AD12">
        <v>0</v>
      </c>
    </row>
    <row r="13" spans="1:30" x14ac:dyDescent="0.25">
      <c r="A13">
        <v>41617</v>
      </c>
      <c r="B13">
        <v>5642</v>
      </c>
      <c r="C13">
        <v>1979</v>
      </c>
      <c r="D13" t="s">
        <v>8</v>
      </c>
      <c r="E13" t="s">
        <v>18</v>
      </c>
      <c r="F13" t="s">
        <v>12</v>
      </c>
      <c r="G13">
        <v>62499</v>
      </c>
      <c r="H13">
        <v>1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f>SUM(Table1[[#This Row],[Gold Spending]]+Table1[[#This Row],[Sweet Spending]]+Table1[[#This Row],[Fish Spending]]+Table1[[#This Row],[Meat Spending]]+Table1[[#This Row],[Fruits Spending]]+Table1[[#This Row],[Wine Spending ]])</f>
        <v>222</v>
      </c>
      <c r="Q13">
        <v>2</v>
      </c>
      <c r="R13">
        <v>3</v>
      </c>
      <c r="S13">
        <v>1</v>
      </c>
      <c r="T13">
        <v>6</v>
      </c>
      <c r="U13">
        <f>SUM(Table1[[#This Row],[Store_Purchases]]+Table1[[#This Row],[Catalog_Purchases]]+Table1[[#This Row],[Web_Purchases]]+Table1[[#This Row],[Deal_Purchases]])</f>
        <v>12</v>
      </c>
      <c r="V13">
        <v>4</v>
      </c>
      <c r="W13">
        <v>0</v>
      </c>
      <c r="X13">
        <v>0</v>
      </c>
      <c r="Y13">
        <v>0</v>
      </c>
      <c r="Z13">
        <v>0</v>
      </c>
      <c r="AA13">
        <v>0</v>
      </c>
      <c r="AB13">
        <f>SUM(Table1[[#This Row],[Accepted_Campaign_2]]+Table1[[#This Row],[Accepted_Campaign_1]]+Table1[[#This Row],[Accepted_Campaign_5]]+Table1[[#This Row],[Accepted_Campaign_4]]+Table1[[#This Row],[Accepted_Campaign_3]])</f>
        <v>0</v>
      </c>
      <c r="AC13">
        <v>0</v>
      </c>
      <c r="AD13">
        <v>0</v>
      </c>
    </row>
    <row r="14" spans="1:30" x14ac:dyDescent="0.25">
      <c r="A14">
        <v>41615</v>
      </c>
      <c r="B14">
        <v>10530</v>
      </c>
      <c r="C14">
        <v>1959</v>
      </c>
      <c r="D14" t="s">
        <v>17</v>
      </c>
      <c r="E14" t="s">
        <v>14</v>
      </c>
      <c r="F14" t="s">
        <v>19</v>
      </c>
      <c r="G14">
        <v>67786</v>
      </c>
      <c r="H14">
        <v>0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f>SUM(Table1[[#This Row],[Gold Spending]]+Table1[[#This Row],[Sweet Spending]]+Table1[[#This Row],[Fish Spending]]+Table1[[#This Row],[Meat Spending]]+Table1[[#This Row],[Fruits Spending]]+Table1[[#This Row],[Wine Spending ]])</f>
        <v>1156</v>
      </c>
      <c r="Q14">
        <v>1</v>
      </c>
      <c r="R14">
        <v>3</v>
      </c>
      <c r="S14">
        <v>6</v>
      </c>
      <c r="T14">
        <v>6</v>
      </c>
      <c r="U14">
        <f>SUM(Table1[[#This Row],[Store_Purchases]]+Table1[[#This Row],[Catalog_Purchases]]+Table1[[#This Row],[Web_Purchases]]+Table1[[#This Row],[Deal_Purchases]])</f>
        <v>16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f>SUM(Table1[[#This Row],[Accepted_Campaign_2]]+Table1[[#This Row],[Accepted_Campaign_1]]+Table1[[#This Row],[Accepted_Campaign_5]]+Table1[[#This Row],[Accepted_Campaign_4]]+Table1[[#This Row],[Accepted_Campaign_3]])</f>
        <v>0</v>
      </c>
      <c r="AC14">
        <v>1</v>
      </c>
      <c r="AD14">
        <v>0</v>
      </c>
    </row>
    <row r="15" spans="1:30" x14ac:dyDescent="0.25">
      <c r="A15">
        <v>41563</v>
      </c>
      <c r="B15">
        <v>2964</v>
      </c>
      <c r="C15">
        <v>1981</v>
      </c>
      <c r="D15" t="s">
        <v>10</v>
      </c>
      <c r="E15" t="s">
        <v>6</v>
      </c>
      <c r="F15" t="s">
        <v>11</v>
      </c>
      <c r="G15">
        <v>26872</v>
      </c>
      <c r="H15">
        <v>0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f>SUM(Table1[[#This Row],[Gold Spending]]+Table1[[#This Row],[Sweet Spending]]+Table1[[#This Row],[Fish Spending]]+Table1[[#This Row],[Meat Spending]]+Table1[[#This Row],[Fruits Spending]]+Table1[[#This Row],[Wine Spending ]])</f>
        <v>72</v>
      </c>
      <c r="Q15">
        <v>1</v>
      </c>
      <c r="R15">
        <v>1</v>
      </c>
      <c r="S15">
        <v>1</v>
      </c>
      <c r="T15">
        <v>2</v>
      </c>
      <c r="U15">
        <f>SUM(Table1[[#This Row],[Store_Purchases]]+Table1[[#This Row],[Catalog_Purchases]]+Table1[[#This Row],[Web_Purchases]]+Table1[[#This Row],[Deal_Purchases]])</f>
        <v>5</v>
      </c>
      <c r="V15">
        <v>6</v>
      </c>
      <c r="W15">
        <v>0</v>
      </c>
      <c r="X15">
        <v>0</v>
      </c>
      <c r="Y15">
        <v>0</v>
      </c>
      <c r="Z15">
        <v>0</v>
      </c>
      <c r="AA15">
        <v>0</v>
      </c>
      <c r="AB15">
        <f>SUM(Table1[[#This Row],[Accepted_Campaign_2]]+Table1[[#This Row],[Accepted_Campaign_1]]+Table1[[#This Row],[Accepted_Campaign_5]]+Table1[[#This Row],[Accepted_Campaign_4]]+Table1[[#This Row],[Accepted_Campaign_3]])</f>
        <v>0</v>
      </c>
      <c r="AC15">
        <v>0</v>
      </c>
      <c r="AD15">
        <v>0</v>
      </c>
    </row>
    <row r="16" spans="1:30" x14ac:dyDescent="0.25">
      <c r="A16">
        <v>41552</v>
      </c>
      <c r="B16">
        <v>10311</v>
      </c>
      <c r="C16">
        <v>1969</v>
      </c>
      <c r="D16" t="s">
        <v>8</v>
      </c>
      <c r="E16" t="s">
        <v>6</v>
      </c>
      <c r="F16" t="s">
        <v>11</v>
      </c>
      <c r="G16">
        <v>4428</v>
      </c>
      <c r="H16">
        <v>1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f>SUM(Table1[[#This Row],[Gold Spending]]+Table1[[#This Row],[Sweet Spending]]+Table1[[#This Row],[Fish Spending]]+Table1[[#This Row],[Meat Spending]]+Table1[[#This Row],[Fruits Spending]]+Table1[[#This Row],[Wine Spending ]])</f>
        <v>359</v>
      </c>
      <c r="Q16">
        <v>0</v>
      </c>
      <c r="R16">
        <v>25</v>
      </c>
      <c r="S16">
        <v>0</v>
      </c>
      <c r="T16">
        <v>0</v>
      </c>
      <c r="U16">
        <f>SUM(Table1[[#This Row],[Store_Purchases]]+Table1[[#This Row],[Catalog_Purchases]]+Table1[[#This Row],[Web_Purchases]]+Table1[[#This Row],[Deal_Purchases]])</f>
        <v>25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f>SUM(Table1[[#This Row],[Accepted_Campaign_2]]+Table1[[#This Row],[Accepted_Campaign_1]]+Table1[[#This Row],[Accepted_Campaign_5]]+Table1[[#This Row],[Accepted_Campaign_4]]+Table1[[#This Row],[Accepted_Campaign_3]])</f>
        <v>0</v>
      </c>
      <c r="AC16">
        <v>0</v>
      </c>
      <c r="AD16">
        <v>0</v>
      </c>
    </row>
    <row r="17" spans="1:30" x14ac:dyDescent="0.25">
      <c r="A17">
        <v>41528</v>
      </c>
      <c r="B17">
        <v>837</v>
      </c>
      <c r="C17">
        <v>1977</v>
      </c>
      <c r="D17" t="s">
        <v>8</v>
      </c>
      <c r="E17" t="s">
        <v>6</v>
      </c>
      <c r="F17" t="s">
        <v>11</v>
      </c>
      <c r="G17">
        <v>54809</v>
      </c>
      <c r="H17">
        <v>2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f>SUM(Table1[[#This Row],[Gold Spending]]+Table1[[#This Row],[Sweet Spending]]+Table1[[#This Row],[Fish Spending]]+Table1[[#This Row],[Meat Spending]]+Table1[[#This Row],[Fruits Spending]]+Table1[[#This Row],[Wine Spending ]])</f>
        <v>174</v>
      </c>
      <c r="Q17">
        <v>4</v>
      </c>
      <c r="R17">
        <v>2</v>
      </c>
      <c r="S17">
        <v>1</v>
      </c>
      <c r="T17">
        <v>5</v>
      </c>
      <c r="U17">
        <f>SUM(Table1[[#This Row],[Store_Purchases]]+Table1[[#This Row],[Catalog_Purchases]]+Table1[[#This Row],[Web_Purchases]]+Table1[[#This Row],[Deal_Purchases]])</f>
        <v>12</v>
      </c>
      <c r="V17">
        <v>4</v>
      </c>
      <c r="W17">
        <v>0</v>
      </c>
      <c r="X17">
        <v>0</v>
      </c>
      <c r="Y17">
        <v>0</v>
      </c>
      <c r="Z17">
        <v>0</v>
      </c>
      <c r="AA17">
        <v>0</v>
      </c>
      <c r="AB17">
        <f>SUM(Table1[[#This Row],[Accepted_Campaign_2]]+Table1[[#This Row],[Accepted_Campaign_1]]+Table1[[#This Row],[Accepted_Campaign_5]]+Table1[[#This Row],[Accepted_Campaign_4]]+Table1[[#This Row],[Accepted_Campaign_3]])</f>
        <v>0</v>
      </c>
      <c r="AC17">
        <v>0</v>
      </c>
      <c r="AD17">
        <v>0</v>
      </c>
    </row>
    <row r="18" spans="1:30" x14ac:dyDescent="0.25">
      <c r="A18">
        <v>41528</v>
      </c>
      <c r="B18">
        <v>10521</v>
      </c>
      <c r="C18">
        <v>1977</v>
      </c>
      <c r="D18" t="s">
        <v>8</v>
      </c>
      <c r="E18" t="s">
        <v>6</v>
      </c>
      <c r="F18" t="s">
        <v>11</v>
      </c>
      <c r="G18">
        <v>54809</v>
      </c>
      <c r="H18">
        <v>2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f>SUM(Table1[[#This Row],[Gold Spending]]+Table1[[#This Row],[Sweet Spending]]+Table1[[#This Row],[Fish Spending]]+Table1[[#This Row],[Meat Spending]]+Table1[[#This Row],[Fruits Spending]]+Table1[[#This Row],[Wine Spending ]])</f>
        <v>174</v>
      </c>
      <c r="Q18">
        <v>4</v>
      </c>
      <c r="R18">
        <v>2</v>
      </c>
      <c r="S18">
        <v>1</v>
      </c>
      <c r="T18">
        <v>5</v>
      </c>
      <c r="U18">
        <f>SUM(Table1[[#This Row],[Store_Purchases]]+Table1[[#This Row],[Catalog_Purchases]]+Table1[[#This Row],[Web_Purchases]]+Table1[[#This Row],[Deal_Purchases]])</f>
        <v>12</v>
      </c>
      <c r="V18">
        <v>4</v>
      </c>
      <c r="W18">
        <v>0</v>
      </c>
      <c r="X18">
        <v>0</v>
      </c>
      <c r="Y18">
        <v>0</v>
      </c>
      <c r="Z18">
        <v>0</v>
      </c>
      <c r="AA18">
        <v>0</v>
      </c>
      <c r="AB18">
        <f>SUM(Table1[[#This Row],[Accepted_Campaign_2]]+Table1[[#This Row],[Accepted_Campaign_1]]+Table1[[#This Row],[Accepted_Campaign_5]]+Table1[[#This Row],[Accepted_Campaign_4]]+Table1[[#This Row],[Accepted_Campaign_3]])</f>
        <v>0</v>
      </c>
      <c r="AC18">
        <v>1</v>
      </c>
      <c r="AD18">
        <v>0</v>
      </c>
    </row>
    <row r="19" spans="1:30" x14ac:dyDescent="0.25">
      <c r="A19">
        <v>41487</v>
      </c>
      <c r="B19">
        <v>10175</v>
      </c>
      <c r="C19">
        <v>1958</v>
      </c>
      <c r="D19" t="s">
        <v>8</v>
      </c>
      <c r="E19" t="s">
        <v>14</v>
      </c>
      <c r="F19" t="s">
        <v>7</v>
      </c>
      <c r="G19">
        <v>32173</v>
      </c>
      <c r="H19">
        <v>1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19">
        <v>1</v>
      </c>
      <c r="R19">
        <v>1</v>
      </c>
      <c r="S19">
        <v>0</v>
      </c>
      <c r="T19">
        <v>3</v>
      </c>
      <c r="U19">
        <f>SUM(Table1[[#This Row],[Store_Purchases]]+Table1[[#This Row],[Catalog_Purchases]]+Table1[[#This Row],[Web_Purchases]]+Table1[[#This Row],[Deal_Purchases]])</f>
        <v>5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  <c r="AB19">
        <f>SUM(Table1[[#This Row],[Accepted_Campaign_2]]+Table1[[#This Row],[Accepted_Campaign_1]]+Table1[[#This Row],[Accepted_Campaign_5]]+Table1[[#This Row],[Accepted_Campaign_4]]+Table1[[#This Row],[Accepted_Campaign_3]])</f>
        <v>0</v>
      </c>
      <c r="AC19">
        <v>0</v>
      </c>
      <c r="AD19">
        <v>0</v>
      </c>
    </row>
    <row r="20" spans="1:30" x14ac:dyDescent="0.25">
      <c r="A20">
        <v>41478</v>
      </c>
      <c r="B20">
        <v>1473</v>
      </c>
      <c r="C20">
        <v>1960</v>
      </c>
      <c r="D20" t="s">
        <v>10</v>
      </c>
      <c r="E20" t="s">
        <v>15</v>
      </c>
      <c r="F20" t="s">
        <v>9</v>
      </c>
      <c r="G20">
        <v>47823</v>
      </c>
      <c r="H20">
        <v>1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f>SUM(Table1[[#This Row],[Gold Spending]]+Table1[[#This Row],[Sweet Spending]]+Table1[[#This Row],[Fish Spending]]+Table1[[#This Row],[Meat Spending]]+Table1[[#This Row],[Fruits Spending]]+Table1[[#This Row],[Wine Spending ]])</f>
        <v>72</v>
      </c>
      <c r="Q20">
        <v>2</v>
      </c>
      <c r="R20">
        <v>2</v>
      </c>
      <c r="S20">
        <v>0</v>
      </c>
      <c r="T20">
        <v>3</v>
      </c>
      <c r="U20">
        <f>SUM(Table1[[#This Row],[Store_Purchases]]+Table1[[#This Row],[Catalog_Purchases]]+Table1[[#This Row],[Web_Purchases]]+Table1[[#This Row],[Deal_Purchases]])</f>
        <v>7</v>
      </c>
      <c r="V20">
        <v>8</v>
      </c>
      <c r="W20">
        <v>0</v>
      </c>
      <c r="X20">
        <v>0</v>
      </c>
      <c r="Y20">
        <v>0</v>
      </c>
      <c r="Z20">
        <v>0</v>
      </c>
      <c r="AA20">
        <v>0</v>
      </c>
      <c r="AB20">
        <f>SUM(Table1[[#This Row],[Accepted_Campaign_2]]+Table1[[#This Row],[Accepted_Campaign_1]]+Table1[[#This Row],[Accepted_Campaign_5]]+Table1[[#This Row],[Accepted_Campaign_4]]+Table1[[#This Row],[Accepted_Campaign_3]])</f>
        <v>0</v>
      </c>
      <c r="AC20">
        <v>0</v>
      </c>
      <c r="AD20">
        <v>0</v>
      </c>
    </row>
    <row r="21" spans="1:30" x14ac:dyDescent="0.25">
      <c r="A21">
        <v>41456</v>
      </c>
      <c r="B21">
        <v>2795</v>
      </c>
      <c r="C21">
        <v>1958</v>
      </c>
      <c r="D21" t="s">
        <v>10</v>
      </c>
      <c r="E21" t="s">
        <v>18</v>
      </c>
      <c r="F21" t="s">
        <v>9</v>
      </c>
      <c r="G21">
        <v>30523</v>
      </c>
      <c r="H21">
        <v>3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f>SUM(Table1[[#This Row],[Gold Spending]]+Table1[[#This Row],[Sweet Spending]]+Table1[[#This Row],[Fish Spending]]+Table1[[#This Row],[Meat Spending]]+Table1[[#This Row],[Fruits Spending]]+Table1[[#This Row],[Wine Spending ]])</f>
        <v>13</v>
      </c>
      <c r="Q21">
        <v>1</v>
      </c>
      <c r="R21">
        <v>1</v>
      </c>
      <c r="S21">
        <v>0</v>
      </c>
      <c r="T21">
        <v>2</v>
      </c>
      <c r="U21">
        <f>SUM(Table1[[#This Row],[Store_Purchases]]+Table1[[#This Row],[Catalog_Purchases]]+Table1[[#This Row],[Web_Purchases]]+Table1[[#This Row],[Deal_Purchases]])</f>
        <v>4</v>
      </c>
      <c r="V21">
        <v>7</v>
      </c>
      <c r="W21">
        <v>0</v>
      </c>
      <c r="X21">
        <v>0</v>
      </c>
      <c r="Y21">
        <v>0</v>
      </c>
      <c r="Z21">
        <v>0</v>
      </c>
      <c r="AA21">
        <v>0</v>
      </c>
      <c r="AB21">
        <f>SUM(Table1[[#This Row],[Accepted_Campaign_2]]+Table1[[#This Row],[Accepted_Campaign_1]]+Table1[[#This Row],[Accepted_Campaign_5]]+Table1[[#This Row],[Accepted_Campaign_4]]+Table1[[#This Row],[Accepted_Campaign_3]])</f>
        <v>0</v>
      </c>
      <c r="AC21">
        <v>0</v>
      </c>
      <c r="AD21">
        <v>0</v>
      </c>
    </row>
    <row r="22" spans="1:30" x14ac:dyDescent="0.25">
      <c r="A22">
        <v>41422</v>
      </c>
      <c r="B22">
        <v>2285</v>
      </c>
      <c r="C22">
        <v>1954</v>
      </c>
      <c r="D22" t="s">
        <v>20</v>
      </c>
      <c r="E22" t="s">
        <v>18</v>
      </c>
      <c r="F22" t="s">
        <v>12</v>
      </c>
      <c r="G22">
        <v>36634</v>
      </c>
      <c r="H22">
        <v>1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f>SUM(Table1[[#This Row],[Gold Spending]]+Table1[[#This Row],[Sweet Spending]]+Table1[[#This Row],[Fish Spending]]+Table1[[#This Row],[Meat Spending]]+Table1[[#This Row],[Fruits Spending]]+Table1[[#This Row],[Wine Spending ]])</f>
        <v>335</v>
      </c>
      <c r="Q22">
        <v>3</v>
      </c>
      <c r="R22">
        <v>5</v>
      </c>
      <c r="S22">
        <v>2</v>
      </c>
      <c r="T22">
        <v>5</v>
      </c>
      <c r="U22">
        <f>SUM(Table1[[#This Row],[Store_Purchases]]+Table1[[#This Row],[Catalog_Purchases]]+Table1[[#This Row],[Web_Purchases]]+Table1[[#This Row],[Deal_Purchases]])</f>
        <v>15</v>
      </c>
      <c r="V22">
        <v>7</v>
      </c>
      <c r="W22">
        <v>0</v>
      </c>
      <c r="X22">
        <v>0</v>
      </c>
      <c r="Y22">
        <v>0</v>
      </c>
      <c r="Z22">
        <v>0</v>
      </c>
      <c r="AA22">
        <v>0</v>
      </c>
      <c r="AB22">
        <f>SUM(Table1[[#This Row],[Accepted_Campaign_2]]+Table1[[#This Row],[Accepted_Campaign_1]]+Table1[[#This Row],[Accepted_Campaign_5]]+Table1[[#This Row],[Accepted_Campaign_4]]+Table1[[#This Row],[Accepted_Campaign_3]])</f>
        <v>0</v>
      </c>
      <c r="AC22">
        <v>0</v>
      </c>
      <c r="AD22">
        <v>0</v>
      </c>
    </row>
    <row r="23" spans="1:30" x14ac:dyDescent="0.25">
      <c r="A23">
        <v>41359</v>
      </c>
      <c r="B23">
        <v>115</v>
      </c>
      <c r="C23">
        <v>1966</v>
      </c>
      <c r="D23" t="s">
        <v>17</v>
      </c>
      <c r="E23" t="s">
        <v>18</v>
      </c>
      <c r="F23" t="s">
        <v>9</v>
      </c>
      <c r="G23">
        <v>43456</v>
      </c>
      <c r="H23">
        <v>1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f>SUM(Table1[[#This Row],[Gold Spending]]+Table1[[#This Row],[Sweet Spending]]+Table1[[#This Row],[Fish Spending]]+Table1[[#This Row],[Meat Spending]]+Table1[[#This Row],[Fruits Spending]]+Table1[[#This Row],[Wine Spending ]])</f>
        <v>393</v>
      </c>
      <c r="Q23">
        <v>3</v>
      </c>
      <c r="R23">
        <v>5</v>
      </c>
      <c r="S23">
        <v>1</v>
      </c>
      <c r="T23">
        <v>8</v>
      </c>
      <c r="U23">
        <f>SUM(Table1[[#This Row],[Store_Purchases]]+Table1[[#This Row],[Catalog_Purchases]]+Table1[[#This Row],[Web_Purchases]]+Table1[[#This Row],[Deal_Purchases]])</f>
        <v>17</v>
      </c>
      <c r="V23">
        <v>5</v>
      </c>
      <c r="W23">
        <v>0</v>
      </c>
      <c r="X23">
        <v>0</v>
      </c>
      <c r="Y23">
        <v>0</v>
      </c>
      <c r="Z23">
        <v>0</v>
      </c>
      <c r="AA23">
        <v>0</v>
      </c>
      <c r="AB23">
        <f>SUM(Table1[[#This Row],[Accepted_Campaign_2]]+Table1[[#This Row],[Accepted_Campaign_1]]+Table1[[#This Row],[Accepted_Campaign_5]]+Table1[[#This Row],[Accepted_Campaign_4]]+Table1[[#This Row],[Accepted_Campaign_3]])</f>
        <v>0</v>
      </c>
      <c r="AC23">
        <v>0</v>
      </c>
      <c r="AD23">
        <v>0</v>
      </c>
    </row>
    <row r="24" spans="1:30" x14ac:dyDescent="0.25">
      <c r="A24">
        <v>41348</v>
      </c>
      <c r="B24">
        <v>10470</v>
      </c>
      <c r="C24">
        <v>1979</v>
      </c>
      <c r="D24" t="s">
        <v>16</v>
      </c>
      <c r="E24" t="s">
        <v>18</v>
      </c>
      <c r="F24" t="s">
        <v>11</v>
      </c>
      <c r="G24">
        <v>40662</v>
      </c>
      <c r="H24">
        <v>1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f>SUM(Table1[[#This Row],[Gold Spending]]+Table1[[#This Row],[Sweet Spending]]+Table1[[#This Row],[Fish Spending]]+Table1[[#This Row],[Meat Spending]]+Table1[[#This Row],[Fruits Spending]]+Table1[[#This Row],[Wine Spending ]])</f>
        <v>92</v>
      </c>
      <c r="Q24">
        <v>2</v>
      </c>
      <c r="R24">
        <v>2</v>
      </c>
      <c r="S24">
        <v>1</v>
      </c>
      <c r="T24">
        <v>3</v>
      </c>
      <c r="U24">
        <f>SUM(Table1[[#This Row],[Store_Purchases]]+Table1[[#This Row],[Catalog_Purchases]]+Table1[[#This Row],[Web_Purchases]]+Table1[[#This Row],[Deal_Purchases]])</f>
        <v>8</v>
      </c>
      <c r="V24">
        <v>4</v>
      </c>
      <c r="W24">
        <v>0</v>
      </c>
      <c r="X24">
        <v>0</v>
      </c>
      <c r="Y24">
        <v>0</v>
      </c>
      <c r="Z24">
        <v>0</v>
      </c>
      <c r="AA24">
        <v>0</v>
      </c>
      <c r="AB24">
        <f>SUM(Table1[[#This Row],[Accepted_Campaign_2]]+Table1[[#This Row],[Accepted_Campaign_1]]+Table1[[#This Row],[Accepted_Campaign_5]]+Table1[[#This Row],[Accepted_Campaign_4]]+Table1[[#This Row],[Accepted_Campaign_3]])</f>
        <v>0</v>
      </c>
      <c r="AC24">
        <v>0</v>
      </c>
      <c r="AD24">
        <v>0</v>
      </c>
    </row>
    <row r="25" spans="1:30" x14ac:dyDescent="0.25">
      <c r="A25">
        <v>41317</v>
      </c>
      <c r="B25">
        <v>4065</v>
      </c>
      <c r="C25">
        <v>1976</v>
      </c>
      <c r="D25" t="s">
        <v>8</v>
      </c>
      <c r="E25" t="s">
        <v>14</v>
      </c>
      <c r="F25" t="s">
        <v>11</v>
      </c>
      <c r="G25">
        <v>49544</v>
      </c>
      <c r="H25">
        <v>1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f>SUM(Table1[[#This Row],[Gold Spending]]+Table1[[#This Row],[Sweet Spending]]+Table1[[#This Row],[Fish Spending]]+Table1[[#This Row],[Meat Spending]]+Table1[[#This Row],[Fruits Spending]]+Table1[[#This Row],[Wine Spending ]])</f>
        <v>404</v>
      </c>
      <c r="Q25">
        <v>2</v>
      </c>
      <c r="R25">
        <v>5</v>
      </c>
      <c r="S25">
        <v>1</v>
      </c>
      <c r="T25">
        <v>8</v>
      </c>
      <c r="U25">
        <f>SUM(Table1[[#This Row],[Store_Purchases]]+Table1[[#This Row],[Catalog_Purchases]]+Table1[[#This Row],[Web_Purchases]]+Table1[[#This Row],[Deal_Purchases]])</f>
        <v>16</v>
      </c>
      <c r="V25">
        <v>7</v>
      </c>
      <c r="W25">
        <v>0</v>
      </c>
      <c r="X25">
        <v>0</v>
      </c>
      <c r="Y25">
        <v>0</v>
      </c>
      <c r="Z25">
        <v>0</v>
      </c>
      <c r="AA25">
        <v>0</v>
      </c>
      <c r="AB25">
        <f>SUM(Table1[[#This Row],[Accepted_Campaign_2]]+Table1[[#This Row],[Accepted_Campaign_1]]+Table1[[#This Row],[Accepted_Campaign_5]]+Table1[[#This Row],[Accepted_Campaign_4]]+Table1[[#This Row],[Accepted_Campaign_3]])</f>
        <v>0</v>
      </c>
      <c r="AC25">
        <v>0</v>
      </c>
      <c r="AD25">
        <v>0</v>
      </c>
    </row>
    <row r="26" spans="1:30" x14ac:dyDescent="0.25">
      <c r="A26">
        <v>41236</v>
      </c>
      <c r="B26">
        <v>10968</v>
      </c>
      <c r="C26">
        <v>1969</v>
      </c>
      <c r="D26" t="s">
        <v>17</v>
      </c>
      <c r="E26" t="s">
        <v>6</v>
      </c>
      <c r="F26" t="s">
        <v>9</v>
      </c>
      <c r="G26">
        <v>57731</v>
      </c>
      <c r="H26">
        <v>1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f>SUM(Table1[[#This Row],[Gold Spending]]+Table1[[#This Row],[Sweet Spending]]+Table1[[#This Row],[Fish Spending]]+Table1[[#This Row],[Meat Spending]]+Table1[[#This Row],[Fruits Spending]]+Table1[[#This Row],[Wine Spending ]])</f>
        <v>704</v>
      </c>
      <c r="Q26">
        <v>4</v>
      </c>
      <c r="R26">
        <v>8</v>
      </c>
      <c r="S26">
        <v>8</v>
      </c>
      <c r="T26">
        <v>6</v>
      </c>
      <c r="U26">
        <f>SUM(Table1[[#This Row],[Store_Purchases]]+Table1[[#This Row],[Catalog_Purchases]]+Table1[[#This Row],[Web_Purchases]]+Table1[[#This Row],[Deal_Purchases]])</f>
        <v>26</v>
      </c>
      <c r="V26">
        <v>6</v>
      </c>
      <c r="W26">
        <v>0</v>
      </c>
      <c r="X26">
        <v>0</v>
      </c>
      <c r="Y26">
        <v>0</v>
      </c>
      <c r="Z26">
        <v>0</v>
      </c>
      <c r="AA26">
        <v>0</v>
      </c>
      <c r="AB26">
        <f>SUM(Table1[[#This Row],[Accepted_Campaign_2]]+Table1[[#This Row],[Accepted_Campaign_1]]+Table1[[#This Row],[Accepted_Campaign_5]]+Table1[[#This Row],[Accepted_Campaign_4]]+Table1[[#This Row],[Accepted_Campaign_3]])</f>
        <v>0</v>
      </c>
      <c r="AC26">
        <v>0</v>
      </c>
      <c r="AD26">
        <v>0</v>
      </c>
    </row>
    <row r="27" spans="1:30" x14ac:dyDescent="0.25">
      <c r="A27">
        <v>41195</v>
      </c>
      <c r="B27">
        <v>5985</v>
      </c>
      <c r="C27">
        <v>1965</v>
      </c>
      <c r="D27" t="s">
        <v>8</v>
      </c>
      <c r="E27" t="s">
        <v>18</v>
      </c>
      <c r="F27" t="s">
        <v>9</v>
      </c>
      <c r="G27">
        <v>33168</v>
      </c>
      <c r="H27">
        <v>1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f>SUM(Table1[[#This Row],[Gold Spending]]+Table1[[#This Row],[Sweet Spending]]+Table1[[#This Row],[Fish Spending]]+Table1[[#This Row],[Meat Spending]]+Table1[[#This Row],[Fruits Spending]]+Table1[[#This Row],[Wine Spending ]])</f>
        <v>122</v>
      </c>
      <c r="Q27">
        <v>3</v>
      </c>
      <c r="R27">
        <v>2</v>
      </c>
      <c r="S27">
        <v>1</v>
      </c>
      <c r="T27">
        <v>4</v>
      </c>
      <c r="U27">
        <f>SUM(Table1[[#This Row],[Store_Purchases]]+Table1[[#This Row],[Catalog_Purchases]]+Table1[[#This Row],[Web_Purchases]]+Table1[[#This Row],[Deal_Purchases]])</f>
        <v>10</v>
      </c>
      <c r="V27">
        <v>7</v>
      </c>
      <c r="W27">
        <v>0</v>
      </c>
      <c r="X27">
        <v>0</v>
      </c>
      <c r="Y27">
        <v>0</v>
      </c>
      <c r="Z27">
        <v>0</v>
      </c>
      <c r="AA27">
        <v>0</v>
      </c>
      <c r="AB27">
        <f>SUM(Table1[[#This Row],[Accepted_Campaign_2]]+Table1[[#This Row],[Accepted_Campaign_1]]+Table1[[#This Row],[Accepted_Campaign_5]]+Table1[[#This Row],[Accepted_Campaign_4]]+Table1[[#This Row],[Accepted_Campaign_3]])</f>
        <v>0</v>
      </c>
      <c r="AC27">
        <v>0</v>
      </c>
      <c r="AD27">
        <v>0</v>
      </c>
    </row>
    <row r="28" spans="1:30" x14ac:dyDescent="0.25">
      <c r="A28">
        <v>41166</v>
      </c>
      <c r="B28">
        <v>5430</v>
      </c>
      <c r="C28">
        <v>1956</v>
      </c>
      <c r="D28" t="s">
        <v>8</v>
      </c>
      <c r="E28" t="s">
        <v>6</v>
      </c>
      <c r="F28" t="s">
        <v>12</v>
      </c>
      <c r="G28">
        <v>54450</v>
      </c>
      <c r="H28">
        <v>2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f>SUM(Table1[[#This Row],[Gold Spending]]+Table1[[#This Row],[Sweet Spending]]+Table1[[#This Row],[Fish Spending]]+Table1[[#This Row],[Meat Spending]]+Table1[[#This Row],[Fruits Spending]]+Table1[[#This Row],[Wine Spending ]])</f>
        <v>684</v>
      </c>
      <c r="Q28">
        <v>12</v>
      </c>
      <c r="R28">
        <v>9</v>
      </c>
      <c r="S28">
        <v>2</v>
      </c>
      <c r="T28">
        <v>8</v>
      </c>
      <c r="U28">
        <f>SUM(Table1[[#This Row],[Store_Purchases]]+Table1[[#This Row],[Catalog_Purchases]]+Table1[[#This Row],[Web_Purchases]]+Table1[[#This Row],[Deal_Purchases]])</f>
        <v>31</v>
      </c>
      <c r="V28">
        <v>8</v>
      </c>
      <c r="W28">
        <v>0</v>
      </c>
      <c r="X28">
        <v>0</v>
      </c>
      <c r="Y28">
        <v>0</v>
      </c>
      <c r="Z28">
        <v>0</v>
      </c>
      <c r="AA28">
        <v>0</v>
      </c>
      <c r="AB28">
        <f>SUM(Table1[[#This Row],[Accepted_Campaign_2]]+Table1[[#This Row],[Accepted_Campaign_1]]+Table1[[#This Row],[Accepted_Campaign_5]]+Table1[[#This Row],[Accepted_Campaign_4]]+Table1[[#This Row],[Accepted_Campaign_3]])</f>
        <v>0</v>
      </c>
      <c r="AC28">
        <v>0</v>
      </c>
      <c r="AD28">
        <v>0</v>
      </c>
    </row>
    <row r="29" spans="1:30" x14ac:dyDescent="0.25">
      <c r="A29">
        <v>41166</v>
      </c>
      <c r="B29">
        <v>8432</v>
      </c>
      <c r="C29">
        <v>1956</v>
      </c>
      <c r="D29" t="s">
        <v>8</v>
      </c>
      <c r="E29" t="s">
        <v>6</v>
      </c>
      <c r="F29" t="s">
        <v>12</v>
      </c>
      <c r="G29">
        <v>54450</v>
      </c>
      <c r="H29">
        <v>2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f>SUM(Table1[[#This Row],[Gold Spending]]+Table1[[#This Row],[Sweet Spending]]+Table1[[#This Row],[Fish Spending]]+Table1[[#This Row],[Meat Spending]]+Table1[[#This Row],[Fruits Spending]]+Table1[[#This Row],[Wine Spending ]])</f>
        <v>684</v>
      </c>
      <c r="Q29">
        <v>12</v>
      </c>
      <c r="R29">
        <v>9</v>
      </c>
      <c r="S29">
        <v>2</v>
      </c>
      <c r="T29">
        <v>8</v>
      </c>
      <c r="U29">
        <f>SUM(Table1[[#This Row],[Store_Purchases]]+Table1[[#This Row],[Catalog_Purchases]]+Table1[[#This Row],[Web_Purchases]]+Table1[[#This Row],[Deal_Purchases]])</f>
        <v>31</v>
      </c>
      <c r="V29">
        <v>8</v>
      </c>
      <c r="W29">
        <v>0</v>
      </c>
      <c r="X29">
        <v>0</v>
      </c>
      <c r="Y29">
        <v>0</v>
      </c>
      <c r="Z29">
        <v>0</v>
      </c>
      <c r="AA29">
        <v>0</v>
      </c>
      <c r="AB29">
        <f>SUM(Table1[[#This Row],[Accepted_Campaign_2]]+Table1[[#This Row],[Accepted_Campaign_1]]+Table1[[#This Row],[Accepted_Campaign_5]]+Table1[[#This Row],[Accepted_Campaign_4]]+Table1[[#This Row],[Accepted_Campaign_3]])</f>
        <v>0</v>
      </c>
      <c r="AC29">
        <v>0</v>
      </c>
      <c r="AD29">
        <v>0</v>
      </c>
    </row>
    <row r="30" spans="1:30" x14ac:dyDescent="0.25">
      <c r="A30">
        <v>41819</v>
      </c>
      <c r="B30">
        <v>453</v>
      </c>
      <c r="C30">
        <v>1956</v>
      </c>
      <c r="D30" t="s">
        <v>8</v>
      </c>
      <c r="E30" t="s">
        <v>14</v>
      </c>
      <c r="F30" t="s">
        <v>19</v>
      </c>
      <c r="G30">
        <v>35340</v>
      </c>
      <c r="H30">
        <v>2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f>SUM(Table1[[#This Row],[Gold Spending]]+Table1[[#This Row],[Sweet Spending]]+Table1[[#This Row],[Fish Spending]]+Table1[[#This Row],[Meat Spending]]+Table1[[#This Row],[Fruits Spending]]+Table1[[#This Row],[Wine Spending ]])</f>
        <v>45</v>
      </c>
      <c r="Q30">
        <v>2</v>
      </c>
      <c r="R30">
        <v>2</v>
      </c>
      <c r="S30">
        <v>0</v>
      </c>
      <c r="T30">
        <v>3</v>
      </c>
      <c r="U30">
        <f>SUM(Table1[[#This Row],[Store_Purchases]]+Table1[[#This Row],[Catalog_Purchases]]+Table1[[#This Row],[Web_Purchases]]+Table1[[#This Row],[Deal_Purchases]])</f>
        <v>7</v>
      </c>
      <c r="V30">
        <v>5</v>
      </c>
      <c r="W30">
        <v>0</v>
      </c>
      <c r="X30">
        <v>0</v>
      </c>
      <c r="Y30">
        <v>0</v>
      </c>
      <c r="Z30">
        <v>0</v>
      </c>
      <c r="AA30">
        <v>0</v>
      </c>
      <c r="AB30">
        <f>SUM(Table1[[#This Row],[Accepted_Campaign_2]]+Table1[[#This Row],[Accepted_Campaign_1]]+Table1[[#This Row],[Accepted_Campaign_5]]+Table1[[#This Row],[Accepted_Campaign_4]]+Table1[[#This Row],[Accepted_Campaign_3]])</f>
        <v>0</v>
      </c>
      <c r="AC30">
        <v>0</v>
      </c>
      <c r="AD30">
        <v>0</v>
      </c>
    </row>
    <row r="31" spans="1:30" x14ac:dyDescent="0.25">
      <c r="A31">
        <v>41790</v>
      </c>
      <c r="B31">
        <v>9687</v>
      </c>
      <c r="C31">
        <v>1975</v>
      </c>
      <c r="D31" t="s">
        <v>10</v>
      </c>
      <c r="E31" t="s">
        <v>6</v>
      </c>
      <c r="F31" t="s">
        <v>9</v>
      </c>
      <c r="G31">
        <v>73170</v>
      </c>
      <c r="H31">
        <v>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f>SUM(Table1[[#This Row],[Gold Spending]]+Table1[[#This Row],[Sweet Spending]]+Table1[[#This Row],[Fish Spending]]+Table1[[#This Row],[Meat Spending]]+Table1[[#This Row],[Fruits Spending]]+Table1[[#This Row],[Wine Spending ]])</f>
        <v>726</v>
      </c>
      <c r="Q31">
        <v>1</v>
      </c>
      <c r="R31">
        <v>5</v>
      </c>
      <c r="S31">
        <v>4</v>
      </c>
      <c r="T31">
        <v>6</v>
      </c>
      <c r="U31">
        <f>SUM(Table1[[#This Row],[Store_Purchases]]+Table1[[#This Row],[Catalog_Purchases]]+Table1[[#This Row],[Web_Purchases]]+Table1[[#This Row],[Deal_Purchases]])</f>
        <v>16</v>
      </c>
      <c r="V31">
        <v>2</v>
      </c>
      <c r="W31">
        <v>0</v>
      </c>
      <c r="X31">
        <v>0</v>
      </c>
      <c r="Y31">
        <v>0</v>
      </c>
      <c r="Z31">
        <v>0</v>
      </c>
      <c r="AA31">
        <v>0</v>
      </c>
      <c r="AB31">
        <f>SUM(Table1[[#This Row],[Accepted_Campaign_2]]+Table1[[#This Row],[Accepted_Campaign_1]]+Table1[[#This Row],[Accepted_Campaign_5]]+Table1[[#This Row],[Accepted_Campaign_4]]+Table1[[#This Row],[Accepted_Campaign_3]])</f>
        <v>0</v>
      </c>
      <c r="AC31">
        <v>0</v>
      </c>
      <c r="AD31">
        <v>0</v>
      </c>
    </row>
    <row r="32" spans="1:30" x14ac:dyDescent="0.25">
      <c r="A32">
        <v>41789</v>
      </c>
      <c r="B32">
        <v>8890</v>
      </c>
      <c r="C32">
        <v>1971</v>
      </c>
      <c r="D32" t="s">
        <v>8</v>
      </c>
      <c r="E32" t="s">
        <v>14</v>
      </c>
      <c r="F32" t="s">
        <v>7</v>
      </c>
      <c r="G32">
        <v>65808</v>
      </c>
      <c r="H32">
        <v>2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f>SUM(Table1[[#This Row],[Gold Spending]]+Table1[[#This Row],[Sweet Spending]]+Table1[[#This Row],[Fish Spending]]+Table1[[#This Row],[Meat Spending]]+Table1[[#This Row],[Fruits Spending]]+Table1[[#This Row],[Wine Spending ]])</f>
        <v>272</v>
      </c>
      <c r="Q32">
        <v>3</v>
      </c>
      <c r="R32">
        <v>5</v>
      </c>
      <c r="S32">
        <v>1</v>
      </c>
      <c r="T32">
        <v>5</v>
      </c>
      <c r="U32">
        <f>SUM(Table1[[#This Row],[Store_Purchases]]+Table1[[#This Row],[Catalog_Purchases]]+Table1[[#This Row],[Web_Purchases]]+Table1[[#This Row],[Deal_Purchases]])</f>
        <v>14</v>
      </c>
      <c r="V32">
        <v>6</v>
      </c>
      <c r="W32">
        <v>0</v>
      </c>
      <c r="X32">
        <v>0</v>
      </c>
      <c r="Y32">
        <v>0</v>
      </c>
      <c r="Z32">
        <v>0</v>
      </c>
      <c r="AA32">
        <v>0</v>
      </c>
      <c r="AB32">
        <f>SUM(Table1[[#This Row],[Accepted_Campaign_2]]+Table1[[#This Row],[Accepted_Campaign_1]]+Table1[[#This Row],[Accepted_Campaign_5]]+Table1[[#This Row],[Accepted_Campaign_4]]+Table1[[#This Row],[Accepted_Campaign_3]])</f>
        <v>0</v>
      </c>
      <c r="AC32">
        <v>0</v>
      </c>
      <c r="AD32">
        <v>0</v>
      </c>
    </row>
    <row r="33" spans="1:30" x14ac:dyDescent="0.25">
      <c r="A33">
        <v>41756</v>
      </c>
      <c r="B33">
        <v>9264</v>
      </c>
      <c r="C33">
        <v>1986</v>
      </c>
      <c r="D33" t="s">
        <v>10</v>
      </c>
      <c r="E33" t="s">
        <v>6</v>
      </c>
      <c r="F33" t="s">
        <v>11</v>
      </c>
      <c r="G33">
        <v>79529</v>
      </c>
      <c r="H33">
        <v>0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f>SUM(Table1[[#This Row],[Gold Spending]]+Table1[[#This Row],[Sweet Spending]]+Table1[[#This Row],[Fish Spending]]+Table1[[#This Row],[Meat Spending]]+Table1[[#This Row],[Fruits Spending]]+Table1[[#This Row],[Wine Spending ]])</f>
        <v>1638</v>
      </c>
      <c r="Q33">
        <v>1</v>
      </c>
      <c r="R33">
        <v>4</v>
      </c>
      <c r="S33">
        <v>8</v>
      </c>
      <c r="T33">
        <v>9</v>
      </c>
      <c r="U33">
        <f>SUM(Table1[[#This Row],[Store_Purchases]]+Table1[[#This Row],[Catalog_Purchases]]+Table1[[#This Row],[Web_Purchases]]+Table1[[#This Row],[Deal_Purchases]])</f>
        <v>22</v>
      </c>
      <c r="V33">
        <v>2</v>
      </c>
      <c r="W33">
        <v>0</v>
      </c>
      <c r="X33">
        <v>0</v>
      </c>
      <c r="Y33">
        <v>0</v>
      </c>
      <c r="Z33">
        <v>0</v>
      </c>
      <c r="AA33">
        <v>0</v>
      </c>
      <c r="AB33">
        <f>SUM(Table1[[#This Row],[Accepted_Campaign_2]]+Table1[[#This Row],[Accepted_Campaign_1]]+Table1[[#This Row],[Accepted_Campaign_5]]+Table1[[#This Row],[Accepted_Campaign_4]]+Table1[[#This Row],[Accepted_Campaign_3]])</f>
        <v>0</v>
      </c>
      <c r="AC33">
        <v>0</v>
      </c>
      <c r="AD33">
        <v>0</v>
      </c>
    </row>
    <row r="34" spans="1:30" x14ac:dyDescent="0.25">
      <c r="A34">
        <v>41740</v>
      </c>
      <c r="B34">
        <v>5824</v>
      </c>
      <c r="C34">
        <v>1972</v>
      </c>
      <c r="D34" t="s">
        <v>13</v>
      </c>
      <c r="E34" t="s">
        <v>14</v>
      </c>
      <c r="F34" t="s">
        <v>12</v>
      </c>
      <c r="G34">
        <v>34578</v>
      </c>
      <c r="H34">
        <v>3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f>SUM(Table1[[#This Row],[Gold Spending]]+Table1[[#This Row],[Sweet Spending]]+Table1[[#This Row],[Fish Spending]]+Table1[[#This Row],[Meat Spending]]+Table1[[#This Row],[Fruits Spending]]+Table1[[#This Row],[Wine Spending ]])</f>
        <v>8</v>
      </c>
      <c r="Q34">
        <v>1</v>
      </c>
      <c r="R34">
        <v>1</v>
      </c>
      <c r="S34">
        <v>0</v>
      </c>
      <c r="T34">
        <v>2</v>
      </c>
      <c r="U34">
        <f>SUM(Table1[[#This Row],[Store_Purchases]]+Table1[[#This Row],[Catalog_Purchases]]+Table1[[#This Row],[Web_Purchases]]+Table1[[#This Row],[Deal_Purchases]])</f>
        <v>4</v>
      </c>
      <c r="V34">
        <v>6</v>
      </c>
      <c r="W34">
        <v>0</v>
      </c>
      <c r="X34">
        <v>0</v>
      </c>
      <c r="Y34">
        <v>0</v>
      </c>
      <c r="Z34">
        <v>0</v>
      </c>
      <c r="AA34">
        <v>0</v>
      </c>
      <c r="AB34">
        <f>SUM(Table1[[#This Row],[Accepted_Campaign_2]]+Table1[[#This Row],[Accepted_Campaign_1]]+Table1[[#This Row],[Accepted_Campaign_5]]+Table1[[#This Row],[Accepted_Campaign_4]]+Table1[[#This Row],[Accepted_Campaign_3]])</f>
        <v>0</v>
      </c>
      <c r="AC34">
        <v>0</v>
      </c>
      <c r="AD34">
        <v>0</v>
      </c>
    </row>
    <row r="35" spans="1:30" x14ac:dyDescent="0.25">
      <c r="A35">
        <v>41715</v>
      </c>
      <c r="B35">
        <v>5794</v>
      </c>
      <c r="C35">
        <v>1974</v>
      </c>
      <c r="D35" t="s">
        <v>17</v>
      </c>
      <c r="E35" t="s">
        <v>14</v>
      </c>
      <c r="F35" t="s">
        <v>11</v>
      </c>
      <c r="G35">
        <v>46374</v>
      </c>
      <c r="H35">
        <v>1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f>SUM(Table1[[#This Row],[Gold Spending]]+Table1[[#This Row],[Sweet Spending]]+Table1[[#This Row],[Fish Spending]]+Table1[[#This Row],[Meat Spending]]+Table1[[#This Row],[Fruits Spending]]+Table1[[#This Row],[Wine Spending ]])</f>
        <v>446</v>
      </c>
      <c r="Q35">
        <v>3</v>
      </c>
      <c r="R35">
        <v>7</v>
      </c>
      <c r="S35">
        <v>1</v>
      </c>
      <c r="T35">
        <v>7</v>
      </c>
      <c r="U35">
        <f>SUM(Table1[[#This Row],[Store_Purchases]]+Table1[[#This Row],[Catalog_Purchases]]+Table1[[#This Row],[Web_Purchases]]+Table1[[#This Row],[Deal_Purchases]])</f>
        <v>18</v>
      </c>
      <c r="V35">
        <v>8</v>
      </c>
      <c r="W35">
        <v>0</v>
      </c>
      <c r="X35">
        <v>1</v>
      </c>
      <c r="Y35">
        <v>0</v>
      </c>
      <c r="Z35">
        <v>1</v>
      </c>
      <c r="AA35">
        <v>0</v>
      </c>
      <c r="AB35">
        <f>SUM(Table1[[#This Row],[Accepted_Campaign_2]]+Table1[[#This Row],[Accepted_Campaign_1]]+Table1[[#This Row],[Accepted_Campaign_5]]+Table1[[#This Row],[Accepted_Campaign_4]]+Table1[[#This Row],[Accepted_Campaign_3]])</f>
        <v>2</v>
      </c>
      <c r="AC35">
        <v>1</v>
      </c>
      <c r="AD35">
        <v>0</v>
      </c>
    </row>
    <row r="36" spans="1:30" x14ac:dyDescent="0.25">
      <c r="A36">
        <v>41576</v>
      </c>
      <c r="B36">
        <v>3068</v>
      </c>
      <c r="C36">
        <v>1990</v>
      </c>
      <c r="D36" t="s">
        <v>8</v>
      </c>
      <c r="E36" t="s">
        <v>6</v>
      </c>
      <c r="F36" t="s">
        <v>11</v>
      </c>
      <c r="G36">
        <v>18351</v>
      </c>
      <c r="H36">
        <v>0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f>SUM(Table1[[#This Row],[Gold Spending]]+Table1[[#This Row],[Sweet Spending]]+Table1[[#This Row],[Fish Spending]]+Table1[[#This Row],[Meat Spending]]+Table1[[#This Row],[Fruits Spending]]+Table1[[#This Row],[Wine Spending ]])</f>
        <v>43</v>
      </c>
      <c r="Q36">
        <v>1</v>
      </c>
      <c r="R36">
        <v>2</v>
      </c>
      <c r="S36">
        <v>0</v>
      </c>
      <c r="T36">
        <v>3</v>
      </c>
      <c r="U36">
        <f>SUM(Table1[[#This Row],[Store_Purchases]]+Table1[[#This Row],[Catalog_Purchases]]+Table1[[#This Row],[Web_Purchases]]+Table1[[#This Row],[Deal_Purchases]])</f>
        <v>6</v>
      </c>
      <c r="V36">
        <v>7</v>
      </c>
      <c r="W36">
        <v>0</v>
      </c>
      <c r="X36">
        <v>0</v>
      </c>
      <c r="Y36">
        <v>0</v>
      </c>
      <c r="Z36">
        <v>0</v>
      </c>
      <c r="AA36">
        <v>0</v>
      </c>
      <c r="AB36">
        <f>SUM(Table1[[#This Row],[Accepted_Campaign_2]]+Table1[[#This Row],[Accepted_Campaign_1]]+Table1[[#This Row],[Accepted_Campaign_5]]+Table1[[#This Row],[Accepted_Campaign_4]]+Table1[[#This Row],[Accepted_Campaign_3]])</f>
        <v>0</v>
      </c>
      <c r="AC36">
        <v>0</v>
      </c>
      <c r="AD36">
        <v>0</v>
      </c>
    </row>
    <row r="37" spans="1:30" x14ac:dyDescent="0.25">
      <c r="A37">
        <v>41556</v>
      </c>
      <c r="B37">
        <v>7962</v>
      </c>
      <c r="C37">
        <v>1987</v>
      </c>
      <c r="D37" t="s">
        <v>8</v>
      </c>
      <c r="E37" t="s">
        <v>14</v>
      </c>
      <c r="F37" t="s">
        <v>9</v>
      </c>
      <c r="G37">
        <v>95169</v>
      </c>
      <c r="H37">
        <v>0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f>SUM(Table1[[#This Row],[Gold Spending]]+Table1[[#This Row],[Sweet Spending]]+Table1[[#This Row],[Fish Spending]]+Table1[[#This Row],[Meat Spending]]+Table1[[#This Row],[Fruits Spending]]+Table1[[#This Row],[Wine Spending ]])</f>
        <v>1901</v>
      </c>
      <c r="Q37">
        <v>1</v>
      </c>
      <c r="R37">
        <v>4</v>
      </c>
      <c r="S37">
        <v>3</v>
      </c>
      <c r="T37">
        <v>4</v>
      </c>
      <c r="U37">
        <f>SUM(Table1[[#This Row],[Store_Purchases]]+Table1[[#This Row],[Catalog_Purchases]]+Table1[[#This Row],[Web_Purchases]]+Table1[[#This Row],[Deal_Purchases]])</f>
        <v>12</v>
      </c>
      <c r="V37">
        <v>1</v>
      </c>
      <c r="W37">
        <v>0</v>
      </c>
      <c r="X37">
        <v>0</v>
      </c>
      <c r="Y37">
        <v>1</v>
      </c>
      <c r="Z37">
        <v>1</v>
      </c>
      <c r="AA37">
        <v>0</v>
      </c>
      <c r="AB37">
        <f>SUM(Table1[[#This Row],[Accepted_Campaign_2]]+Table1[[#This Row],[Accepted_Campaign_1]]+Table1[[#This Row],[Accepted_Campaign_5]]+Table1[[#This Row],[Accepted_Campaign_4]]+Table1[[#This Row],[Accepted_Campaign_3]])</f>
        <v>2</v>
      </c>
      <c r="AC37">
        <v>1</v>
      </c>
      <c r="AD37">
        <v>0</v>
      </c>
    </row>
    <row r="38" spans="1:30" x14ac:dyDescent="0.25">
      <c r="A38">
        <v>41487</v>
      </c>
      <c r="B38">
        <v>2681</v>
      </c>
      <c r="C38">
        <v>1984</v>
      </c>
      <c r="D38" t="s">
        <v>8</v>
      </c>
      <c r="E38" t="s">
        <v>15</v>
      </c>
      <c r="F38" t="s">
        <v>11</v>
      </c>
      <c r="G38">
        <v>65370</v>
      </c>
      <c r="H38">
        <v>0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f>SUM(Table1[[#This Row],[Gold Spending]]+Table1[[#This Row],[Sweet Spending]]+Table1[[#This Row],[Fish Spending]]+Table1[[#This Row],[Meat Spending]]+Table1[[#This Row],[Fruits Spending]]+Table1[[#This Row],[Wine Spending ]])</f>
        <v>461</v>
      </c>
      <c r="Q38">
        <v>1</v>
      </c>
      <c r="R38">
        <v>2</v>
      </c>
      <c r="S38">
        <v>3</v>
      </c>
      <c r="T38">
        <v>13</v>
      </c>
      <c r="U38">
        <f>SUM(Table1[[#This Row],[Store_Purchases]]+Table1[[#This Row],[Catalog_Purchases]]+Table1[[#This Row],[Web_Purchases]]+Table1[[#This Row],[Deal_Purchases]])</f>
        <v>19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f>SUM(Table1[[#This Row],[Accepted_Campaign_2]]+Table1[[#This Row],[Accepted_Campaign_1]]+Table1[[#This Row],[Accepted_Campaign_5]]+Table1[[#This Row],[Accepted_Campaign_4]]+Table1[[#This Row],[Accepted_Campaign_3]])</f>
        <v>0</v>
      </c>
      <c r="AC38">
        <v>0</v>
      </c>
      <c r="AD38">
        <v>0</v>
      </c>
    </row>
    <row r="39" spans="1:30" x14ac:dyDescent="0.25">
      <c r="A39">
        <v>41404</v>
      </c>
      <c r="B39">
        <v>10141</v>
      </c>
      <c r="C39">
        <v>1960</v>
      </c>
      <c r="D39" t="s">
        <v>20</v>
      </c>
      <c r="E39" t="s">
        <v>18</v>
      </c>
      <c r="F39" t="s">
        <v>7</v>
      </c>
      <c r="G39">
        <v>39228</v>
      </c>
      <c r="H39">
        <v>0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f>SUM(Table1[[#This Row],[Gold Spending]]+Table1[[#This Row],[Sweet Spending]]+Table1[[#This Row],[Fish Spending]]+Table1[[#This Row],[Meat Spending]]+Table1[[#This Row],[Fruits Spending]]+Table1[[#This Row],[Wine Spending ]])</f>
        <v>20</v>
      </c>
      <c r="Q39">
        <v>1</v>
      </c>
      <c r="R39">
        <v>0</v>
      </c>
      <c r="S39">
        <v>0</v>
      </c>
      <c r="T39">
        <v>3</v>
      </c>
      <c r="U39">
        <f>SUM(Table1[[#This Row],[Store_Purchases]]+Table1[[#This Row],[Catalog_Purchases]]+Table1[[#This Row],[Web_Purchases]]+Table1[[#This Row],[Deal_Purchases]])</f>
        <v>4</v>
      </c>
      <c r="V39">
        <v>4</v>
      </c>
      <c r="W39">
        <v>0</v>
      </c>
      <c r="X39">
        <v>0</v>
      </c>
      <c r="Y39">
        <v>0</v>
      </c>
      <c r="Z39">
        <v>0</v>
      </c>
      <c r="AA39">
        <v>0</v>
      </c>
      <c r="AB39">
        <f>SUM(Table1[[#This Row],[Accepted_Campaign_2]]+Table1[[#This Row],[Accepted_Campaign_1]]+Table1[[#This Row],[Accepted_Campaign_5]]+Table1[[#This Row],[Accepted_Campaign_4]]+Table1[[#This Row],[Accepted_Campaign_3]])</f>
        <v>0</v>
      </c>
      <c r="AC39">
        <v>0</v>
      </c>
      <c r="AD39">
        <v>0</v>
      </c>
    </row>
    <row r="40" spans="1:30" x14ac:dyDescent="0.25">
      <c r="A40">
        <v>41403</v>
      </c>
      <c r="B40">
        <v>3725</v>
      </c>
      <c r="C40">
        <v>1961</v>
      </c>
      <c r="D40" t="s">
        <v>8</v>
      </c>
      <c r="E40" t="s">
        <v>14</v>
      </c>
      <c r="F40" t="s">
        <v>9</v>
      </c>
      <c r="G40">
        <v>84865</v>
      </c>
      <c r="H40">
        <v>0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f>SUM(Table1[[#This Row],[Gold Spending]]+Table1[[#This Row],[Sweet Spending]]+Table1[[#This Row],[Fish Spending]]+Table1[[#This Row],[Meat Spending]]+Table1[[#This Row],[Fruits Spending]]+Table1[[#This Row],[Wine Spending ]])</f>
        <v>1688</v>
      </c>
      <c r="Q40">
        <v>1</v>
      </c>
      <c r="R40">
        <v>2</v>
      </c>
      <c r="S40">
        <v>4</v>
      </c>
      <c r="T40">
        <v>9</v>
      </c>
      <c r="U40">
        <f>SUM(Table1[[#This Row],[Store_Purchases]]+Table1[[#This Row],[Catalog_Purchases]]+Table1[[#This Row],[Web_Purchases]]+Table1[[#This Row],[Deal_Purchases]])</f>
        <v>16</v>
      </c>
      <c r="V40">
        <v>4</v>
      </c>
      <c r="W40">
        <v>0</v>
      </c>
      <c r="X40">
        <v>1</v>
      </c>
      <c r="Y40">
        <v>1</v>
      </c>
      <c r="Z40">
        <v>1</v>
      </c>
      <c r="AA40">
        <v>1</v>
      </c>
      <c r="AB40">
        <f>SUM(Table1[[#This Row],[Accepted_Campaign_2]]+Table1[[#This Row],[Accepted_Campaign_1]]+Table1[[#This Row],[Accepted_Campaign_5]]+Table1[[#This Row],[Accepted_Campaign_4]]+Table1[[#This Row],[Accepted_Campaign_3]])</f>
        <v>4</v>
      </c>
      <c r="AC40">
        <v>1</v>
      </c>
      <c r="AD40">
        <v>0</v>
      </c>
    </row>
    <row r="41" spans="1:30" x14ac:dyDescent="0.25">
      <c r="A41">
        <v>41389</v>
      </c>
      <c r="B41">
        <v>3767</v>
      </c>
      <c r="C41">
        <v>1968</v>
      </c>
      <c r="D41" t="s">
        <v>8</v>
      </c>
      <c r="E41" t="s">
        <v>6</v>
      </c>
      <c r="F41" t="s">
        <v>11</v>
      </c>
      <c r="G41">
        <v>61314</v>
      </c>
      <c r="H41">
        <v>1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f>SUM(Table1[[#This Row],[Gold Spending]]+Table1[[#This Row],[Sweet Spending]]+Table1[[#This Row],[Fish Spending]]+Table1[[#This Row],[Meat Spending]]+Table1[[#This Row],[Fruits Spending]]+Table1[[#This Row],[Wine Spending ]])</f>
        <v>1008</v>
      </c>
      <c r="Q41">
        <v>2</v>
      </c>
      <c r="R41">
        <v>5</v>
      </c>
      <c r="S41">
        <v>5</v>
      </c>
      <c r="T41">
        <v>12</v>
      </c>
      <c r="U41">
        <f>SUM(Table1[[#This Row],[Store_Purchases]]+Table1[[#This Row],[Catalog_Purchases]]+Table1[[#This Row],[Web_Purchases]]+Table1[[#This Row],[Deal_Purchases]])</f>
        <v>24</v>
      </c>
      <c r="V41">
        <v>3</v>
      </c>
      <c r="W41">
        <v>0</v>
      </c>
      <c r="X41">
        <v>0</v>
      </c>
      <c r="Y41">
        <v>0</v>
      </c>
      <c r="Z41">
        <v>0</v>
      </c>
      <c r="AA41">
        <v>0</v>
      </c>
      <c r="AB41">
        <f>SUM(Table1[[#This Row],[Accepted_Campaign_2]]+Table1[[#This Row],[Accepted_Campaign_1]]+Table1[[#This Row],[Accepted_Campaign_5]]+Table1[[#This Row],[Accepted_Campaign_4]]+Table1[[#This Row],[Accepted_Campaign_3]])</f>
        <v>0</v>
      </c>
      <c r="AC41">
        <v>0</v>
      </c>
      <c r="AD41">
        <v>0</v>
      </c>
    </row>
    <row r="42" spans="1:30" x14ac:dyDescent="0.25">
      <c r="A42">
        <v>41384</v>
      </c>
      <c r="B42">
        <v>5585</v>
      </c>
      <c r="C42">
        <v>1972</v>
      </c>
      <c r="D42" t="s">
        <v>10</v>
      </c>
      <c r="E42" t="s">
        <v>6</v>
      </c>
      <c r="F42" t="s">
        <v>9</v>
      </c>
      <c r="G42">
        <v>21359</v>
      </c>
      <c r="H42">
        <v>1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f>SUM(Table1[[#This Row],[Gold Spending]]+Table1[[#This Row],[Sweet Spending]]+Table1[[#This Row],[Fish Spending]]+Table1[[#This Row],[Meat Spending]]+Table1[[#This Row],[Fruits Spending]]+Table1[[#This Row],[Wine Spending ]])</f>
        <v>48</v>
      </c>
      <c r="Q42">
        <v>2</v>
      </c>
      <c r="R42">
        <v>2</v>
      </c>
      <c r="S42">
        <v>0</v>
      </c>
      <c r="T42">
        <v>3</v>
      </c>
      <c r="U42">
        <f>SUM(Table1[[#This Row],[Store_Purchases]]+Table1[[#This Row],[Catalog_Purchases]]+Table1[[#This Row],[Web_Purchases]]+Table1[[#This Row],[Deal_Purchases]])</f>
        <v>7</v>
      </c>
      <c r="V42">
        <v>8</v>
      </c>
      <c r="W42">
        <v>0</v>
      </c>
      <c r="X42">
        <v>0</v>
      </c>
      <c r="Y42">
        <v>0</v>
      </c>
      <c r="Z42">
        <v>0</v>
      </c>
      <c r="AA42">
        <v>0</v>
      </c>
      <c r="AB42">
        <f>SUM(Table1[[#This Row],[Accepted_Campaign_2]]+Table1[[#This Row],[Accepted_Campaign_1]]+Table1[[#This Row],[Accepted_Campaign_5]]+Table1[[#This Row],[Accepted_Campaign_4]]+Table1[[#This Row],[Accepted_Campaign_3]])</f>
        <v>0</v>
      </c>
      <c r="AC42">
        <v>1</v>
      </c>
      <c r="AD42">
        <v>0</v>
      </c>
    </row>
    <row r="43" spans="1:30" x14ac:dyDescent="0.25">
      <c r="A43">
        <v>41363</v>
      </c>
      <c r="B43">
        <v>7030</v>
      </c>
      <c r="C43">
        <v>1955</v>
      </c>
      <c r="D43" t="s">
        <v>8</v>
      </c>
      <c r="E43" t="s">
        <v>14</v>
      </c>
      <c r="F43" t="s">
        <v>11</v>
      </c>
      <c r="G43">
        <v>66465</v>
      </c>
      <c r="H43">
        <v>1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f>SUM(Table1[[#This Row],[Gold Spending]]+Table1[[#This Row],[Sweet Spending]]+Table1[[#This Row],[Fish Spending]]+Table1[[#This Row],[Meat Spending]]+Table1[[#This Row],[Fruits Spending]]+Table1[[#This Row],[Wine Spending ]])</f>
        <v>1485</v>
      </c>
      <c r="Q43">
        <v>3</v>
      </c>
      <c r="R43">
        <v>11</v>
      </c>
      <c r="S43">
        <v>9</v>
      </c>
      <c r="T43">
        <v>12</v>
      </c>
      <c r="U43">
        <f>SUM(Table1[[#This Row],[Store_Purchases]]+Table1[[#This Row],[Catalog_Purchases]]+Table1[[#This Row],[Web_Purchases]]+Table1[[#This Row],[Deal_Purchases]])</f>
        <v>35</v>
      </c>
      <c r="V43">
        <v>6</v>
      </c>
      <c r="W43">
        <v>0</v>
      </c>
      <c r="X43">
        <v>0</v>
      </c>
      <c r="Y43">
        <v>0</v>
      </c>
      <c r="Z43">
        <v>1</v>
      </c>
      <c r="AA43">
        <v>0</v>
      </c>
      <c r="AB43">
        <f>SUM(Table1[[#This Row],[Accepted_Campaign_2]]+Table1[[#This Row],[Accepted_Campaign_1]]+Table1[[#This Row],[Accepted_Campaign_5]]+Table1[[#This Row],[Accepted_Campaign_4]]+Table1[[#This Row],[Accepted_Campaign_3]])</f>
        <v>1</v>
      </c>
      <c r="AC43">
        <v>0</v>
      </c>
      <c r="AD43">
        <v>0</v>
      </c>
    </row>
    <row r="44" spans="1:30" x14ac:dyDescent="0.25">
      <c r="A44">
        <v>41334</v>
      </c>
      <c r="B44">
        <v>1524</v>
      </c>
      <c r="C44">
        <v>1983</v>
      </c>
      <c r="D44" t="s">
        <v>8</v>
      </c>
      <c r="E44" t="s">
        <v>15</v>
      </c>
      <c r="F44" t="s">
        <v>9</v>
      </c>
      <c r="G44">
        <v>81698</v>
      </c>
      <c r="H44">
        <v>0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f>SUM(Table1[[#This Row],[Gold Spending]]+Table1[[#This Row],[Sweet Spending]]+Table1[[#This Row],[Fish Spending]]+Table1[[#This Row],[Meat Spending]]+Table1[[#This Row],[Fruits Spending]]+Table1[[#This Row],[Wine Spending ]])</f>
        <v>1104</v>
      </c>
      <c r="Q44">
        <v>1</v>
      </c>
      <c r="R44">
        <v>8</v>
      </c>
      <c r="S44">
        <v>2</v>
      </c>
      <c r="T44">
        <v>5</v>
      </c>
      <c r="U44">
        <f>SUM(Table1[[#This Row],[Store_Purchases]]+Table1[[#This Row],[Catalog_Purchases]]+Table1[[#This Row],[Web_Purchases]]+Table1[[#This Row],[Deal_Purchases]])</f>
        <v>16</v>
      </c>
      <c r="V44">
        <v>5</v>
      </c>
      <c r="W44">
        <v>0</v>
      </c>
      <c r="X44">
        <v>0</v>
      </c>
      <c r="Y44">
        <v>0</v>
      </c>
      <c r="Z44">
        <v>1</v>
      </c>
      <c r="AA44">
        <v>0</v>
      </c>
      <c r="AB44">
        <f>SUM(Table1[[#This Row],[Accepted_Campaign_2]]+Table1[[#This Row],[Accepted_Campaign_1]]+Table1[[#This Row],[Accepted_Campaign_5]]+Table1[[#This Row],[Accepted_Campaign_4]]+Table1[[#This Row],[Accepted_Campaign_3]])</f>
        <v>1</v>
      </c>
      <c r="AC44">
        <v>1</v>
      </c>
      <c r="AD44">
        <v>0</v>
      </c>
    </row>
    <row r="45" spans="1:30" x14ac:dyDescent="0.25">
      <c r="A45">
        <v>41319</v>
      </c>
      <c r="B45">
        <v>3657</v>
      </c>
      <c r="C45">
        <v>1986</v>
      </c>
      <c r="D45" t="s">
        <v>8</v>
      </c>
      <c r="E45" t="s">
        <v>6</v>
      </c>
      <c r="F45" t="s">
        <v>9</v>
      </c>
      <c r="G45">
        <v>39146</v>
      </c>
      <c r="H45">
        <v>1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f>SUM(Table1[[#This Row],[Gold Spending]]+Table1[[#This Row],[Sweet Spending]]+Table1[[#This Row],[Fish Spending]]+Table1[[#This Row],[Meat Spending]]+Table1[[#This Row],[Fruits Spending]]+Table1[[#This Row],[Wine Spending ]])</f>
        <v>165</v>
      </c>
      <c r="Q45">
        <v>3</v>
      </c>
      <c r="R45">
        <v>4</v>
      </c>
      <c r="S45">
        <v>0</v>
      </c>
      <c r="T45">
        <v>4</v>
      </c>
      <c r="U45">
        <f>SUM(Table1[[#This Row],[Store_Purchases]]+Table1[[#This Row],[Catalog_Purchases]]+Table1[[#This Row],[Web_Purchases]]+Table1[[#This Row],[Deal_Purchases]])</f>
        <v>11</v>
      </c>
      <c r="V45">
        <v>8</v>
      </c>
      <c r="W45">
        <v>0</v>
      </c>
      <c r="X45">
        <v>0</v>
      </c>
      <c r="Y45">
        <v>0</v>
      </c>
      <c r="Z45">
        <v>0</v>
      </c>
      <c r="AA45">
        <v>0</v>
      </c>
      <c r="AB45">
        <f>SUM(Table1[[#This Row],[Accepted_Campaign_2]]+Table1[[#This Row],[Accepted_Campaign_1]]+Table1[[#This Row],[Accepted_Campaign_5]]+Table1[[#This Row],[Accepted_Campaign_4]]+Table1[[#This Row],[Accepted_Campaign_3]])</f>
        <v>0</v>
      </c>
      <c r="AC45">
        <v>0</v>
      </c>
      <c r="AD45">
        <v>0</v>
      </c>
    </row>
    <row r="46" spans="1:30" x14ac:dyDescent="0.25">
      <c r="A46">
        <v>41319</v>
      </c>
      <c r="B46">
        <v>5740</v>
      </c>
      <c r="C46">
        <v>1970</v>
      </c>
      <c r="D46" t="s">
        <v>8</v>
      </c>
      <c r="E46" t="s">
        <v>15</v>
      </c>
      <c r="F46" t="s">
        <v>7</v>
      </c>
      <c r="G46">
        <v>25959</v>
      </c>
      <c r="H46">
        <v>2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f>SUM(Table1[[#This Row],[Gold Spending]]+Table1[[#This Row],[Sweet Spending]]+Table1[[#This Row],[Fish Spending]]+Table1[[#This Row],[Meat Spending]]+Table1[[#This Row],[Fruits Spending]]+Table1[[#This Row],[Wine Spending ]])</f>
        <v>56</v>
      </c>
      <c r="Q46">
        <v>2</v>
      </c>
      <c r="R46">
        <v>1</v>
      </c>
      <c r="S46">
        <v>2</v>
      </c>
      <c r="T46">
        <v>2</v>
      </c>
      <c r="U46">
        <f>SUM(Table1[[#This Row],[Store_Purchases]]+Table1[[#This Row],[Catalog_Purchases]]+Table1[[#This Row],[Web_Purchases]]+Table1[[#This Row],[Deal_Purchases]])</f>
        <v>7</v>
      </c>
      <c r="V46">
        <v>6</v>
      </c>
      <c r="W46">
        <v>0</v>
      </c>
      <c r="X46">
        <v>0</v>
      </c>
      <c r="Y46">
        <v>0</v>
      </c>
      <c r="Z46">
        <v>0</v>
      </c>
      <c r="AA46">
        <v>0</v>
      </c>
      <c r="AB46">
        <f>SUM(Table1[[#This Row],[Accepted_Campaign_2]]+Table1[[#This Row],[Accepted_Campaign_1]]+Table1[[#This Row],[Accepted_Campaign_5]]+Table1[[#This Row],[Accepted_Campaign_4]]+Table1[[#This Row],[Accepted_Campaign_3]])</f>
        <v>0</v>
      </c>
      <c r="AC46">
        <v>1</v>
      </c>
      <c r="AD46">
        <v>0</v>
      </c>
    </row>
    <row r="47" spans="1:30" x14ac:dyDescent="0.25">
      <c r="A47">
        <v>41285</v>
      </c>
      <c r="B47">
        <v>9595</v>
      </c>
      <c r="C47">
        <v>1961</v>
      </c>
      <c r="D47" t="s">
        <v>8</v>
      </c>
      <c r="E47" t="s">
        <v>6</v>
      </c>
      <c r="F47" t="s">
        <v>12</v>
      </c>
      <c r="G47">
        <v>64260</v>
      </c>
      <c r="H47">
        <v>0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f>SUM(Table1[[#This Row],[Gold Spending]]+Table1[[#This Row],[Sweet Spending]]+Table1[[#This Row],[Fish Spending]]+Table1[[#This Row],[Meat Spending]]+Table1[[#This Row],[Fruits Spending]]+Table1[[#This Row],[Wine Spending ]])</f>
        <v>1574</v>
      </c>
      <c r="Q47">
        <v>1</v>
      </c>
      <c r="R47">
        <v>4</v>
      </c>
      <c r="S47">
        <v>5</v>
      </c>
      <c r="T47">
        <v>4</v>
      </c>
      <c r="U47">
        <f>SUM(Table1[[#This Row],[Store_Purchases]]+Table1[[#This Row],[Catalog_Purchases]]+Table1[[#This Row],[Web_Purchases]]+Table1[[#This Row],[Deal_Purchases]])</f>
        <v>14</v>
      </c>
      <c r="V47">
        <v>3</v>
      </c>
      <c r="W47">
        <v>0</v>
      </c>
      <c r="X47">
        <v>0</v>
      </c>
      <c r="Y47">
        <v>0</v>
      </c>
      <c r="Z47">
        <v>0</v>
      </c>
      <c r="AA47">
        <v>0</v>
      </c>
      <c r="AB47">
        <f>SUM(Table1[[#This Row],[Accepted_Campaign_2]]+Table1[[#This Row],[Accepted_Campaign_1]]+Table1[[#This Row],[Accepted_Campaign_5]]+Table1[[#This Row],[Accepted_Campaign_4]]+Table1[[#This Row],[Accepted_Campaign_3]])</f>
        <v>0</v>
      </c>
      <c r="AC47">
        <v>1</v>
      </c>
      <c r="AD47">
        <v>0</v>
      </c>
    </row>
    <row r="48" spans="1:30" x14ac:dyDescent="0.25">
      <c r="A48">
        <v>41277</v>
      </c>
      <c r="B48">
        <v>3158</v>
      </c>
      <c r="C48">
        <v>1973</v>
      </c>
      <c r="D48" t="s">
        <v>8</v>
      </c>
      <c r="E48" t="s">
        <v>6</v>
      </c>
      <c r="F48" t="s">
        <v>11</v>
      </c>
      <c r="G48">
        <v>32300</v>
      </c>
      <c r="H48">
        <v>1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f>SUM(Table1[[#This Row],[Gold Spending]]+Table1[[#This Row],[Sweet Spending]]+Table1[[#This Row],[Fish Spending]]+Table1[[#This Row],[Meat Spending]]+Table1[[#This Row],[Fruits Spending]]+Table1[[#This Row],[Wine Spending ]])</f>
        <v>39</v>
      </c>
      <c r="Q48">
        <v>1</v>
      </c>
      <c r="R48">
        <v>1</v>
      </c>
      <c r="S48">
        <v>0</v>
      </c>
      <c r="T48">
        <v>3</v>
      </c>
      <c r="U48">
        <f>SUM(Table1[[#This Row],[Store_Purchases]]+Table1[[#This Row],[Catalog_Purchases]]+Table1[[#This Row],[Web_Purchases]]+Table1[[#This Row],[Deal_Purchases]])</f>
        <v>5</v>
      </c>
      <c r="V48">
        <v>8</v>
      </c>
      <c r="W48">
        <v>0</v>
      </c>
      <c r="X48">
        <v>0</v>
      </c>
      <c r="Y48">
        <v>0</v>
      </c>
      <c r="Z48">
        <v>0</v>
      </c>
      <c r="AA48">
        <v>0</v>
      </c>
      <c r="AB48">
        <f>SUM(Table1[[#This Row],[Accepted_Campaign_2]]+Table1[[#This Row],[Accepted_Campaign_1]]+Table1[[#This Row],[Accepted_Campaign_5]]+Table1[[#This Row],[Accepted_Campaign_4]]+Table1[[#This Row],[Accepted_Campaign_3]])</f>
        <v>0</v>
      </c>
      <c r="AC48">
        <v>0</v>
      </c>
      <c r="AD48">
        <v>0</v>
      </c>
    </row>
    <row r="49" spans="1:30" x14ac:dyDescent="0.25">
      <c r="A49">
        <v>41262</v>
      </c>
      <c r="B49">
        <v>5114</v>
      </c>
      <c r="C49">
        <v>1965</v>
      </c>
      <c r="D49" t="s">
        <v>13</v>
      </c>
      <c r="E49" t="s">
        <v>18</v>
      </c>
      <c r="F49" t="s">
        <v>11</v>
      </c>
      <c r="G49">
        <v>74806</v>
      </c>
      <c r="H49">
        <v>1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f>SUM(Table1[[#This Row],[Gold Spending]]+Table1[[#This Row],[Sweet Spending]]+Table1[[#This Row],[Fish Spending]]+Table1[[#This Row],[Meat Spending]]+Table1[[#This Row],[Fruits Spending]]+Table1[[#This Row],[Wine Spending ]])</f>
        <v>965</v>
      </c>
      <c r="Q49">
        <v>2</v>
      </c>
      <c r="R49">
        <v>5</v>
      </c>
      <c r="S49">
        <v>4</v>
      </c>
      <c r="T49">
        <v>5</v>
      </c>
      <c r="U49">
        <f>SUM(Table1[[#This Row],[Store_Purchases]]+Table1[[#This Row],[Catalog_Purchases]]+Table1[[#This Row],[Web_Purchases]]+Table1[[#This Row],[Deal_Purchases]])</f>
        <v>16</v>
      </c>
      <c r="V49">
        <v>4</v>
      </c>
      <c r="W49">
        <v>0</v>
      </c>
      <c r="X49">
        <v>0</v>
      </c>
      <c r="Y49">
        <v>0</v>
      </c>
      <c r="Z49">
        <v>0</v>
      </c>
      <c r="AA49">
        <v>0</v>
      </c>
      <c r="AB49">
        <f>SUM(Table1[[#This Row],[Accepted_Campaign_2]]+Table1[[#This Row],[Accepted_Campaign_1]]+Table1[[#This Row],[Accepted_Campaign_5]]+Table1[[#This Row],[Accepted_Campaign_4]]+Table1[[#This Row],[Accepted_Campaign_3]])</f>
        <v>0</v>
      </c>
      <c r="AC49">
        <v>0</v>
      </c>
      <c r="AD49">
        <v>0</v>
      </c>
    </row>
    <row r="50" spans="1:30" x14ac:dyDescent="0.25">
      <c r="A50">
        <v>41258</v>
      </c>
      <c r="B50">
        <v>340</v>
      </c>
      <c r="C50">
        <v>1970</v>
      </c>
      <c r="D50" t="s">
        <v>16</v>
      </c>
      <c r="E50" t="s">
        <v>6</v>
      </c>
      <c r="F50" t="s">
        <v>7</v>
      </c>
      <c r="G50">
        <v>72967</v>
      </c>
      <c r="H50">
        <v>1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f>SUM(Table1[[#This Row],[Gold Spending]]+Table1[[#This Row],[Sweet Spending]]+Table1[[#This Row],[Fish Spending]]+Table1[[#This Row],[Meat Spending]]+Table1[[#This Row],[Fruits Spending]]+Table1[[#This Row],[Wine Spending ]])</f>
        <v>497</v>
      </c>
      <c r="Q50">
        <v>2</v>
      </c>
      <c r="R50">
        <v>7</v>
      </c>
      <c r="S50">
        <v>2</v>
      </c>
      <c r="T50">
        <v>8</v>
      </c>
      <c r="U50">
        <f>SUM(Table1[[#This Row],[Store_Purchases]]+Table1[[#This Row],[Catalog_Purchases]]+Table1[[#This Row],[Web_Purchases]]+Table1[[#This Row],[Deal_Purchases]])</f>
        <v>19</v>
      </c>
      <c r="V50">
        <v>5</v>
      </c>
      <c r="W50">
        <v>1</v>
      </c>
      <c r="X50">
        <v>0</v>
      </c>
      <c r="Y50">
        <v>0</v>
      </c>
      <c r="Z50">
        <v>0</v>
      </c>
      <c r="AA50">
        <v>0</v>
      </c>
      <c r="AB50">
        <f>SUM(Table1[[#This Row],[Accepted_Campaign_2]]+Table1[[#This Row],[Accepted_Campaign_1]]+Table1[[#This Row],[Accepted_Campaign_5]]+Table1[[#This Row],[Accepted_Campaign_4]]+Table1[[#This Row],[Accepted_Campaign_3]])</f>
        <v>1</v>
      </c>
      <c r="AC50">
        <v>1</v>
      </c>
      <c r="AD50">
        <v>0</v>
      </c>
    </row>
    <row r="51" spans="1:30" x14ac:dyDescent="0.25">
      <c r="A51">
        <v>41245</v>
      </c>
      <c r="B51">
        <v>8805</v>
      </c>
      <c r="C51">
        <v>1960</v>
      </c>
      <c r="D51" t="s">
        <v>63</v>
      </c>
      <c r="E51" t="s">
        <v>6</v>
      </c>
      <c r="F51" t="s">
        <v>9</v>
      </c>
      <c r="G51">
        <v>48904</v>
      </c>
      <c r="H51">
        <v>1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f>SUM(Table1[[#This Row],[Gold Spending]]+Table1[[#This Row],[Sweet Spending]]+Table1[[#This Row],[Fish Spending]]+Table1[[#This Row],[Meat Spending]]+Table1[[#This Row],[Fruits Spending]]+Table1[[#This Row],[Wine Spending ]])</f>
        <v>371</v>
      </c>
      <c r="Q51">
        <v>4</v>
      </c>
      <c r="R51">
        <v>7</v>
      </c>
      <c r="S51">
        <v>2</v>
      </c>
      <c r="T51">
        <v>4</v>
      </c>
      <c r="U51">
        <f>SUM(Table1[[#This Row],[Store_Purchases]]+Table1[[#This Row],[Catalog_Purchases]]+Table1[[#This Row],[Web_Purchases]]+Table1[[#This Row],[Deal_Purchases]])</f>
        <v>17</v>
      </c>
      <c r="V51">
        <v>8</v>
      </c>
      <c r="W51">
        <v>0</v>
      </c>
      <c r="X51">
        <v>0</v>
      </c>
      <c r="Y51">
        <v>0</v>
      </c>
      <c r="Z51">
        <v>0</v>
      </c>
      <c r="AA51">
        <v>0</v>
      </c>
      <c r="AB51">
        <f>SUM(Table1[[#This Row],[Accepted_Campaign_2]]+Table1[[#This Row],[Accepted_Campaign_1]]+Table1[[#This Row],[Accepted_Campaign_5]]+Table1[[#This Row],[Accepted_Campaign_4]]+Table1[[#This Row],[Accepted_Campaign_3]])</f>
        <v>0</v>
      </c>
      <c r="AC51">
        <v>0</v>
      </c>
      <c r="AD51">
        <v>0</v>
      </c>
    </row>
    <row r="52" spans="1:30" x14ac:dyDescent="0.25">
      <c r="A52">
        <v>41169</v>
      </c>
      <c r="B52">
        <v>1241</v>
      </c>
      <c r="C52">
        <v>1984</v>
      </c>
      <c r="D52" t="s">
        <v>16</v>
      </c>
      <c r="E52" t="s">
        <v>15</v>
      </c>
      <c r="F52" t="s">
        <v>11</v>
      </c>
      <c r="G52">
        <v>14796</v>
      </c>
      <c r="H52">
        <v>1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f>SUM(Table1[[#This Row],[Gold Spending]]+Table1[[#This Row],[Sweet Spending]]+Table1[[#This Row],[Fish Spending]]+Table1[[#This Row],[Meat Spending]]+Table1[[#This Row],[Fruits Spending]]+Table1[[#This Row],[Wine Spending ]])</f>
        <v>51</v>
      </c>
      <c r="Q52">
        <v>2</v>
      </c>
      <c r="R52">
        <v>1</v>
      </c>
      <c r="S52">
        <v>0</v>
      </c>
      <c r="T52">
        <v>3</v>
      </c>
      <c r="U52">
        <f>SUM(Table1[[#This Row],[Store_Purchases]]+Table1[[#This Row],[Catalog_Purchases]]+Table1[[#This Row],[Web_Purchases]]+Table1[[#This Row],[Deal_Purchases]])</f>
        <v>6</v>
      </c>
      <c r="V52">
        <v>9</v>
      </c>
      <c r="W52">
        <v>0</v>
      </c>
      <c r="X52">
        <v>0</v>
      </c>
      <c r="Y52">
        <v>0</v>
      </c>
      <c r="Z52">
        <v>0</v>
      </c>
      <c r="AA52">
        <v>0</v>
      </c>
      <c r="AB52">
        <f>SUM(Table1[[#This Row],[Accepted_Campaign_2]]+Table1[[#This Row],[Accepted_Campaign_1]]+Table1[[#This Row],[Accepted_Campaign_5]]+Table1[[#This Row],[Accepted_Campaign_4]]+Table1[[#This Row],[Accepted_Campaign_3]])</f>
        <v>0</v>
      </c>
      <c r="AC52">
        <v>1</v>
      </c>
      <c r="AD52">
        <v>0</v>
      </c>
    </row>
    <row r="53" spans="1:30" x14ac:dyDescent="0.25">
      <c r="A53">
        <v>41163</v>
      </c>
      <c r="B53">
        <v>1402</v>
      </c>
      <c r="C53">
        <v>1954</v>
      </c>
      <c r="D53" t="s">
        <v>16</v>
      </c>
      <c r="E53" t="s">
        <v>18</v>
      </c>
      <c r="F53" t="s">
        <v>11</v>
      </c>
      <c r="G53">
        <v>66991</v>
      </c>
      <c r="H53">
        <v>0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f>SUM(Table1[[#This Row],[Gold Spending]]+Table1[[#This Row],[Sweet Spending]]+Table1[[#This Row],[Fish Spending]]+Table1[[#This Row],[Meat Spending]]+Table1[[#This Row],[Fruits Spending]]+Table1[[#This Row],[Wine Spending ]])</f>
        <v>1253</v>
      </c>
      <c r="Q53">
        <v>3</v>
      </c>
      <c r="R53">
        <v>4</v>
      </c>
      <c r="S53">
        <v>8</v>
      </c>
      <c r="T53">
        <v>6</v>
      </c>
      <c r="U53">
        <f>SUM(Table1[[#This Row],[Store_Purchases]]+Table1[[#This Row],[Catalog_Purchases]]+Table1[[#This Row],[Web_Purchases]]+Table1[[#This Row],[Deal_Purchases]])</f>
        <v>21</v>
      </c>
      <c r="V53">
        <v>3</v>
      </c>
      <c r="W53">
        <v>0</v>
      </c>
      <c r="X53">
        <v>0</v>
      </c>
      <c r="Y53">
        <v>0</v>
      </c>
      <c r="Z53">
        <v>0</v>
      </c>
      <c r="AA53">
        <v>0</v>
      </c>
      <c r="AB53">
        <f>SUM(Table1[[#This Row],[Accepted_Campaign_2]]+Table1[[#This Row],[Accepted_Campaign_1]]+Table1[[#This Row],[Accepted_Campaign_5]]+Table1[[#This Row],[Accepted_Campaign_4]]+Table1[[#This Row],[Accepted_Campaign_3]])</f>
        <v>0</v>
      </c>
      <c r="AC53">
        <v>0</v>
      </c>
      <c r="AD53">
        <v>0</v>
      </c>
    </row>
    <row r="54" spans="1:30" x14ac:dyDescent="0.25">
      <c r="A54">
        <v>41771</v>
      </c>
      <c r="B54">
        <v>7264</v>
      </c>
      <c r="C54">
        <v>1978</v>
      </c>
      <c r="D54" t="s">
        <v>20</v>
      </c>
      <c r="E54" t="s">
        <v>15</v>
      </c>
      <c r="F54" t="s">
        <v>9</v>
      </c>
      <c r="G54">
        <v>52195</v>
      </c>
      <c r="H54">
        <v>3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f>SUM(Table1[[#This Row],[Gold Spending]]+Table1[[#This Row],[Sweet Spending]]+Table1[[#This Row],[Fish Spending]]+Table1[[#This Row],[Meat Spending]]+Table1[[#This Row],[Fruits Spending]]+Table1[[#This Row],[Wine Spending ]])</f>
        <v>17</v>
      </c>
      <c r="Q54">
        <v>1</v>
      </c>
      <c r="R54">
        <v>1</v>
      </c>
      <c r="S54">
        <v>0</v>
      </c>
      <c r="T54">
        <v>2</v>
      </c>
      <c r="U54">
        <f>SUM(Table1[[#This Row],[Store_Purchases]]+Table1[[#This Row],[Catalog_Purchases]]+Table1[[#This Row],[Web_Purchases]]+Table1[[#This Row],[Deal_Purchases]])</f>
        <v>4</v>
      </c>
      <c r="V54">
        <v>8</v>
      </c>
      <c r="W54">
        <v>0</v>
      </c>
      <c r="X54">
        <v>0</v>
      </c>
      <c r="Y54">
        <v>0</v>
      </c>
      <c r="Z54">
        <v>0</v>
      </c>
      <c r="AA54">
        <v>0</v>
      </c>
      <c r="AB54">
        <f>SUM(Table1[[#This Row],[Accepted_Campaign_2]]+Table1[[#This Row],[Accepted_Campaign_1]]+Table1[[#This Row],[Accepted_Campaign_5]]+Table1[[#This Row],[Accepted_Campaign_4]]+Table1[[#This Row],[Accepted_Campaign_3]])</f>
        <v>0</v>
      </c>
      <c r="AC54">
        <v>0</v>
      </c>
      <c r="AD54">
        <v>0</v>
      </c>
    </row>
    <row r="55" spans="1:30" x14ac:dyDescent="0.25">
      <c r="A55">
        <v>41757</v>
      </c>
      <c r="B55">
        <v>1619</v>
      </c>
      <c r="C55">
        <v>1956</v>
      </c>
      <c r="D55" t="s">
        <v>8</v>
      </c>
      <c r="E55" t="s">
        <v>6</v>
      </c>
      <c r="F55" t="s">
        <v>11</v>
      </c>
      <c r="G55">
        <v>90369</v>
      </c>
      <c r="H55">
        <v>0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f>SUM(Table1[[#This Row],[Gold Spending]]+Table1[[#This Row],[Sweet Spending]]+Table1[[#This Row],[Fish Spending]]+Table1[[#This Row],[Meat Spending]]+Table1[[#This Row],[Fruits Spending]]+Table1[[#This Row],[Wine Spending ]])</f>
        <v>1588</v>
      </c>
      <c r="Q55">
        <v>1</v>
      </c>
      <c r="R55">
        <v>4</v>
      </c>
      <c r="S55">
        <v>6</v>
      </c>
      <c r="T55">
        <v>6</v>
      </c>
      <c r="U55">
        <f>SUM(Table1[[#This Row],[Store_Purchases]]+Table1[[#This Row],[Catalog_Purchases]]+Table1[[#This Row],[Web_Purchases]]+Table1[[#This Row],[Deal_Purchases]])</f>
        <v>17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f>SUM(Table1[[#This Row],[Accepted_Campaign_2]]+Table1[[#This Row],[Accepted_Campaign_1]]+Table1[[#This Row],[Accepted_Campaign_5]]+Table1[[#This Row],[Accepted_Campaign_4]]+Table1[[#This Row],[Accepted_Campaign_3]])</f>
        <v>0</v>
      </c>
      <c r="AC55">
        <v>1</v>
      </c>
      <c r="AD55">
        <v>0</v>
      </c>
    </row>
    <row r="56" spans="1:30" x14ac:dyDescent="0.25">
      <c r="A56">
        <v>41727</v>
      </c>
      <c r="B56">
        <v>6398</v>
      </c>
      <c r="C56">
        <v>1974</v>
      </c>
      <c r="D56" t="s">
        <v>8</v>
      </c>
      <c r="E56" t="s">
        <v>21</v>
      </c>
      <c r="F56" t="s">
        <v>11</v>
      </c>
      <c r="G56">
        <v>18393</v>
      </c>
      <c r="H56">
        <v>1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f>SUM(Table1[[#This Row],[Gold Spending]]+Table1[[#This Row],[Sweet Spending]]+Table1[[#This Row],[Fish Spending]]+Table1[[#This Row],[Meat Spending]]+Table1[[#This Row],[Fruits Spending]]+Table1[[#This Row],[Wine Spending ]])</f>
        <v>50</v>
      </c>
      <c r="Q56">
        <v>2</v>
      </c>
      <c r="R56">
        <v>3</v>
      </c>
      <c r="S56">
        <v>0</v>
      </c>
      <c r="T56">
        <v>3</v>
      </c>
      <c r="U56">
        <f>SUM(Table1[[#This Row],[Store_Purchases]]+Table1[[#This Row],[Catalog_Purchases]]+Table1[[#This Row],[Web_Purchases]]+Table1[[#This Row],[Deal_Purchases]])</f>
        <v>8</v>
      </c>
      <c r="V56">
        <v>8</v>
      </c>
      <c r="W56">
        <v>0</v>
      </c>
      <c r="X56">
        <v>0</v>
      </c>
      <c r="Y56">
        <v>0</v>
      </c>
      <c r="Z56">
        <v>0</v>
      </c>
      <c r="AA56">
        <v>0</v>
      </c>
      <c r="AB56">
        <f>SUM(Table1[[#This Row],[Accepted_Campaign_2]]+Table1[[#This Row],[Accepted_Campaign_1]]+Table1[[#This Row],[Accepted_Campaign_5]]+Table1[[#This Row],[Accepted_Campaign_4]]+Table1[[#This Row],[Accepted_Campaign_3]])</f>
        <v>0</v>
      </c>
      <c r="AC56">
        <v>0</v>
      </c>
      <c r="AD56">
        <v>0</v>
      </c>
    </row>
    <row r="57" spans="1:30" x14ac:dyDescent="0.25">
      <c r="A57">
        <v>41704</v>
      </c>
      <c r="B57">
        <v>1857</v>
      </c>
      <c r="C57">
        <v>1952</v>
      </c>
      <c r="D57" t="s">
        <v>8</v>
      </c>
      <c r="E57" t="s">
        <v>6</v>
      </c>
      <c r="F57" t="s">
        <v>9</v>
      </c>
      <c r="G57">
        <v>47139</v>
      </c>
      <c r="H57">
        <v>2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f>SUM(Table1[[#This Row],[Gold Spending]]+Table1[[#This Row],[Sweet Spending]]+Table1[[#This Row],[Fish Spending]]+Table1[[#This Row],[Meat Spending]]+Table1[[#This Row],[Fruits Spending]]+Table1[[#This Row],[Wine Spending ]])</f>
        <v>83</v>
      </c>
      <c r="Q57">
        <v>2</v>
      </c>
      <c r="R57">
        <v>2</v>
      </c>
      <c r="S57">
        <v>1</v>
      </c>
      <c r="T57">
        <v>2</v>
      </c>
      <c r="U57">
        <f>SUM(Table1[[#This Row],[Store_Purchases]]+Table1[[#This Row],[Catalog_Purchases]]+Table1[[#This Row],[Web_Purchases]]+Table1[[#This Row],[Deal_Purchases]])</f>
        <v>7</v>
      </c>
      <c r="V57">
        <v>7</v>
      </c>
      <c r="W57">
        <v>0</v>
      </c>
      <c r="X57">
        <v>0</v>
      </c>
      <c r="Y57">
        <v>0</v>
      </c>
      <c r="Z57">
        <v>0</v>
      </c>
      <c r="AA57">
        <v>0</v>
      </c>
      <c r="AB57">
        <f>SUM(Table1[[#This Row],[Accepted_Campaign_2]]+Table1[[#This Row],[Accepted_Campaign_1]]+Table1[[#This Row],[Accepted_Campaign_5]]+Table1[[#This Row],[Accepted_Campaign_4]]+Table1[[#This Row],[Accepted_Campaign_3]])</f>
        <v>0</v>
      </c>
      <c r="AC57">
        <v>1</v>
      </c>
      <c r="AD57">
        <v>0</v>
      </c>
    </row>
    <row r="58" spans="1:30" x14ac:dyDescent="0.25">
      <c r="A58">
        <v>41702</v>
      </c>
      <c r="B58">
        <v>4877</v>
      </c>
      <c r="C58">
        <v>1973</v>
      </c>
      <c r="D58" t="s">
        <v>17</v>
      </c>
      <c r="E58" t="s">
        <v>18</v>
      </c>
      <c r="F58" t="s">
        <v>11</v>
      </c>
      <c r="G58">
        <v>38576</v>
      </c>
      <c r="H58">
        <v>1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f>SUM(Table1[[#This Row],[Gold Spending]]+Table1[[#This Row],[Sweet Spending]]+Table1[[#This Row],[Fish Spending]]+Table1[[#This Row],[Meat Spending]]+Table1[[#This Row],[Fruits Spending]]+Table1[[#This Row],[Wine Spending ]])</f>
        <v>41</v>
      </c>
      <c r="Q58">
        <v>1</v>
      </c>
      <c r="R58">
        <v>1</v>
      </c>
      <c r="S58">
        <v>0</v>
      </c>
      <c r="T58">
        <v>3</v>
      </c>
      <c r="U58">
        <f>SUM(Table1[[#This Row],[Store_Purchases]]+Table1[[#This Row],[Catalog_Purchases]]+Table1[[#This Row],[Web_Purchases]]+Table1[[#This Row],[Deal_Purchases]])</f>
        <v>5</v>
      </c>
      <c r="V58">
        <v>7</v>
      </c>
      <c r="W58">
        <v>0</v>
      </c>
      <c r="X58">
        <v>0</v>
      </c>
      <c r="Y58">
        <v>0</v>
      </c>
      <c r="Z58">
        <v>0</v>
      </c>
      <c r="AA58">
        <v>0</v>
      </c>
      <c r="AB58">
        <f>SUM(Table1[[#This Row],[Accepted_Campaign_2]]+Table1[[#This Row],[Accepted_Campaign_1]]+Table1[[#This Row],[Accepted_Campaign_5]]+Table1[[#This Row],[Accepted_Campaign_4]]+Table1[[#This Row],[Accepted_Campaign_3]])</f>
        <v>0</v>
      </c>
      <c r="AC58">
        <v>0</v>
      </c>
      <c r="AD58">
        <v>0</v>
      </c>
    </row>
    <row r="59" spans="1:30" x14ac:dyDescent="0.25">
      <c r="A59">
        <v>41674</v>
      </c>
      <c r="B59">
        <v>3066</v>
      </c>
      <c r="C59">
        <v>1975</v>
      </c>
      <c r="D59" t="s">
        <v>20</v>
      </c>
      <c r="E59" t="s">
        <v>14</v>
      </c>
      <c r="F59" t="s">
        <v>12</v>
      </c>
      <c r="G59">
        <v>61905</v>
      </c>
      <c r="H59">
        <v>1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f>SUM(Table1[[#This Row],[Gold Spending]]+Table1[[#This Row],[Sweet Spending]]+Table1[[#This Row],[Fish Spending]]+Table1[[#This Row],[Meat Spending]]+Table1[[#This Row],[Fruits Spending]]+Table1[[#This Row],[Wine Spending ]])</f>
        <v>231</v>
      </c>
      <c r="Q59">
        <v>2</v>
      </c>
      <c r="R59">
        <v>4</v>
      </c>
      <c r="S59">
        <v>2</v>
      </c>
      <c r="T59">
        <v>4</v>
      </c>
      <c r="U59">
        <f>SUM(Table1[[#This Row],[Store_Purchases]]+Table1[[#This Row],[Catalog_Purchases]]+Table1[[#This Row],[Web_Purchases]]+Table1[[#This Row],[Deal_Purchases]])</f>
        <v>12</v>
      </c>
      <c r="V59">
        <v>5</v>
      </c>
      <c r="W59">
        <v>0</v>
      </c>
      <c r="X59">
        <v>0</v>
      </c>
      <c r="Y59">
        <v>0</v>
      </c>
      <c r="Z59">
        <v>0</v>
      </c>
      <c r="AA59">
        <v>0</v>
      </c>
      <c r="AB59">
        <f>SUM(Table1[[#This Row],[Accepted_Campaign_2]]+Table1[[#This Row],[Accepted_Campaign_1]]+Table1[[#This Row],[Accepted_Campaign_5]]+Table1[[#This Row],[Accepted_Campaign_4]]+Table1[[#This Row],[Accepted_Campaign_3]])</f>
        <v>0</v>
      </c>
      <c r="AC59">
        <v>0</v>
      </c>
      <c r="AD59">
        <v>0</v>
      </c>
    </row>
    <row r="60" spans="1:30" x14ac:dyDescent="0.25">
      <c r="A60">
        <v>41673</v>
      </c>
      <c r="B60">
        <v>10286</v>
      </c>
      <c r="C60">
        <v>1962</v>
      </c>
      <c r="D60" t="s">
        <v>20</v>
      </c>
      <c r="E60" t="s">
        <v>6</v>
      </c>
      <c r="F60" t="s">
        <v>11</v>
      </c>
      <c r="G60">
        <v>83715</v>
      </c>
      <c r="H60">
        <v>0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f>SUM(Table1[[#This Row],[Gold Spending]]+Table1[[#This Row],[Sweet Spending]]+Table1[[#This Row],[Fish Spending]]+Table1[[#This Row],[Meat Spending]]+Table1[[#This Row],[Fruits Spending]]+Table1[[#This Row],[Wine Spending ]])</f>
        <v>926</v>
      </c>
      <c r="Q60">
        <v>1</v>
      </c>
      <c r="R60">
        <v>2</v>
      </c>
      <c r="S60">
        <v>8</v>
      </c>
      <c r="T60">
        <v>13</v>
      </c>
      <c r="U60">
        <f>SUM(Table1[[#This Row],[Store_Purchases]]+Table1[[#This Row],[Catalog_Purchases]]+Table1[[#This Row],[Web_Purchases]]+Table1[[#This Row],[Deal_Purchases]])</f>
        <v>24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f>SUM(Table1[[#This Row],[Accepted_Campaign_2]]+Table1[[#This Row],[Accepted_Campaign_1]]+Table1[[#This Row],[Accepted_Campaign_5]]+Table1[[#This Row],[Accepted_Campaign_4]]+Table1[[#This Row],[Accepted_Campaign_3]])</f>
        <v>0</v>
      </c>
      <c r="AC60">
        <v>0</v>
      </c>
      <c r="AD60">
        <v>0</v>
      </c>
    </row>
    <row r="61" spans="1:30" x14ac:dyDescent="0.25">
      <c r="A61">
        <v>41640</v>
      </c>
      <c r="B61">
        <v>1992</v>
      </c>
      <c r="C61">
        <v>1964</v>
      </c>
      <c r="D61" t="s">
        <v>8</v>
      </c>
      <c r="E61" t="s">
        <v>6</v>
      </c>
      <c r="F61" t="s">
        <v>11</v>
      </c>
      <c r="G61">
        <v>60597</v>
      </c>
      <c r="H61">
        <v>1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f>SUM(Table1[[#This Row],[Gold Spending]]+Table1[[#This Row],[Sweet Spending]]+Table1[[#This Row],[Fish Spending]]+Table1[[#This Row],[Meat Spending]]+Table1[[#This Row],[Fruits Spending]]+Table1[[#This Row],[Wine Spending ]])</f>
        <v>893</v>
      </c>
      <c r="Q61">
        <v>4</v>
      </c>
      <c r="R61">
        <v>2</v>
      </c>
      <c r="S61">
        <v>2</v>
      </c>
      <c r="T61">
        <v>8</v>
      </c>
      <c r="U61">
        <f>SUM(Table1[[#This Row],[Store_Purchases]]+Table1[[#This Row],[Catalog_Purchases]]+Table1[[#This Row],[Web_Purchases]]+Table1[[#This Row],[Deal_Purchases]])</f>
        <v>16</v>
      </c>
      <c r="V61">
        <v>7</v>
      </c>
      <c r="W61">
        <v>0</v>
      </c>
      <c r="X61">
        <v>0</v>
      </c>
      <c r="Y61">
        <v>0</v>
      </c>
      <c r="Z61">
        <v>1</v>
      </c>
      <c r="AA61">
        <v>0</v>
      </c>
      <c r="AB61">
        <f>SUM(Table1[[#This Row],[Accepted_Campaign_2]]+Table1[[#This Row],[Accepted_Campaign_1]]+Table1[[#This Row],[Accepted_Campaign_5]]+Table1[[#This Row],[Accepted_Campaign_4]]+Table1[[#This Row],[Accepted_Campaign_3]])</f>
        <v>1</v>
      </c>
      <c r="AC61">
        <v>1</v>
      </c>
      <c r="AD61">
        <v>0</v>
      </c>
    </row>
    <row r="62" spans="1:30" x14ac:dyDescent="0.25">
      <c r="A62">
        <v>41620</v>
      </c>
      <c r="B62">
        <v>4246</v>
      </c>
      <c r="C62">
        <v>1982</v>
      </c>
      <c r="D62" t="s">
        <v>8</v>
      </c>
      <c r="E62" t="s">
        <v>18</v>
      </c>
      <c r="F62" t="s">
        <v>9</v>
      </c>
      <c r="G62">
        <v>6560</v>
      </c>
      <c r="H62">
        <v>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f>SUM(Table1[[#This Row],[Gold Spending]]+Table1[[#This Row],[Sweet Spending]]+Table1[[#This Row],[Fish Spending]]+Table1[[#This Row],[Meat Spending]]+Table1[[#This Row],[Fruits Spending]]+Table1[[#This Row],[Wine Spending ]])</f>
        <v>373</v>
      </c>
      <c r="Q62">
        <v>0</v>
      </c>
      <c r="R62">
        <v>1</v>
      </c>
      <c r="S62">
        <v>0</v>
      </c>
      <c r="T62">
        <v>1</v>
      </c>
      <c r="U62">
        <f>SUM(Table1[[#This Row],[Store_Purchases]]+Table1[[#This Row],[Catalog_Purchases]]+Table1[[#This Row],[Web_Purchases]]+Table1[[#This Row],[Deal_Purchases]])</f>
        <v>2</v>
      </c>
      <c r="V62">
        <v>17</v>
      </c>
      <c r="W62">
        <v>0</v>
      </c>
      <c r="X62">
        <v>0</v>
      </c>
      <c r="Y62">
        <v>0</v>
      </c>
      <c r="Z62">
        <v>0</v>
      </c>
      <c r="AA62">
        <v>0</v>
      </c>
      <c r="AB62">
        <f>SUM(Table1[[#This Row],[Accepted_Campaign_2]]+Table1[[#This Row],[Accepted_Campaign_1]]+Table1[[#This Row],[Accepted_Campaign_5]]+Table1[[#This Row],[Accepted_Campaign_4]]+Table1[[#This Row],[Accepted_Campaign_3]])</f>
        <v>0</v>
      </c>
      <c r="AC62">
        <v>0</v>
      </c>
      <c r="AD62">
        <v>0</v>
      </c>
    </row>
    <row r="63" spans="1:30" x14ac:dyDescent="0.25">
      <c r="A63">
        <v>41593</v>
      </c>
      <c r="B63">
        <v>10623</v>
      </c>
      <c r="C63">
        <v>1961</v>
      </c>
      <c r="D63" t="s">
        <v>8</v>
      </c>
      <c r="E63" t="s">
        <v>18</v>
      </c>
      <c r="F63" t="s">
        <v>12</v>
      </c>
      <c r="G63">
        <v>48330</v>
      </c>
      <c r="H63">
        <v>1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f>SUM(Table1[[#This Row],[Gold Spending]]+Table1[[#This Row],[Sweet Spending]]+Table1[[#This Row],[Fish Spending]]+Table1[[#This Row],[Meat Spending]]+Table1[[#This Row],[Fruits Spending]]+Table1[[#This Row],[Wine Spending ]])</f>
        <v>32</v>
      </c>
      <c r="Q63">
        <v>1</v>
      </c>
      <c r="R63">
        <v>1</v>
      </c>
      <c r="S63">
        <v>0</v>
      </c>
      <c r="T63">
        <v>3</v>
      </c>
      <c r="U63">
        <f>SUM(Table1[[#This Row],[Store_Purchases]]+Table1[[#This Row],[Catalog_Purchases]]+Table1[[#This Row],[Web_Purchases]]+Table1[[#This Row],[Deal_Purchases]])</f>
        <v>5</v>
      </c>
      <c r="V63">
        <v>5</v>
      </c>
      <c r="W63">
        <v>0</v>
      </c>
      <c r="X63">
        <v>0</v>
      </c>
      <c r="Y63">
        <v>0</v>
      </c>
      <c r="Z63">
        <v>0</v>
      </c>
      <c r="AA63">
        <v>0</v>
      </c>
      <c r="AB63">
        <f>SUM(Table1[[#This Row],[Accepted_Campaign_2]]+Table1[[#This Row],[Accepted_Campaign_1]]+Table1[[#This Row],[Accepted_Campaign_5]]+Table1[[#This Row],[Accepted_Campaign_4]]+Table1[[#This Row],[Accepted_Campaign_3]])</f>
        <v>0</v>
      </c>
      <c r="AC63">
        <v>0</v>
      </c>
      <c r="AD63">
        <v>0</v>
      </c>
    </row>
    <row r="64" spans="1:30" x14ac:dyDescent="0.25">
      <c r="A64">
        <v>41537</v>
      </c>
      <c r="B64">
        <v>4867</v>
      </c>
      <c r="C64">
        <v>1968</v>
      </c>
      <c r="D64" t="s">
        <v>8</v>
      </c>
      <c r="E64" t="s">
        <v>14</v>
      </c>
      <c r="F64" t="s">
        <v>9</v>
      </c>
      <c r="G64">
        <v>38236</v>
      </c>
      <c r="H64">
        <v>2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f>SUM(Table1[[#This Row],[Gold Spending]]+Table1[[#This Row],[Sweet Spending]]+Table1[[#This Row],[Fish Spending]]+Table1[[#This Row],[Meat Spending]]+Table1[[#This Row],[Fruits Spending]]+Table1[[#This Row],[Wine Spending ]])</f>
        <v>88</v>
      </c>
      <c r="Q64">
        <v>4</v>
      </c>
      <c r="R64">
        <v>3</v>
      </c>
      <c r="S64">
        <v>0</v>
      </c>
      <c r="T64">
        <v>4</v>
      </c>
      <c r="U64">
        <f>SUM(Table1[[#This Row],[Store_Purchases]]+Table1[[#This Row],[Catalog_Purchases]]+Table1[[#This Row],[Web_Purchases]]+Table1[[#This Row],[Deal_Purchases]])</f>
        <v>11</v>
      </c>
      <c r="V64">
        <v>7</v>
      </c>
      <c r="W64">
        <v>0</v>
      </c>
      <c r="X64">
        <v>0</v>
      </c>
      <c r="Y64">
        <v>0</v>
      </c>
      <c r="Z64">
        <v>0</v>
      </c>
      <c r="AA64">
        <v>0</v>
      </c>
      <c r="AB64">
        <f>SUM(Table1[[#This Row],[Accepted_Campaign_2]]+Table1[[#This Row],[Accepted_Campaign_1]]+Table1[[#This Row],[Accepted_Campaign_5]]+Table1[[#This Row],[Accepted_Campaign_4]]+Table1[[#This Row],[Accepted_Campaign_3]])</f>
        <v>0</v>
      </c>
      <c r="AC64">
        <v>0</v>
      </c>
      <c r="AD64">
        <v>0</v>
      </c>
    </row>
    <row r="65" spans="1:30" x14ac:dyDescent="0.25">
      <c r="A65">
        <v>41522</v>
      </c>
      <c r="B65">
        <v>3112</v>
      </c>
      <c r="C65">
        <v>1977</v>
      </c>
      <c r="D65" t="s">
        <v>8</v>
      </c>
      <c r="E65" t="s">
        <v>18</v>
      </c>
      <c r="F65" t="s">
        <v>11</v>
      </c>
      <c r="G65">
        <v>22701</v>
      </c>
      <c r="H65">
        <v>1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f>SUM(Table1[[#This Row],[Gold Spending]]+Table1[[#This Row],[Sweet Spending]]+Table1[[#This Row],[Fish Spending]]+Table1[[#This Row],[Meat Spending]]+Table1[[#This Row],[Fruits Spending]]+Table1[[#This Row],[Wine Spending ]])</f>
        <v>24</v>
      </c>
      <c r="Q65">
        <v>1</v>
      </c>
      <c r="R65">
        <v>1</v>
      </c>
      <c r="S65">
        <v>0</v>
      </c>
      <c r="T65">
        <v>3</v>
      </c>
      <c r="U65">
        <f>SUM(Table1[[#This Row],[Store_Purchases]]+Table1[[#This Row],[Catalog_Purchases]]+Table1[[#This Row],[Web_Purchases]]+Table1[[#This Row],[Deal_Purchases]])</f>
        <v>5</v>
      </c>
      <c r="V65">
        <v>5</v>
      </c>
      <c r="W65">
        <v>0</v>
      </c>
      <c r="X65">
        <v>0</v>
      </c>
      <c r="Y65">
        <v>0</v>
      </c>
      <c r="Z65">
        <v>0</v>
      </c>
      <c r="AA65">
        <v>0</v>
      </c>
      <c r="AB65">
        <f>SUM(Table1[[#This Row],[Accepted_Campaign_2]]+Table1[[#This Row],[Accepted_Campaign_1]]+Table1[[#This Row],[Accepted_Campaign_5]]+Table1[[#This Row],[Accepted_Campaign_4]]+Table1[[#This Row],[Accepted_Campaign_3]])</f>
        <v>0</v>
      </c>
      <c r="AC65">
        <v>0</v>
      </c>
      <c r="AD65">
        <v>0</v>
      </c>
    </row>
    <row r="66" spans="1:30" x14ac:dyDescent="0.25">
      <c r="A66">
        <v>41517</v>
      </c>
      <c r="B66">
        <v>4865</v>
      </c>
      <c r="C66">
        <v>1974</v>
      </c>
      <c r="D66" t="s">
        <v>13</v>
      </c>
      <c r="E66" t="s">
        <v>18</v>
      </c>
      <c r="F66" t="s">
        <v>7</v>
      </c>
      <c r="G66">
        <v>53367</v>
      </c>
      <c r="H66">
        <v>2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f>SUM(Table1[[#This Row],[Gold Spending]]+Table1[[#This Row],[Sweet Spending]]+Table1[[#This Row],[Fish Spending]]+Table1[[#This Row],[Meat Spending]]+Table1[[#This Row],[Fruits Spending]]+Table1[[#This Row],[Wine Spending ]])</f>
        <v>400</v>
      </c>
      <c r="Q66">
        <v>7</v>
      </c>
      <c r="R66">
        <v>5</v>
      </c>
      <c r="S66">
        <v>1</v>
      </c>
      <c r="T66">
        <v>8</v>
      </c>
      <c r="U66">
        <f>SUM(Table1[[#This Row],[Store_Purchases]]+Table1[[#This Row],[Catalog_Purchases]]+Table1[[#This Row],[Web_Purchases]]+Table1[[#This Row],[Deal_Purchases]])</f>
        <v>21</v>
      </c>
      <c r="V66">
        <v>7</v>
      </c>
      <c r="W66">
        <v>0</v>
      </c>
      <c r="X66">
        <v>0</v>
      </c>
      <c r="Y66">
        <v>0</v>
      </c>
      <c r="Z66">
        <v>0</v>
      </c>
      <c r="AA66">
        <v>0</v>
      </c>
      <c r="AB66">
        <f>SUM(Table1[[#This Row],[Accepted_Campaign_2]]+Table1[[#This Row],[Accepted_Campaign_1]]+Table1[[#This Row],[Accepted_Campaign_5]]+Table1[[#This Row],[Accepted_Campaign_4]]+Table1[[#This Row],[Accepted_Campaign_3]])</f>
        <v>0</v>
      </c>
      <c r="AC66">
        <v>1</v>
      </c>
      <c r="AD66">
        <v>0</v>
      </c>
    </row>
    <row r="67" spans="1:30" x14ac:dyDescent="0.25">
      <c r="A67">
        <v>41485</v>
      </c>
      <c r="B67">
        <v>6287</v>
      </c>
      <c r="C67">
        <v>1986</v>
      </c>
      <c r="D67" t="s">
        <v>8</v>
      </c>
      <c r="E67" t="s">
        <v>6</v>
      </c>
      <c r="F67" t="s">
        <v>12</v>
      </c>
      <c r="G67">
        <v>34728</v>
      </c>
      <c r="H67">
        <v>1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f>SUM(Table1[[#This Row],[Gold Spending]]+Table1[[#This Row],[Sweet Spending]]+Table1[[#This Row],[Fish Spending]]+Table1[[#This Row],[Meat Spending]]+Table1[[#This Row],[Fruits Spending]]+Table1[[#This Row],[Wine Spending ]])</f>
        <v>36</v>
      </c>
      <c r="Q67">
        <v>1</v>
      </c>
      <c r="R67">
        <v>1</v>
      </c>
      <c r="S67">
        <v>1</v>
      </c>
      <c r="T67">
        <v>2</v>
      </c>
      <c r="U67">
        <f>SUM(Table1[[#This Row],[Store_Purchases]]+Table1[[#This Row],[Catalog_Purchases]]+Table1[[#This Row],[Web_Purchases]]+Table1[[#This Row],[Deal_Purchases]])</f>
        <v>5</v>
      </c>
      <c r="V67">
        <v>6</v>
      </c>
      <c r="W67">
        <v>0</v>
      </c>
      <c r="X67">
        <v>0</v>
      </c>
      <c r="Y67">
        <v>0</v>
      </c>
      <c r="Z67">
        <v>0</v>
      </c>
      <c r="AA67">
        <v>0</v>
      </c>
      <c r="AB67">
        <f>SUM(Table1[[#This Row],[Accepted_Campaign_2]]+Table1[[#This Row],[Accepted_Campaign_1]]+Table1[[#This Row],[Accepted_Campaign_5]]+Table1[[#This Row],[Accepted_Campaign_4]]+Table1[[#This Row],[Accepted_Campaign_3]])</f>
        <v>0</v>
      </c>
      <c r="AC67">
        <v>1</v>
      </c>
      <c r="AD67">
        <v>0</v>
      </c>
    </row>
    <row r="68" spans="1:30" x14ac:dyDescent="0.25">
      <c r="A68">
        <v>41485</v>
      </c>
      <c r="B68">
        <v>4405</v>
      </c>
      <c r="C68">
        <v>1956</v>
      </c>
      <c r="D68" t="s">
        <v>13</v>
      </c>
      <c r="E68" t="s">
        <v>18</v>
      </c>
      <c r="F68" t="s">
        <v>11</v>
      </c>
      <c r="G68">
        <v>63915</v>
      </c>
      <c r="H68">
        <v>2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f>SUM(Table1[[#This Row],[Gold Spending]]+Table1[[#This Row],[Sweet Spending]]+Table1[[#This Row],[Fish Spending]]+Table1[[#This Row],[Meat Spending]]+Table1[[#This Row],[Fruits Spending]]+Table1[[#This Row],[Wine Spending ]])</f>
        <v>789</v>
      </c>
      <c r="Q68">
        <v>2</v>
      </c>
      <c r="R68">
        <v>6</v>
      </c>
      <c r="S68">
        <v>3</v>
      </c>
      <c r="T68">
        <v>12</v>
      </c>
      <c r="U68">
        <f>SUM(Table1[[#This Row],[Store_Purchases]]+Table1[[#This Row],[Catalog_Purchases]]+Table1[[#This Row],[Web_Purchases]]+Table1[[#This Row],[Deal_Purchases]])</f>
        <v>23</v>
      </c>
      <c r="V68">
        <v>5</v>
      </c>
      <c r="W68">
        <v>0</v>
      </c>
      <c r="X68">
        <v>0</v>
      </c>
      <c r="Y68">
        <v>0</v>
      </c>
      <c r="Z68">
        <v>0</v>
      </c>
      <c r="AA68">
        <v>0</v>
      </c>
      <c r="AB68">
        <f>SUM(Table1[[#This Row],[Accepted_Campaign_2]]+Table1[[#This Row],[Accepted_Campaign_1]]+Table1[[#This Row],[Accepted_Campaign_5]]+Table1[[#This Row],[Accepted_Campaign_4]]+Table1[[#This Row],[Accepted_Campaign_3]])</f>
        <v>0</v>
      </c>
      <c r="AC68">
        <v>0</v>
      </c>
      <c r="AD68">
        <v>0</v>
      </c>
    </row>
    <row r="69" spans="1:30" x14ac:dyDescent="0.25">
      <c r="A69">
        <v>41482</v>
      </c>
      <c r="B69">
        <v>5332</v>
      </c>
      <c r="C69">
        <v>1960</v>
      </c>
      <c r="D69" t="s">
        <v>17</v>
      </c>
      <c r="E69" t="s">
        <v>15</v>
      </c>
      <c r="F69" t="s">
        <v>11</v>
      </c>
      <c r="G69">
        <v>82504</v>
      </c>
      <c r="H69">
        <v>0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f>SUM(Table1[[#This Row],[Gold Spending]]+Table1[[#This Row],[Sweet Spending]]+Table1[[#This Row],[Fish Spending]]+Table1[[#This Row],[Meat Spending]]+Table1[[#This Row],[Fruits Spending]]+Table1[[#This Row],[Wine Spending ]])</f>
        <v>1066</v>
      </c>
      <c r="Q69">
        <v>1</v>
      </c>
      <c r="R69">
        <v>3</v>
      </c>
      <c r="S69">
        <v>6</v>
      </c>
      <c r="T69">
        <v>7</v>
      </c>
      <c r="U69">
        <f>SUM(Table1[[#This Row],[Store_Purchases]]+Table1[[#This Row],[Catalog_Purchases]]+Table1[[#This Row],[Web_Purchases]]+Table1[[#This Row],[Deal_Purchases]])</f>
        <v>17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f>SUM(Table1[[#This Row],[Accepted_Campaign_2]]+Table1[[#This Row],[Accepted_Campaign_1]]+Table1[[#This Row],[Accepted_Campaign_5]]+Table1[[#This Row],[Accepted_Campaign_4]]+Table1[[#This Row],[Accepted_Campaign_3]])</f>
        <v>0</v>
      </c>
      <c r="AC69">
        <v>0</v>
      </c>
      <c r="AD69">
        <v>0</v>
      </c>
    </row>
    <row r="70" spans="1:30" x14ac:dyDescent="0.25">
      <c r="A70">
        <v>41447</v>
      </c>
      <c r="B70">
        <v>1519</v>
      </c>
      <c r="C70">
        <v>1972</v>
      </c>
      <c r="D70" t="s">
        <v>8</v>
      </c>
      <c r="E70" t="s">
        <v>14</v>
      </c>
      <c r="F70" t="s">
        <v>9</v>
      </c>
      <c r="G70">
        <v>38578</v>
      </c>
      <c r="H70">
        <v>2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f>SUM(Table1[[#This Row],[Gold Spending]]+Table1[[#This Row],[Sweet Spending]]+Table1[[#This Row],[Fish Spending]]+Table1[[#This Row],[Meat Spending]]+Table1[[#This Row],[Fruits Spending]]+Table1[[#This Row],[Wine Spending ]])</f>
        <v>73</v>
      </c>
      <c r="Q70">
        <v>3</v>
      </c>
      <c r="R70">
        <v>3</v>
      </c>
      <c r="S70">
        <v>0</v>
      </c>
      <c r="T70">
        <v>3</v>
      </c>
      <c r="U70">
        <f>SUM(Table1[[#This Row],[Store_Purchases]]+Table1[[#This Row],[Catalog_Purchases]]+Table1[[#This Row],[Web_Purchases]]+Table1[[#This Row],[Deal_Purchases]])</f>
        <v>9</v>
      </c>
      <c r="V70">
        <v>8</v>
      </c>
      <c r="W70">
        <v>0</v>
      </c>
      <c r="X70">
        <v>0</v>
      </c>
      <c r="Y70">
        <v>0</v>
      </c>
      <c r="Z70">
        <v>0</v>
      </c>
      <c r="AA70">
        <v>0</v>
      </c>
      <c r="AB70">
        <f>SUM(Table1[[#This Row],[Accepted_Campaign_2]]+Table1[[#This Row],[Accepted_Campaign_1]]+Table1[[#This Row],[Accepted_Campaign_5]]+Table1[[#This Row],[Accepted_Campaign_4]]+Table1[[#This Row],[Accepted_Campaign_3]])</f>
        <v>0</v>
      </c>
      <c r="AC70">
        <v>1</v>
      </c>
      <c r="AD70">
        <v>0</v>
      </c>
    </row>
    <row r="71" spans="1:30" x14ac:dyDescent="0.25">
      <c r="A71">
        <v>41447</v>
      </c>
      <c r="B71">
        <v>9080</v>
      </c>
      <c r="C71">
        <v>1972</v>
      </c>
      <c r="D71" t="s">
        <v>8</v>
      </c>
      <c r="E71" t="s">
        <v>14</v>
      </c>
      <c r="F71" t="s">
        <v>9</v>
      </c>
      <c r="G71">
        <v>38578</v>
      </c>
      <c r="H71">
        <v>2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f>SUM(Table1[[#This Row],[Gold Spending]]+Table1[[#This Row],[Sweet Spending]]+Table1[[#This Row],[Fish Spending]]+Table1[[#This Row],[Meat Spending]]+Table1[[#This Row],[Fruits Spending]]+Table1[[#This Row],[Wine Spending ]])</f>
        <v>73</v>
      </c>
      <c r="Q71">
        <v>3</v>
      </c>
      <c r="R71">
        <v>3</v>
      </c>
      <c r="S71">
        <v>0</v>
      </c>
      <c r="T71">
        <v>3</v>
      </c>
      <c r="U71">
        <f>SUM(Table1[[#This Row],[Store_Purchases]]+Table1[[#This Row],[Catalog_Purchases]]+Table1[[#This Row],[Web_Purchases]]+Table1[[#This Row],[Deal_Purchases]])</f>
        <v>9</v>
      </c>
      <c r="V71">
        <v>8</v>
      </c>
      <c r="W71">
        <v>0</v>
      </c>
      <c r="X71">
        <v>0</v>
      </c>
      <c r="Y71">
        <v>0</v>
      </c>
      <c r="Z71">
        <v>0</v>
      </c>
      <c r="AA71">
        <v>0</v>
      </c>
      <c r="AB71">
        <f>SUM(Table1[[#This Row],[Accepted_Campaign_2]]+Table1[[#This Row],[Accepted_Campaign_1]]+Table1[[#This Row],[Accepted_Campaign_5]]+Table1[[#This Row],[Accepted_Campaign_4]]+Table1[[#This Row],[Accepted_Campaign_3]])</f>
        <v>0</v>
      </c>
      <c r="AC71">
        <v>0</v>
      </c>
      <c r="AD71">
        <v>0</v>
      </c>
    </row>
    <row r="72" spans="1:30" x14ac:dyDescent="0.25">
      <c r="A72">
        <v>41285</v>
      </c>
      <c r="B72">
        <v>1772</v>
      </c>
      <c r="C72">
        <v>1975</v>
      </c>
      <c r="D72" t="s">
        <v>10</v>
      </c>
      <c r="E72" t="s">
        <v>14</v>
      </c>
      <c r="F72" t="s">
        <v>11</v>
      </c>
      <c r="G72">
        <v>79174</v>
      </c>
      <c r="H72">
        <v>0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f>SUM(Table1[[#This Row],[Gold Spending]]+Table1[[#This Row],[Sweet Spending]]+Table1[[#This Row],[Fish Spending]]+Table1[[#This Row],[Meat Spending]]+Table1[[#This Row],[Fruits Spending]]+Table1[[#This Row],[Wine Spending ]])</f>
        <v>2043</v>
      </c>
      <c r="Q72">
        <v>1</v>
      </c>
      <c r="R72">
        <v>5</v>
      </c>
      <c r="S72">
        <v>6</v>
      </c>
      <c r="T72">
        <v>7</v>
      </c>
      <c r="U72">
        <f>SUM(Table1[[#This Row],[Store_Purchases]]+Table1[[#This Row],[Catalog_Purchases]]+Table1[[#This Row],[Web_Purchases]]+Table1[[#This Row],[Deal_Purchases]])</f>
        <v>19</v>
      </c>
      <c r="V72">
        <v>2</v>
      </c>
      <c r="W72">
        <v>0</v>
      </c>
      <c r="X72">
        <v>0</v>
      </c>
      <c r="Y72">
        <v>1</v>
      </c>
      <c r="Z72">
        <v>1</v>
      </c>
      <c r="AA72">
        <v>0</v>
      </c>
      <c r="AB72">
        <f>SUM(Table1[[#This Row],[Accepted_Campaign_2]]+Table1[[#This Row],[Accepted_Campaign_1]]+Table1[[#This Row],[Accepted_Campaign_5]]+Table1[[#This Row],[Accepted_Campaign_4]]+Table1[[#This Row],[Accepted_Campaign_3]])</f>
        <v>2</v>
      </c>
      <c r="AC72">
        <v>1</v>
      </c>
      <c r="AD72">
        <v>0</v>
      </c>
    </row>
    <row r="73" spans="1:30" x14ac:dyDescent="0.25">
      <c r="A73">
        <v>41279</v>
      </c>
      <c r="B73">
        <v>5341</v>
      </c>
      <c r="C73">
        <v>1962</v>
      </c>
      <c r="D73" t="s">
        <v>20</v>
      </c>
      <c r="E73" t="s">
        <v>15</v>
      </c>
      <c r="F73" t="s">
        <v>7</v>
      </c>
      <c r="G73">
        <v>81975</v>
      </c>
      <c r="H73">
        <v>1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f>SUM(Table1[[#This Row],[Gold Spending]]+Table1[[#This Row],[Sweet Spending]]+Table1[[#This Row],[Fish Spending]]+Table1[[#This Row],[Meat Spending]]+Table1[[#This Row],[Fruits Spending]]+Table1[[#This Row],[Wine Spending ]])</f>
        <v>1588</v>
      </c>
      <c r="Q73">
        <v>1</v>
      </c>
      <c r="R73">
        <v>6</v>
      </c>
      <c r="S73">
        <v>3</v>
      </c>
      <c r="T73">
        <v>4</v>
      </c>
      <c r="U73">
        <f>SUM(Table1[[#This Row],[Store_Purchases]]+Table1[[#This Row],[Catalog_Purchases]]+Table1[[#This Row],[Web_Purchases]]+Table1[[#This Row],[Deal_Purchases]])</f>
        <v>14</v>
      </c>
      <c r="V73">
        <v>7</v>
      </c>
      <c r="W73">
        <v>0</v>
      </c>
      <c r="X73">
        <v>0</v>
      </c>
      <c r="Y73">
        <v>1</v>
      </c>
      <c r="Z73">
        <v>0</v>
      </c>
      <c r="AA73">
        <v>0</v>
      </c>
      <c r="AB73">
        <f>SUM(Table1[[#This Row],[Accepted_Campaign_2]]+Table1[[#This Row],[Accepted_Campaign_1]]+Table1[[#This Row],[Accepted_Campaign_5]]+Table1[[#This Row],[Accepted_Campaign_4]]+Table1[[#This Row],[Accepted_Campaign_3]])</f>
        <v>1</v>
      </c>
      <c r="AC73">
        <v>0</v>
      </c>
      <c r="AD73">
        <v>0</v>
      </c>
    </row>
    <row r="74" spans="1:30" x14ac:dyDescent="0.25">
      <c r="A74">
        <v>41234</v>
      </c>
      <c r="B74">
        <v>5510</v>
      </c>
      <c r="C74">
        <v>1977</v>
      </c>
      <c r="D74" t="s">
        <v>8</v>
      </c>
      <c r="E74" t="s">
        <v>18</v>
      </c>
      <c r="F74" t="s">
        <v>11</v>
      </c>
      <c r="G74">
        <v>43263</v>
      </c>
      <c r="H74">
        <v>1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f>SUM(Table1[[#This Row],[Gold Spending]]+Table1[[#This Row],[Sweet Spending]]+Table1[[#This Row],[Fish Spending]]+Table1[[#This Row],[Meat Spending]]+Table1[[#This Row],[Fruits Spending]]+Table1[[#This Row],[Wine Spending ]])</f>
        <v>441</v>
      </c>
      <c r="Q74">
        <v>3</v>
      </c>
      <c r="R74">
        <v>5</v>
      </c>
      <c r="S74">
        <v>2</v>
      </c>
      <c r="T74">
        <v>6</v>
      </c>
      <c r="U74">
        <f>SUM(Table1[[#This Row],[Store_Purchases]]+Table1[[#This Row],[Catalog_Purchases]]+Table1[[#This Row],[Web_Purchases]]+Table1[[#This Row],[Deal_Purchases]])</f>
        <v>16</v>
      </c>
      <c r="V74">
        <v>5</v>
      </c>
      <c r="W74">
        <v>0</v>
      </c>
      <c r="X74">
        <v>0</v>
      </c>
      <c r="Y74">
        <v>0</v>
      </c>
      <c r="Z74">
        <v>0</v>
      </c>
      <c r="AA74">
        <v>0</v>
      </c>
      <c r="AB74">
        <f>SUM(Table1[[#This Row],[Accepted_Campaign_2]]+Table1[[#This Row],[Accepted_Campaign_1]]+Table1[[#This Row],[Accepted_Campaign_5]]+Table1[[#This Row],[Accepted_Campaign_4]]+Table1[[#This Row],[Accepted_Campaign_3]])</f>
        <v>0</v>
      </c>
      <c r="AC74">
        <v>0</v>
      </c>
      <c r="AD74">
        <v>0</v>
      </c>
    </row>
    <row r="75" spans="1:30" x14ac:dyDescent="0.25">
      <c r="A75">
        <v>41224</v>
      </c>
      <c r="B75">
        <v>3887</v>
      </c>
      <c r="C75">
        <v>1970</v>
      </c>
      <c r="D75" t="s">
        <v>17</v>
      </c>
      <c r="E75" t="s">
        <v>6</v>
      </c>
      <c r="F75" t="s">
        <v>9</v>
      </c>
      <c r="G75">
        <v>27242</v>
      </c>
      <c r="H75">
        <v>1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f>SUM(Table1[[#This Row],[Gold Spending]]+Table1[[#This Row],[Sweet Spending]]+Table1[[#This Row],[Fish Spending]]+Table1[[#This Row],[Meat Spending]]+Table1[[#This Row],[Fruits Spending]]+Table1[[#This Row],[Wine Spending ]])</f>
        <v>106</v>
      </c>
      <c r="Q75">
        <v>2</v>
      </c>
      <c r="R75">
        <v>2</v>
      </c>
      <c r="S75">
        <v>0</v>
      </c>
      <c r="T75">
        <v>3</v>
      </c>
      <c r="U75">
        <f>SUM(Table1[[#This Row],[Store_Purchases]]+Table1[[#This Row],[Catalog_Purchases]]+Table1[[#This Row],[Web_Purchases]]+Table1[[#This Row],[Deal_Purchases]])</f>
        <v>7</v>
      </c>
      <c r="V75">
        <v>9</v>
      </c>
      <c r="W75">
        <v>0</v>
      </c>
      <c r="X75">
        <v>0</v>
      </c>
      <c r="Y75">
        <v>0</v>
      </c>
      <c r="Z75">
        <v>0</v>
      </c>
      <c r="AA75">
        <v>0</v>
      </c>
      <c r="AB75">
        <f>SUM(Table1[[#This Row],[Accepted_Campaign_2]]+Table1[[#This Row],[Accepted_Campaign_1]]+Table1[[#This Row],[Accepted_Campaign_5]]+Table1[[#This Row],[Accepted_Campaign_4]]+Table1[[#This Row],[Accepted_Campaign_3]])</f>
        <v>0</v>
      </c>
      <c r="AC75">
        <v>1</v>
      </c>
      <c r="AD75">
        <v>0</v>
      </c>
    </row>
    <row r="76" spans="1:30" x14ac:dyDescent="0.25">
      <c r="A76">
        <v>41180</v>
      </c>
      <c r="B76">
        <v>7022</v>
      </c>
      <c r="C76">
        <v>1971</v>
      </c>
      <c r="D76" t="s">
        <v>20</v>
      </c>
      <c r="E76" t="s">
        <v>6</v>
      </c>
      <c r="F76" t="s">
        <v>11</v>
      </c>
      <c r="G76">
        <v>76445</v>
      </c>
      <c r="H76">
        <v>1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f>SUM(Table1[[#This Row],[Gold Spending]]+Table1[[#This Row],[Sweet Spending]]+Table1[[#This Row],[Fish Spending]]+Table1[[#This Row],[Meat Spending]]+Table1[[#This Row],[Fruits Spending]]+Table1[[#This Row],[Wine Spending ]])</f>
        <v>1410</v>
      </c>
      <c r="Q76">
        <v>1</v>
      </c>
      <c r="R76">
        <v>2</v>
      </c>
      <c r="S76">
        <v>5</v>
      </c>
      <c r="T76">
        <v>13</v>
      </c>
      <c r="U76">
        <f>SUM(Table1[[#This Row],[Store_Purchases]]+Table1[[#This Row],[Catalog_Purchases]]+Table1[[#This Row],[Web_Purchases]]+Table1[[#This Row],[Deal_Purchases]])</f>
        <v>21</v>
      </c>
      <c r="V76">
        <v>6</v>
      </c>
      <c r="W76">
        <v>0</v>
      </c>
      <c r="X76">
        <v>0</v>
      </c>
      <c r="Y76">
        <v>0</v>
      </c>
      <c r="Z76">
        <v>0</v>
      </c>
      <c r="AA76">
        <v>0</v>
      </c>
      <c r="AB76">
        <f>SUM(Table1[[#This Row],[Accepted_Campaign_2]]+Table1[[#This Row],[Accepted_Campaign_1]]+Table1[[#This Row],[Accepted_Campaign_5]]+Table1[[#This Row],[Accepted_Campaign_4]]+Table1[[#This Row],[Accepted_Campaign_3]])</f>
        <v>0</v>
      </c>
      <c r="AC76">
        <v>0</v>
      </c>
      <c r="AD76">
        <v>0</v>
      </c>
    </row>
    <row r="77" spans="1:30" x14ac:dyDescent="0.25">
      <c r="A77">
        <v>41179</v>
      </c>
      <c r="B77">
        <v>9999</v>
      </c>
      <c r="C77">
        <v>1965</v>
      </c>
      <c r="D77" t="s">
        <v>8</v>
      </c>
      <c r="E77" t="s">
        <v>6</v>
      </c>
      <c r="F77" t="s">
        <v>12</v>
      </c>
      <c r="G77">
        <v>75276</v>
      </c>
      <c r="H77">
        <v>0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f>SUM(Table1[[#This Row],[Gold Spending]]+Table1[[#This Row],[Sweet Spending]]+Table1[[#This Row],[Fish Spending]]+Table1[[#This Row],[Meat Spending]]+Table1[[#This Row],[Fruits Spending]]+Table1[[#This Row],[Wine Spending ]])</f>
        <v>1040</v>
      </c>
      <c r="Q77">
        <v>1</v>
      </c>
      <c r="R77">
        <v>9</v>
      </c>
      <c r="S77">
        <v>4</v>
      </c>
      <c r="T77">
        <v>9</v>
      </c>
      <c r="U77">
        <f>SUM(Table1[[#This Row],[Store_Purchases]]+Table1[[#This Row],[Catalog_Purchases]]+Table1[[#This Row],[Web_Purchases]]+Table1[[#This Row],[Deal_Purchases]])</f>
        <v>23</v>
      </c>
      <c r="V77">
        <v>5</v>
      </c>
      <c r="W77">
        <v>0</v>
      </c>
      <c r="X77">
        <v>0</v>
      </c>
      <c r="Y77">
        <v>0</v>
      </c>
      <c r="Z77">
        <v>0</v>
      </c>
      <c r="AA77">
        <v>0</v>
      </c>
      <c r="AB77">
        <f>SUM(Table1[[#This Row],[Accepted_Campaign_2]]+Table1[[#This Row],[Accepted_Campaign_1]]+Table1[[#This Row],[Accepted_Campaign_5]]+Table1[[#This Row],[Accepted_Campaign_4]]+Table1[[#This Row],[Accepted_Campaign_3]])</f>
        <v>0</v>
      </c>
      <c r="AC77">
        <v>0</v>
      </c>
      <c r="AD77">
        <v>0</v>
      </c>
    </row>
    <row r="78" spans="1:30" x14ac:dyDescent="0.25">
      <c r="A78">
        <v>41159</v>
      </c>
      <c r="B78">
        <v>10352</v>
      </c>
      <c r="C78">
        <v>1963</v>
      </c>
      <c r="D78" t="s">
        <v>20</v>
      </c>
      <c r="E78" t="s">
        <v>6</v>
      </c>
      <c r="F78" t="s">
        <v>19</v>
      </c>
      <c r="G78">
        <v>34213</v>
      </c>
      <c r="H78">
        <v>2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f>SUM(Table1[[#This Row],[Gold Spending]]+Table1[[#This Row],[Sweet Spending]]+Table1[[#This Row],[Fish Spending]]+Table1[[#This Row],[Meat Spending]]+Table1[[#This Row],[Fruits Spending]]+Table1[[#This Row],[Wine Spending ]])</f>
        <v>117</v>
      </c>
      <c r="Q78">
        <v>3</v>
      </c>
      <c r="R78">
        <v>3</v>
      </c>
      <c r="S78">
        <v>1</v>
      </c>
      <c r="T78">
        <v>2</v>
      </c>
      <c r="U78">
        <f>SUM(Table1[[#This Row],[Store_Purchases]]+Table1[[#This Row],[Catalog_Purchases]]+Table1[[#This Row],[Web_Purchases]]+Table1[[#This Row],[Deal_Purchases]])</f>
        <v>9</v>
      </c>
      <c r="V78">
        <v>9</v>
      </c>
      <c r="W78">
        <v>0</v>
      </c>
      <c r="X78">
        <v>0</v>
      </c>
      <c r="Y78">
        <v>0</v>
      </c>
      <c r="Z78">
        <v>0</v>
      </c>
      <c r="AA78">
        <v>0</v>
      </c>
      <c r="AB78">
        <f>SUM(Table1[[#This Row],[Accepted_Campaign_2]]+Table1[[#This Row],[Accepted_Campaign_1]]+Table1[[#This Row],[Accepted_Campaign_5]]+Table1[[#This Row],[Accepted_Campaign_4]]+Table1[[#This Row],[Accepted_Campaign_3]])</f>
        <v>0</v>
      </c>
      <c r="AC78">
        <v>1</v>
      </c>
      <c r="AD78">
        <v>0</v>
      </c>
    </row>
    <row r="79" spans="1:30" x14ac:dyDescent="0.25">
      <c r="A79">
        <v>41134</v>
      </c>
      <c r="B79">
        <v>7919</v>
      </c>
      <c r="C79">
        <v>1976</v>
      </c>
      <c r="D79" t="s">
        <v>8</v>
      </c>
      <c r="E79" t="s">
        <v>14</v>
      </c>
      <c r="F79" t="s">
        <v>12</v>
      </c>
      <c r="G79">
        <v>72335</v>
      </c>
      <c r="H79">
        <v>0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f>SUM(Table1[[#This Row],[Gold Spending]]+Table1[[#This Row],[Sweet Spending]]+Table1[[#This Row],[Fish Spending]]+Table1[[#This Row],[Meat Spending]]+Table1[[#This Row],[Fruits Spending]]+Table1[[#This Row],[Wine Spending ]])</f>
        <v>2092</v>
      </c>
      <c r="Q79">
        <v>1</v>
      </c>
      <c r="R79">
        <v>10</v>
      </c>
      <c r="S79">
        <v>4</v>
      </c>
      <c r="T79">
        <v>8</v>
      </c>
      <c r="U79">
        <f>SUM(Table1[[#This Row],[Store_Purchases]]+Table1[[#This Row],[Catalog_Purchases]]+Table1[[#This Row],[Web_Purchases]]+Table1[[#This Row],[Deal_Purchases]])</f>
        <v>23</v>
      </c>
      <c r="V79">
        <v>8</v>
      </c>
      <c r="W79">
        <v>0</v>
      </c>
      <c r="X79">
        <v>0</v>
      </c>
      <c r="Y79">
        <v>0</v>
      </c>
      <c r="Z79">
        <v>0</v>
      </c>
      <c r="AA79">
        <v>0</v>
      </c>
      <c r="AB79">
        <f>SUM(Table1[[#This Row],[Accepted_Campaign_2]]+Table1[[#This Row],[Accepted_Campaign_1]]+Table1[[#This Row],[Accepted_Campaign_5]]+Table1[[#This Row],[Accepted_Campaign_4]]+Table1[[#This Row],[Accepted_Campaign_3]])</f>
        <v>0</v>
      </c>
      <c r="AC79">
        <v>1</v>
      </c>
      <c r="AD79">
        <v>0</v>
      </c>
    </row>
    <row r="80" spans="1:30" x14ac:dyDescent="0.25">
      <c r="A80">
        <v>41132</v>
      </c>
      <c r="B80">
        <v>4114</v>
      </c>
      <c r="C80">
        <v>1964</v>
      </c>
      <c r="D80" t="s">
        <v>13</v>
      </c>
      <c r="E80" t="s">
        <v>18</v>
      </c>
      <c r="F80" t="s">
        <v>11</v>
      </c>
      <c r="G80">
        <v>79143</v>
      </c>
      <c r="H80">
        <v>0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f>SUM(Table1[[#This Row],[Gold Spending]]+Table1[[#This Row],[Sweet Spending]]+Table1[[#This Row],[Fish Spending]]+Table1[[#This Row],[Meat Spending]]+Table1[[#This Row],[Fruits Spending]]+Table1[[#This Row],[Wine Spending ]])</f>
        <v>1693</v>
      </c>
      <c r="Q80">
        <v>1</v>
      </c>
      <c r="R80">
        <v>6</v>
      </c>
      <c r="S80">
        <v>9</v>
      </c>
      <c r="T80">
        <v>13</v>
      </c>
      <c r="U80">
        <f>SUM(Table1[[#This Row],[Store_Purchases]]+Table1[[#This Row],[Catalog_Purchases]]+Table1[[#This Row],[Web_Purchases]]+Table1[[#This Row],[Deal_Purchases]])</f>
        <v>29</v>
      </c>
      <c r="V80">
        <v>3</v>
      </c>
      <c r="W80">
        <v>0</v>
      </c>
      <c r="X80">
        <v>0</v>
      </c>
      <c r="Y80">
        <v>0</v>
      </c>
      <c r="Z80">
        <v>0</v>
      </c>
      <c r="AA80">
        <v>0</v>
      </c>
      <c r="AB80">
        <f>SUM(Table1[[#This Row],[Accepted_Campaign_2]]+Table1[[#This Row],[Accepted_Campaign_1]]+Table1[[#This Row],[Accepted_Campaign_5]]+Table1[[#This Row],[Accepted_Campaign_4]]+Table1[[#This Row],[Accepted_Campaign_3]])</f>
        <v>0</v>
      </c>
      <c r="AC80">
        <v>0</v>
      </c>
      <c r="AD80">
        <v>0</v>
      </c>
    </row>
    <row r="81" spans="1:30" x14ac:dyDescent="0.25">
      <c r="A81">
        <v>41123</v>
      </c>
      <c r="B81">
        <v>7990</v>
      </c>
      <c r="C81">
        <v>1947</v>
      </c>
      <c r="D81" t="s">
        <v>10</v>
      </c>
      <c r="E81" t="s">
        <v>6</v>
      </c>
      <c r="F81" t="s">
        <v>11</v>
      </c>
      <c r="G81">
        <v>27469</v>
      </c>
      <c r="H81">
        <v>0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f>SUM(Table1[[#This Row],[Gold Spending]]+Table1[[#This Row],[Sweet Spending]]+Table1[[#This Row],[Fish Spending]]+Table1[[#This Row],[Meat Spending]]+Table1[[#This Row],[Fruits Spending]]+Table1[[#This Row],[Wine Spending ]])</f>
        <v>17</v>
      </c>
      <c r="Q81">
        <v>1</v>
      </c>
      <c r="R81">
        <v>0</v>
      </c>
      <c r="S81">
        <v>0</v>
      </c>
      <c r="T81">
        <v>3</v>
      </c>
      <c r="U81">
        <f>SUM(Table1[[#This Row],[Store_Purchases]]+Table1[[#This Row],[Catalog_Purchases]]+Table1[[#This Row],[Web_Purchases]]+Table1[[#This Row],[Deal_Purchases]])</f>
        <v>4</v>
      </c>
      <c r="V81">
        <v>6</v>
      </c>
      <c r="W81">
        <v>0</v>
      </c>
      <c r="X81">
        <v>0</v>
      </c>
      <c r="Y81">
        <v>0</v>
      </c>
      <c r="Z81">
        <v>0</v>
      </c>
      <c r="AA81">
        <v>0</v>
      </c>
      <c r="AB81">
        <f>SUM(Table1[[#This Row],[Accepted_Campaign_2]]+Table1[[#This Row],[Accepted_Campaign_1]]+Table1[[#This Row],[Accepted_Campaign_5]]+Table1[[#This Row],[Accepted_Campaign_4]]+Table1[[#This Row],[Accepted_Campaign_3]])</f>
        <v>0</v>
      </c>
      <c r="AC81">
        <v>0</v>
      </c>
      <c r="AD81">
        <v>0</v>
      </c>
    </row>
    <row r="82" spans="1:30" x14ac:dyDescent="0.25">
      <c r="A82">
        <v>41815</v>
      </c>
      <c r="B82">
        <v>9888</v>
      </c>
      <c r="C82">
        <v>1969</v>
      </c>
      <c r="D82" t="s">
        <v>8</v>
      </c>
      <c r="E82" t="s">
        <v>6</v>
      </c>
      <c r="F82" t="s">
        <v>12</v>
      </c>
      <c r="G82">
        <v>68695</v>
      </c>
      <c r="H82">
        <v>0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f>SUM(Table1[[#This Row],[Gold Spending]]+Table1[[#This Row],[Sweet Spending]]+Table1[[#This Row],[Fish Spending]]+Table1[[#This Row],[Meat Spending]]+Table1[[#This Row],[Fruits Spending]]+Table1[[#This Row],[Wine Spending ]])</f>
        <v>1091</v>
      </c>
      <c r="Q82">
        <v>1</v>
      </c>
      <c r="R82">
        <v>4</v>
      </c>
      <c r="S82">
        <v>4</v>
      </c>
      <c r="T82">
        <v>7</v>
      </c>
      <c r="U82">
        <f>SUM(Table1[[#This Row],[Store_Purchases]]+Table1[[#This Row],[Catalog_Purchases]]+Table1[[#This Row],[Web_Purchases]]+Table1[[#This Row],[Deal_Purchases]])</f>
        <v>16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f>SUM(Table1[[#This Row],[Accepted_Campaign_2]]+Table1[[#This Row],[Accepted_Campaign_1]]+Table1[[#This Row],[Accepted_Campaign_5]]+Table1[[#This Row],[Accepted_Campaign_4]]+Table1[[#This Row],[Accepted_Campaign_3]])</f>
        <v>0</v>
      </c>
      <c r="AC82">
        <v>0</v>
      </c>
      <c r="AD82">
        <v>0</v>
      </c>
    </row>
    <row r="83" spans="1:30" x14ac:dyDescent="0.25">
      <c r="A83">
        <v>41815</v>
      </c>
      <c r="B83">
        <v>4399</v>
      </c>
      <c r="C83">
        <v>1969</v>
      </c>
      <c r="D83" t="s">
        <v>10</v>
      </c>
      <c r="E83" t="s">
        <v>6</v>
      </c>
      <c r="F83" t="s">
        <v>12</v>
      </c>
      <c r="G83">
        <v>68695</v>
      </c>
      <c r="H83">
        <v>0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f>SUM(Table1[[#This Row],[Gold Spending]]+Table1[[#This Row],[Sweet Spending]]+Table1[[#This Row],[Fish Spending]]+Table1[[#This Row],[Meat Spending]]+Table1[[#This Row],[Fruits Spending]]+Table1[[#This Row],[Wine Spending ]])</f>
        <v>1091</v>
      </c>
      <c r="Q83">
        <v>1</v>
      </c>
      <c r="R83">
        <v>4</v>
      </c>
      <c r="S83">
        <v>4</v>
      </c>
      <c r="T83">
        <v>7</v>
      </c>
      <c r="U83">
        <f>SUM(Table1[[#This Row],[Store_Purchases]]+Table1[[#This Row],[Catalog_Purchases]]+Table1[[#This Row],[Web_Purchases]]+Table1[[#This Row],[Deal_Purchases]])</f>
        <v>16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f>SUM(Table1[[#This Row],[Accepted_Campaign_2]]+Table1[[#This Row],[Accepted_Campaign_1]]+Table1[[#This Row],[Accepted_Campaign_5]]+Table1[[#This Row],[Accepted_Campaign_4]]+Table1[[#This Row],[Accepted_Campaign_3]])</f>
        <v>0</v>
      </c>
      <c r="AC83">
        <v>0</v>
      </c>
      <c r="AD83">
        <v>0</v>
      </c>
    </row>
    <row r="84" spans="1:30" x14ac:dyDescent="0.25">
      <c r="A84">
        <v>41787</v>
      </c>
      <c r="B84">
        <v>4452</v>
      </c>
      <c r="C84">
        <v>1957</v>
      </c>
      <c r="D84" t="s">
        <v>16</v>
      </c>
      <c r="E84" t="s">
        <v>6</v>
      </c>
      <c r="F84" t="s">
        <v>9</v>
      </c>
      <c r="G84">
        <v>50388</v>
      </c>
      <c r="H84">
        <v>1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f>SUM(Table1[[#This Row],[Gold Spending]]+Table1[[#This Row],[Sweet Spending]]+Table1[[#This Row],[Fish Spending]]+Table1[[#This Row],[Meat Spending]]+Table1[[#This Row],[Fruits Spending]]+Table1[[#This Row],[Wine Spending ]])</f>
        <v>372</v>
      </c>
      <c r="Q84">
        <v>4</v>
      </c>
      <c r="R84">
        <v>6</v>
      </c>
      <c r="S84">
        <v>1</v>
      </c>
      <c r="T84">
        <v>6</v>
      </c>
      <c r="U84">
        <f>SUM(Table1[[#This Row],[Store_Purchases]]+Table1[[#This Row],[Catalog_Purchases]]+Table1[[#This Row],[Web_Purchases]]+Table1[[#This Row],[Deal_Purchases]])</f>
        <v>17</v>
      </c>
      <c r="V84">
        <v>7</v>
      </c>
      <c r="W84">
        <v>0</v>
      </c>
      <c r="X84">
        <v>1</v>
      </c>
      <c r="Y84">
        <v>0</v>
      </c>
      <c r="Z84">
        <v>1</v>
      </c>
      <c r="AA84">
        <v>0</v>
      </c>
      <c r="AB84">
        <f>SUM(Table1[[#This Row],[Accepted_Campaign_2]]+Table1[[#This Row],[Accepted_Campaign_1]]+Table1[[#This Row],[Accepted_Campaign_5]]+Table1[[#This Row],[Accepted_Campaign_4]]+Table1[[#This Row],[Accepted_Campaign_3]])</f>
        <v>2</v>
      </c>
      <c r="AC84">
        <v>1</v>
      </c>
      <c r="AD84">
        <v>0</v>
      </c>
    </row>
    <row r="85" spans="1:30" x14ac:dyDescent="0.25">
      <c r="A85">
        <v>41743</v>
      </c>
      <c r="B85">
        <v>4785</v>
      </c>
      <c r="C85">
        <v>1970</v>
      </c>
      <c r="D85" t="s">
        <v>20</v>
      </c>
      <c r="E85" t="s">
        <v>14</v>
      </c>
      <c r="F85" t="s">
        <v>12</v>
      </c>
      <c r="G85">
        <v>77622</v>
      </c>
      <c r="H85">
        <v>2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f>SUM(Table1[[#This Row],[Gold Spending]]+Table1[[#This Row],[Sweet Spending]]+Table1[[#This Row],[Fish Spending]]+Table1[[#This Row],[Meat Spending]]+Table1[[#This Row],[Fruits Spending]]+Table1[[#This Row],[Wine Spending ]])</f>
        <v>714</v>
      </c>
      <c r="Q85">
        <v>2</v>
      </c>
      <c r="R85">
        <v>6</v>
      </c>
      <c r="S85">
        <v>3</v>
      </c>
      <c r="T85">
        <v>11</v>
      </c>
      <c r="U85">
        <f>SUM(Table1[[#This Row],[Store_Purchases]]+Table1[[#This Row],[Catalog_Purchases]]+Table1[[#This Row],[Web_Purchases]]+Table1[[#This Row],[Deal_Purchases]])</f>
        <v>22</v>
      </c>
      <c r="V85">
        <v>3</v>
      </c>
      <c r="W85">
        <v>0</v>
      </c>
      <c r="X85">
        <v>0</v>
      </c>
      <c r="Y85">
        <v>0</v>
      </c>
      <c r="Z85">
        <v>0</v>
      </c>
      <c r="AA85">
        <v>0</v>
      </c>
      <c r="AB85">
        <f>SUM(Table1[[#This Row],[Accepted_Campaign_2]]+Table1[[#This Row],[Accepted_Campaign_1]]+Table1[[#This Row],[Accepted_Campaign_5]]+Table1[[#This Row],[Accepted_Campaign_4]]+Table1[[#This Row],[Accepted_Campaign_3]])</f>
        <v>0</v>
      </c>
      <c r="AC85">
        <v>0</v>
      </c>
      <c r="AD85">
        <v>0</v>
      </c>
    </row>
    <row r="86" spans="1:30" x14ac:dyDescent="0.25">
      <c r="A86">
        <v>41708</v>
      </c>
      <c r="B86">
        <v>8461</v>
      </c>
      <c r="C86">
        <v>1962</v>
      </c>
      <c r="D86" t="s">
        <v>8</v>
      </c>
      <c r="E86" t="s">
        <v>6</v>
      </c>
      <c r="F86" t="s">
        <v>7</v>
      </c>
      <c r="G86">
        <v>46102</v>
      </c>
      <c r="H86">
        <v>3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f>SUM(Table1[[#This Row],[Gold Spending]]+Table1[[#This Row],[Sweet Spending]]+Table1[[#This Row],[Fish Spending]]+Table1[[#This Row],[Meat Spending]]+Table1[[#This Row],[Fruits Spending]]+Table1[[#This Row],[Wine Spending ]])</f>
        <v>16</v>
      </c>
      <c r="Q86">
        <v>1</v>
      </c>
      <c r="R86">
        <v>1</v>
      </c>
      <c r="S86">
        <v>0</v>
      </c>
      <c r="T86">
        <v>2</v>
      </c>
      <c r="U86">
        <f>SUM(Table1[[#This Row],[Store_Purchases]]+Table1[[#This Row],[Catalog_Purchases]]+Table1[[#This Row],[Web_Purchases]]+Table1[[#This Row],[Deal_Purchases]])</f>
        <v>4</v>
      </c>
      <c r="V86">
        <v>7</v>
      </c>
      <c r="W86">
        <v>0</v>
      </c>
      <c r="X86">
        <v>0</v>
      </c>
      <c r="Y86">
        <v>0</v>
      </c>
      <c r="Z86">
        <v>0</v>
      </c>
      <c r="AA86">
        <v>0</v>
      </c>
      <c r="AB86">
        <f>SUM(Table1[[#This Row],[Accepted_Campaign_2]]+Table1[[#This Row],[Accepted_Campaign_1]]+Table1[[#This Row],[Accepted_Campaign_5]]+Table1[[#This Row],[Accepted_Campaign_4]]+Table1[[#This Row],[Accepted_Campaign_3]])</f>
        <v>0</v>
      </c>
      <c r="AC86">
        <v>0</v>
      </c>
      <c r="AD86">
        <v>0</v>
      </c>
    </row>
    <row r="87" spans="1:30" x14ac:dyDescent="0.25">
      <c r="A87">
        <v>41697</v>
      </c>
      <c r="B87">
        <v>3878</v>
      </c>
      <c r="C87">
        <v>1980</v>
      </c>
      <c r="D87" t="s">
        <v>8</v>
      </c>
      <c r="E87" t="s">
        <v>15</v>
      </c>
      <c r="F87" t="s">
        <v>9</v>
      </c>
      <c r="G87">
        <v>31859</v>
      </c>
      <c r="H87">
        <v>1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f>SUM(Table1[[#This Row],[Gold Spending]]+Table1[[#This Row],[Sweet Spending]]+Table1[[#This Row],[Fish Spending]]+Table1[[#This Row],[Meat Spending]]+Table1[[#This Row],[Fruits Spending]]+Table1[[#This Row],[Wine Spending ]])</f>
        <v>48</v>
      </c>
      <c r="Q87">
        <v>1</v>
      </c>
      <c r="R87">
        <v>1</v>
      </c>
      <c r="S87">
        <v>0</v>
      </c>
      <c r="T87">
        <v>3</v>
      </c>
      <c r="U87">
        <f>SUM(Table1[[#This Row],[Store_Purchases]]+Table1[[#This Row],[Catalog_Purchases]]+Table1[[#This Row],[Web_Purchases]]+Table1[[#This Row],[Deal_Purchases]])</f>
        <v>5</v>
      </c>
      <c r="V87">
        <v>7</v>
      </c>
      <c r="W87">
        <v>0</v>
      </c>
      <c r="X87">
        <v>0</v>
      </c>
      <c r="Y87">
        <v>0</v>
      </c>
      <c r="Z87">
        <v>0</v>
      </c>
      <c r="AA87">
        <v>0</v>
      </c>
      <c r="AB87">
        <f>SUM(Table1[[#This Row],[Accepted_Campaign_2]]+Table1[[#This Row],[Accepted_Campaign_1]]+Table1[[#This Row],[Accepted_Campaign_5]]+Table1[[#This Row],[Accepted_Campaign_4]]+Table1[[#This Row],[Accepted_Campaign_3]])</f>
        <v>0</v>
      </c>
      <c r="AC87">
        <v>0</v>
      </c>
      <c r="AD87">
        <v>0</v>
      </c>
    </row>
    <row r="88" spans="1:30" x14ac:dyDescent="0.25">
      <c r="A88">
        <v>41677</v>
      </c>
      <c r="B88">
        <v>9612</v>
      </c>
      <c r="C88">
        <v>1987</v>
      </c>
      <c r="D88" t="s">
        <v>8</v>
      </c>
      <c r="E88" t="s">
        <v>15</v>
      </c>
      <c r="F88" t="s">
        <v>9</v>
      </c>
      <c r="G88">
        <v>23830</v>
      </c>
      <c r="H88">
        <v>0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f>SUM(Table1[[#This Row],[Gold Spending]]+Table1[[#This Row],[Sweet Spending]]+Table1[[#This Row],[Fish Spending]]+Table1[[#This Row],[Meat Spending]]+Table1[[#This Row],[Fruits Spending]]+Table1[[#This Row],[Wine Spending ]])</f>
        <v>43</v>
      </c>
      <c r="Q88">
        <v>1</v>
      </c>
      <c r="R88">
        <v>1</v>
      </c>
      <c r="S88">
        <v>0</v>
      </c>
      <c r="T88">
        <v>3</v>
      </c>
      <c r="U88">
        <f>SUM(Table1[[#This Row],[Store_Purchases]]+Table1[[#This Row],[Catalog_Purchases]]+Table1[[#This Row],[Web_Purchases]]+Table1[[#This Row],[Deal_Purchases]])</f>
        <v>5</v>
      </c>
      <c r="V88">
        <v>7</v>
      </c>
      <c r="W88">
        <v>0</v>
      </c>
      <c r="X88">
        <v>0</v>
      </c>
      <c r="Y88">
        <v>0</v>
      </c>
      <c r="Z88">
        <v>0</v>
      </c>
      <c r="AA88">
        <v>0</v>
      </c>
      <c r="AB88">
        <f>SUM(Table1[[#This Row],[Accepted_Campaign_2]]+Table1[[#This Row],[Accepted_Campaign_1]]+Table1[[#This Row],[Accepted_Campaign_5]]+Table1[[#This Row],[Accepted_Campaign_4]]+Table1[[#This Row],[Accepted_Campaign_3]])</f>
        <v>0</v>
      </c>
      <c r="AC88">
        <v>0</v>
      </c>
      <c r="AD88">
        <v>0</v>
      </c>
    </row>
    <row r="89" spans="1:30" x14ac:dyDescent="0.25">
      <c r="A89">
        <v>41667</v>
      </c>
      <c r="B89">
        <v>4098</v>
      </c>
      <c r="C89">
        <v>1973</v>
      </c>
      <c r="D89" t="s">
        <v>13</v>
      </c>
      <c r="E89" t="s">
        <v>6</v>
      </c>
      <c r="F89" t="s">
        <v>11</v>
      </c>
      <c r="G89">
        <v>24639</v>
      </c>
      <c r="H89">
        <v>2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89">
        <v>3</v>
      </c>
      <c r="R89">
        <v>2</v>
      </c>
      <c r="S89">
        <v>0</v>
      </c>
      <c r="T89">
        <v>4</v>
      </c>
      <c r="U89">
        <f>SUM(Table1[[#This Row],[Store_Purchases]]+Table1[[#This Row],[Catalog_Purchases]]+Table1[[#This Row],[Web_Purchases]]+Table1[[#This Row],[Deal_Purchases]])</f>
        <v>9</v>
      </c>
      <c r="V89">
        <v>6</v>
      </c>
      <c r="W89">
        <v>0</v>
      </c>
      <c r="X89">
        <v>0</v>
      </c>
      <c r="Y89">
        <v>0</v>
      </c>
      <c r="Z89">
        <v>0</v>
      </c>
      <c r="AA89">
        <v>0</v>
      </c>
      <c r="AB89">
        <f>SUM(Table1[[#This Row],[Accepted_Campaign_2]]+Table1[[#This Row],[Accepted_Campaign_1]]+Table1[[#This Row],[Accepted_Campaign_5]]+Table1[[#This Row],[Accepted_Campaign_4]]+Table1[[#This Row],[Accepted_Campaign_3]])</f>
        <v>0</v>
      </c>
      <c r="AC89">
        <v>0</v>
      </c>
      <c r="AD89">
        <v>0</v>
      </c>
    </row>
    <row r="90" spans="1:30" x14ac:dyDescent="0.25">
      <c r="A90">
        <v>41595</v>
      </c>
      <c r="B90">
        <v>158</v>
      </c>
      <c r="C90">
        <v>1945</v>
      </c>
      <c r="D90" t="s">
        <v>8</v>
      </c>
      <c r="E90" t="s">
        <v>14</v>
      </c>
      <c r="F90" t="s">
        <v>12</v>
      </c>
      <c r="G90">
        <v>71604</v>
      </c>
      <c r="H90">
        <v>0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f>SUM(Table1[[#This Row],[Gold Spending]]+Table1[[#This Row],[Sweet Spending]]+Table1[[#This Row],[Fish Spending]]+Table1[[#This Row],[Meat Spending]]+Table1[[#This Row],[Fruits Spending]]+Table1[[#This Row],[Wine Spending ]])</f>
        <v>1196</v>
      </c>
      <c r="Q90">
        <v>1</v>
      </c>
      <c r="R90">
        <v>8</v>
      </c>
      <c r="S90">
        <v>3</v>
      </c>
      <c r="T90">
        <v>5</v>
      </c>
      <c r="U90">
        <f>SUM(Table1[[#This Row],[Store_Purchases]]+Table1[[#This Row],[Catalog_Purchases]]+Table1[[#This Row],[Web_Purchases]]+Table1[[#This Row],[Deal_Purchases]])</f>
        <v>17</v>
      </c>
      <c r="V90">
        <v>4</v>
      </c>
      <c r="W90">
        <v>1</v>
      </c>
      <c r="X90">
        <v>0</v>
      </c>
      <c r="Y90">
        <v>0</v>
      </c>
      <c r="Z90">
        <v>0</v>
      </c>
      <c r="AA90">
        <v>0</v>
      </c>
      <c r="AB90">
        <f>SUM(Table1[[#This Row],[Accepted_Campaign_2]]+Table1[[#This Row],[Accepted_Campaign_1]]+Table1[[#This Row],[Accepted_Campaign_5]]+Table1[[#This Row],[Accepted_Campaign_4]]+Table1[[#This Row],[Accepted_Campaign_3]])</f>
        <v>1</v>
      </c>
      <c r="AC90">
        <v>1</v>
      </c>
      <c r="AD90">
        <v>0</v>
      </c>
    </row>
    <row r="91" spans="1:30" x14ac:dyDescent="0.25">
      <c r="A91">
        <v>41585</v>
      </c>
      <c r="B91">
        <v>3896</v>
      </c>
      <c r="C91">
        <v>1984</v>
      </c>
      <c r="D91" t="s">
        <v>8</v>
      </c>
      <c r="E91" t="s">
        <v>6</v>
      </c>
      <c r="F91" t="s">
        <v>11</v>
      </c>
      <c r="G91">
        <v>27255</v>
      </c>
      <c r="H91">
        <v>1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f>SUM(Table1[[#This Row],[Gold Spending]]+Table1[[#This Row],[Sweet Spending]]+Table1[[#This Row],[Fish Spending]]+Table1[[#This Row],[Meat Spending]]+Table1[[#This Row],[Fruits Spending]]+Table1[[#This Row],[Wine Spending ]])</f>
        <v>37</v>
      </c>
      <c r="Q91">
        <v>1</v>
      </c>
      <c r="R91">
        <v>1</v>
      </c>
      <c r="S91">
        <v>0</v>
      </c>
      <c r="T91">
        <v>3</v>
      </c>
      <c r="U91">
        <f>SUM(Table1[[#This Row],[Store_Purchases]]+Table1[[#This Row],[Catalog_Purchases]]+Table1[[#This Row],[Web_Purchases]]+Table1[[#This Row],[Deal_Purchases]])</f>
        <v>5</v>
      </c>
      <c r="V91">
        <v>7</v>
      </c>
      <c r="W91">
        <v>0</v>
      </c>
      <c r="X91">
        <v>0</v>
      </c>
      <c r="Y91">
        <v>0</v>
      </c>
      <c r="Z91">
        <v>0</v>
      </c>
      <c r="AA91">
        <v>0</v>
      </c>
      <c r="AB91">
        <f>SUM(Table1[[#This Row],[Accepted_Campaign_2]]+Table1[[#This Row],[Accepted_Campaign_1]]+Table1[[#This Row],[Accepted_Campaign_5]]+Table1[[#This Row],[Accepted_Campaign_4]]+Table1[[#This Row],[Accepted_Campaign_3]])</f>
        <v>0</v>
      </c>
      <c r="AC91">
        <v>0</v>
      </c>
      <c r="AD91">
        <v>0</v>
      </c>
    </row>
    <row r="92" spans="1:30" x14ac:dyDescent="0.25">
      <c r="A92">
        <v>41564</v>
      </c>
      <c r="B92">
        <v>9970</v>
      </c>
      <c r="C92">
        <v>1977</v>
      </c>
      <c r="D92" t="s">
        <v>10</v>
      </c>
      <c r="E92" t="s">
        <v>6</v>
      </c>
      <c r="F92" t="s">
        <v>12</v>
      </c>
      <c r="G92">
        <v>55375</v>
      </c>
      <c r="H92">
        <v>1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f>SUM(Table1[[#This Row],[Gold Spending]]+Table1[[#This Row],[Sweet Spending]]+Table1[[#This Row],[Fish Spending]]+Table1[[#This Row],[Meat Spending]]+Table1[[#This Row],[Fruits Spending]]+Table1[[#This Row],[Wine Spending ]])</f>
        <v>162</v>
      </c>
      <c r="Q92">
        <v>1</v>
      </c>
      <c r="R92">
        <v>1</v>
      </c>
      <c r="S92">
        <v>1</v>
      </c>
      <c r="T92">
        <v>6</v>
      </c>
      <c r="U92">
        <f>SUM(Table1[[#This Row],[Store_Purchases]]+Table1[[#This Row],[Catalog_Purchases]]+Table1[[#This Row],[Web_Purchases]]+Table1[[#This Row],[Deal_Purchases]])</f>
        <v>9</v>
      </c>
      <c r="V92">
        <v>2</v>
      </c>
      <c r="W92">
        <v>0</v>
      </c>
      <c r="X92">
        <v>0</v>
      </c>
      <c r="Y92">
        <v>0</v>
      </c>
      <c r="Z92">
        <v>0</v>
      </c>
      <c r="AA92">
        <v>0</v>
      </c>
      <c r="AB92">
        <f>SUM(Table1[[#This Row],[Accepted_Campaign_2]]+Table1[[#This Row],[Accepted_Campaign_1]]+Table1[[#This Row],[Accepted_Campaign_5]]+Table1[[#This Row],[Accepted_Campaign_4]]+Table1[[#This Row],[Accepted_Campaign_3]])</f>
        <v>0</v>
      </c>
      <c r="AC92">
        <v>0</v>
      </c>
      <c r="AD92">
        <v>0</v>
      </c>
    </row>
    <row r="93" spans="1:30" x14ac:dyDescent="0.25">
      <c r="A93">
        <v>41560</v>
      </c>
      <c r="B93">
        <v>4002</v>
      </c>
      <c r="C93">
        <v>1960</v>
      </c>
      <c r="D93" t="s">
        <v>8</v>
      </c>
      <c r="E93" t="s">
        <v>14</v>
      </c>
      <c r="F93" t="s">
        <v>11</v>
      </c>
      <c r="G93">
        <v>77037</v>
      </c>
      <c r="H93">
        <v>1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f>SUM(Table1[[#This Row],[Gold Spending]]+Table1[[#This Row],[Sweet Spending]]+Table1[[#This Row],[Fish Spending]]+Table1[[#This Row],[Meat Spending]]+Table1[[#This Row],[Fruits Spending]]+Table1[[#This Row],[Wine Spending ]])</f>
        <v>1123</v>
      </c>
      <c r="Q93">
        <v>1</v>
      </c>
      <c r="R93">
        <v>7</v>
      </c>
      <c r="S93">
        <v>7</v>
      </c>
      <c r="T93">
        <v>12</v>
      </c>
      <c r="U93">
        <f>SUM(Table1[[#This Row],[Store_Purchases]]+Table1[[#This Row],[Catalog_Purchases]]+Table1[[#This Row],[Web_Purchases]]+Table1[[#This Row],[Deal_Purchases]])</f>
        <v>27</v>
      </c>
      <c r="V93">
        <v>3</v>
      </c>
      <c r="W93">
        <v>0</v>
      </c>
      <c r="X93">
        <v>0</v>
      </c>
      <c r="Y93">
        <v>0</v>
      </c>
      <c r="Z93">
        <v>0</v>
      </c>
      <c r="AA93">
        <v>0</v>
      </c>
      <c r="AB93">
        <f>SUM(Table1[[#This Row],[Accepted_Campaign_2]]+Table1[[#This Row],[Accepted_Campaign_1]]+Table1[[#This Row],[Accepted_Campaign_5]]+Table1[[#This Row],[Accepted_Campaign_4]]+Table1[[#This Row],[Accepted_Campaign_3]])</f>
        <v>0</v>
      </c>
      <c r="AC93">
        <v>0</v>
      </c>
      <c r="AD93">
        <v>0</v>
      </c>
    </row>
    <row r="94" spans="1:30" x14ac:dyDescent="0.25">
      <c r="A94">
        <v>41559</v>
      </c>
      <c r="B94">
        <v>10914</v>
      </c>
      <c r="C94">
        <v>1970</v>
      </c>
      <c r="D94" t="s">
        <v>8</v>
      </c>
      <c r="E94" t="s">
        <v>6</v>
      </c>
      <c r="F94" t="s">
        <v>9</v>
      </c>
      <c r="G94">
        <v>24163</v>
      </c>
      <c r="H94">
        <v>2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f>SUM(Table1[[#This Row],[Gold Spending]]+Table1[[#This Row],[Sweet Spending]]+Table1[[#This Row],[Fish Spending]]+Table1[[#This Row],[Meat Spending]]+Table1[[#This Row],[Fruits Spending]]+Table1[[#This Row],[Wine Spending ]])</f>
        <v>17</v>
      </c>
      <c r="Q94">
        <v>2</v>
      </c>
      <c r="R94">
        <v>1</v>
      </c>
      <c r="S94">
        <v>0</v>
      </c>
      <c r="T94">
        <v>3</v>
      </c>
      <c r="U94">
        <f>SUM(Table1[[#This Row],[Store_Purchases]]+Table1[[#This Row],[Catalog_Purchases]]+Table1[[#This Row],[Web_Purchases]]+Table1[[#This Row],[Deal_Purchases]])</f>
        <v>6</v>
      </c>
      <c r="V94">
        <v>4</v>
      </c>
      <c r="W94">
        <v>0</v>
      </c>
      <c r="X94">
        <v>0</v>
      </c>
      <c r="Y94">
        <v>0</v>
      </c>
      <c r="Z94">
        <v>0</v>
      </c>
      <c r="AA94">
        <v>0</v>
      </c>
      <c r="AB94">
        <f>SUM(Table1[[#This Row],[Accepted_Campaign_2]]+Table1[[#This Row],[Accepted_Campaign_1]]+Table1[[#This Row],[Accepted_Campaign_5]]+Table1[[#This Row],[Accepted_Campaign_4]]+Table1[[#This Row],[Accepted_Campaign_3]])</f>
        <v>0</v>
      </c>
      <c r="AC94">
        <v>0</v>
      </c>
      <c r="AD94">
        <v>0</v>
      </c>
    </row>
    <row r="95" spans="1:30" x14ac:dyDescent="0.25">
      <c r="A95">
        <v>41547</v>
      </c>
      <c r="B95">
        <v>7279</v>
      </c>
      <c r="C95">
        <v>1969</v>
      </c>
      <c r="D95" t="s">
        <v>63</v>
      </c>
      <c r="E95" t="s">
        <v>14</v>
      </c>
      <c r="F95" t="s">
        <v>12</v>
      </c>
      <c r="G95">
        <v>69476</v>
      </c>
      <c r="H95">
        <v>0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f>SUM(Table1[[#This Row],[Gold Spending]]+Table1[[#This Row],[Sweet Spending]]+Table1[[#This Row],[Fish Spending]]+Table1[[#This Row],[Meat Spending]]+Table1[[#This Row],[Fruits Spending]]+Table1[[#This Row],[Wine Spending ]])</f>
        <v>1044</v>
      </c>
      <c r="Q95">
        <v>1</v>
      </c>
      <c r="R95">
        <v>4</v>
      </c>
      <c r="S95">
        <v>6</v>
      </c>
      <c r="T95">
        <v>4</v>
      </c>
      <c r="U95">
        <f>SUM(Table1[[#This Row],[Store_Purchases]]+Table1[[#This Row],[Catalog_Purchases]]+Table1[[#This Row],[Web_Purchases]]+Table1[[#This Row],[Deal_Purchases]])</f>
        <v>15</v>
      </c>
      <c r="V95">
        <v>2</v>
      </c>
      <c r="W95">
        <v>0</v>
      </c>
      <c r="X95">
        <v>0</v>
      </c>
      <c r="Y95">
        <v>0</v>
      </c>
      <c r="Z95">
        <v>0</v>
      </c>
      <c r="AA95">
        <v>0</v>
      </c>
      <c r="AB95">
        <f>SUM(Table1[[#This Row],[Accepted_Campaign_2]]+Table1[[#This Row],[Accepted_Campaign_1]]+Table1[[#This Row],[Accepted_Campaign_5]]+Table1[[#This Row],[Accepted_Campaign_4]]+Table1[[#This Row],[Accepted_Campaign_3]])</f>
        <v>0</v>
      </c>
      <c r="AC95">
        <v>0</v>
      </c>
      <c r="AD95">
        <v>0</v>
      </c>
    </row>
    <row r="96" spans="1:30" x14ac:dyDescent="0.25">
      <c r="A96">
        <v>41458</v>
      </c>
      <c r="B96">
        <v>10582</v>
      </c>
      <c r="C96">
        <v>1979</v>
      </c>
      <c r="D96" t="s">
        <v>16</v>
      </c>
      <c r="E96" t="s">
        <v>6</v>
      </c>
      <c r="F96" t="s">
        <v>11</v>
      </c>
      <c r="G96">
        <v>72063</v>
      </c>
      <c r="H96">
        <v>1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f>SUM(Table1[[#This Row],[Gold Spending]]+Table1[[#This Row],[Sweet Spending]]+Table1[[#This Row],[Fish Spending]]+Table1[[#This Row],[Meat Spending]]+Table1[[#This Row],[Fruits Spending]]+Table1[[#This Row],[Wine Spending ]])</f>
        <v>758</v>
      </c>
      <c r="Q96">
        <v>2</v>
      </c>
      <c r="R96">
        <v>5</v>
      </c>
      <c r="S96">
        <v>2</v>
      </c>
      <c r="T96">
        <v>12</v>
      </c>
      <c r="U96">
        <f>SUM(Table1[[#This Row],[Store_Purchases]]+Table1[[#This Row],[Catalog_Purchases]]+Table1[[#This Row],[Web_Purchases]]+Table1[[#This Row],[Deal_Purchases]])</f>
        <v>21</v>
      </c>
      <c r="V96">
        <v>2</v>
      </c>
      <c r="W96">
        <v>0</v>
      </c>
      <c r="X96">
        <v>0</v>
      </c>
      <c r="Y96">
        <v>0</v>
      </c>
      <c r="Z96">
        <v>0</v>
      </c>
      <c r="AA96">
        <v>0</v>
      </c>
      <c r="AB96">
        <f>SUM(Table1[[#This Row],[Accepted_Campaign_2]]+Table1[[#This Row],[Accepted_Campaign_1]]+Table1[[#This Row],[Accepted_Campaign_5]]+Table1[[#This Row],[Accepted_Campaign_4]]+Table1[[#This Row],[Accepted_Campaign_3]])</f>
        <v>0</v>
      </c>
      <c r="AC96">
        <v>0</v>
      </c>
      <c r="AD96">
        <v>0</v>
      </c>
    </row>
    <row r="97" spans="1:30" x14ac:dyDescent="0.25">
      <c r="A97">
        <v>41435</v>
      </c>
      <c r="B97">
        <v>4470</v>
      </c>
      <c r="C97">
        <v>1962</v>
      </c>
      <c r="D97" t="s">
        <v>8</v>
      </c>
      <c r="E97" t="s">
        <v>18</v>
      </c>
      <c r="F97" t="s">
        <v>11</v>
      </c>
      <c r="G97">
        <v>58646</v>
      </c>
      <c r="H97">
        <v>1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f>SUM(Table1[[#This Row],[Gold Spending]]+Table1[[#This Row],[Sweet Spending]]+Table1[[#This Row],[Fish Spending]]+Table1[[#This Row],[Meat Spending]]+Table1[[#This Row],[Fruits Spending]]+Table1[[#This Row],[Wine Spending ]])</f>
        <v>140</v>
      </c>
      <c r="Q97">
        <v>1</v>
      </c>
      <c r="R97">
        <v>2</v>
      </c>
      <c r="S97">
        <v>1</v>
      </c>
      <c r="T97">
        <v>4</v>
      </c>
      <c r="U97">
        <f>SUM(Table1[[#This Row],[Store_Purchases]]+Table1[[#This Row],[Catalog_Purchases]]+Table1[[#This Row],[Web_Purchases]]+Table1[[#This Row],[Deal_Purchases]])</f>
        <v>8</v>
      </c>
      <c r="V97">
        <v>4</v>
      </c>
      <c r="W97">
        <v>0</v>
      </c>
      <c r="X97">
        <v>0</v>
      </c>
      <c r="Y97">
        <v>0</v>
      </c>
      <c r="Z97">
        <v>0</v>
      </c>
      <c r="AA97">
        <v>0</v>
      </c>
      <c r="AB97">
        <f>SUM(Table1[[#This Row],[Accepted_Campaign_2]]+Table1[[#This Row],[Accepted_Campaign_1]]+Table1[[#This Row],[Accepted_Campaign_5]]+Table1[[#This Row],[Accepted_Campaign_4]]+Table1[[#This Row],[Accepted_Campaign_3]])</f>
        <v>0</v>
      </c>
      <c r="AC97">
        <v>0</v>
      </c>
      <c r="AD97">
        <v>0</v>
      </c>
    </row>
    <row r="98" spans="1:30" x14ac:dyDescent="0.25">
      <c r="A98">
        <v>41435</v>
      </c>
      <c r="B98">
        <v>6183</v>
      </c>
      <c r="C98">
        <v>1962</v>
      </c>
      <c r="D98" t="s">
        <v>16</v>
      </c>
      <c r="E98" t="s">
        <v>18</v>
      </c>
      <c r="F98" t="s">
        <v>11</v>
      </c>
      <c r="G98">
        <v>58646</v>
      </c>
      <c r="H98">
        <v>1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f>SUM(Table1[[#This Row],[Gold Spending]]+Table1[[#This Row],[Sweet Spending]]+Table1[[#This Row],[Fish Spending]]+Table1[[#This Row],[Meat Spending]]+Table1[[#This Row],[Fruits Spending]]+Table1[[#This Row],[Wine Spending ]])</f>
        <v>140</v>
      </c>
      <c r="Q98">
        <v>1</v>
      </c>
      <c r="R98">
        <v>2</v>
      </c>
      <c r="S98">
        <v>1</v>
      </c>
      <c r="T98">
        <v>4</v>
      </c>
      <c r="U98">
        <f>SUM(Table1[[#This Row],[Store_Purchases]]+Table1[[#This Row],[Catalog_Purchases]]+Table1[[#This Row],[Web_Purchases]]+Table1[[#This Row],[Deal_Purchases]])</f>
        <v>8</v>
      </c>
      <c r="V98">
        <v>4</v>
      </c>
      <c r="W98">
        <v>0</v>
      </c>
      <c r="X98">
        <v>0</v>
      </c>
      <c r="Y98">
        <v>0</v>
      </c>
      <c r="Z98">
        <v>0</v>
      </c>
      <c r="AA98">
        <v>0</v>
      </c>
      <c r="AB98">
        <f>SUM(Table1[[#This Row],[Accepted_Campaign_2]]+Table1[[#This Row],[Accepted_Campaign_1]]+Table1[[#This Row],[Accepted_Campaign_5]]+Table1[[#This Row],[Accepted_Campaign_4]]+Table1[[#This Row],[Accepted_Campaign_3]])</f>
        <v>0</v>
      </c>
      <c r="AC98">
        <v>0</v>
      </c>
      <c r="AD98">
        <v>0</v>
      </c>
    </row>
    <row r="99" spans="1:30" x14ac:dyDescent="0.25">
      <c r="A99">
        <v>41423</v>
      </c>
      <c r="B99">
        <v>6379</v>
      </c>
      <c r="C99">
        <v>1949</v>
      </c>
      <c r="D99" t="s">
        <v>63</v>
      </c>
      <c r="E99" t="s">
        <v>18</v>
      </c>
      <c r="F99" t="s">
        <v>19</v>
      </c>
      <c r="G99">
        <v>47570</v>
      </c>
      <c r="H99">
        <v>2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f>SUM(Table1[[#This Row],[Gold Spending]]+Table1[[#This Row],[Sweet Spending]]+Table1[[#This Row],[Fish Spending]]+Table1[[#This Row],[Meat Spending]]+Table1[[#This Row],[Fruits Spending]]+Table1[[#This Row],[Wine Spending ]])</f>
        <v>121</v>
      </c>
      <c r="Q99">
        <v>3</v>
      </c>
      <c r="R99">
        <v>2</v>
      </c>
      <c r="S99">
        <v>2</v>
      </c>
      <c r="T99">
        <v>2</v>
      </c>
      <c r="U99">
        <f>SUM(Table1[[#This Row],[Store_Purchases]]+Table1[[#This Row],[Catalog_Purchases]]+Table1[[#This Row],[Web_Purchases]]+Table1[[#This Row],[Deal_Purchases]])</f>
        <v>9</v>
      </c>
      <c r="V99">
        <v>7</v>
      </c>
      <c r="W99">
        <v>0</v>
      </c>
      <c r="X99">
        <v>0</v>
      </c>
      <c r="Y99">
        <v>0</v>
      </c>
      <c r="Z99">
        <v>0</v>
      </c>
      <c r="AA99">
        <v>0</v>
      </c>
      <c r="AB99">
        <f>SUM(Table1[[#This Row],[Accepted_Campaign_2]]+Table1[[#This Row],[Accepted_Campaign_1]]+Table1[[#This Row],[Accepted_Campaign_5]]+Table1[[#This Row],[Accepted_Campaign_4]]+Table1[[#This Row],[Accepted_Campaign_3]])</f>
        <v>0</v>
      </c>
      <c r="AC99">
        <v>1</v>
      </c>
      <c r="AD99">
        <v>0</v>
      </c>
    </row>
    <row r="100" spans="1:30" x14ac:dyDescent="0.25">
      <c r="A100">
        <v>41393</v>
      </c>
      <c r="B100">
        <v>8601</v>
      </c>
      <c r="C100">
        <v>1980</v>
      </c>
      <c r="D100" t="s">
        <v>13</v>
      </c>
      <c r="E100" t="s">
        <v>6</v>
      </c>
      <c r="F100" t="s">
        <v>11</v>
      </c>
      <c r="G100">
        <v>80011</v>
      </c>
      <c r="H100">
        <v>1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f>SUM(Table1[[#This Row],[Gold Spending]]+Table1[[#This Row],[Sweet Spending]]+Table1[[#This Row],[Fish Spending]]+Table1[[#This Row],[Meat Spending]]+Table1[[#This Row],[Fruits Spending]]+Table1[[#This Row],[Wine Spending ]])</f>
        <v>1395</v>
      </c>
      <c r="Q100">
        <v>2</v>
      </c>
      <c r="R100">
        <v>8</v>
      </c>
      <c r="S100">
        <v>6</v>
      </c>
      <c r="T100">
        <v>5</v>
      </c>
      <c r="U100">
        <f>SUM(Table1[[#This Row],[Store_Purchases]]+Table1[[#This Row],[Catalog_Purchases]]+Table1[[#This Row],[Web_Purchases]]+Table1[[#This Row],[Deal_Purchases]])</f>
        <v>21</v>
      </c>
      <c r="V100">
        <v>4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f>SUM(Table1[[#This Row],[Accepted_Campaign_2]]+Table1[[#This Row],[Accepted_Campaign_1]]+Table1[[#This Row],[Accepted_Campaign_5]]+Table1[[#This Row],[Accepted_Campaign_4]]+Table1[[#This Row],[Accepted_Campaign_3]])</f>
        <v>0</v>
      </c>
      <c r="AC100">
        <v>0</v>
      </c>
      <c r="AD100">
        <v>0</v>
      </c>
    </row>
    <row r="101" spans="1:30" x14ac:dyDescent="0.25">
      <c r="A101">
        <v>41343</v>
      </c>
      <c r="B101">
        <v>4827</v>
      </c>
      <c r="C101">
        <v>1956</v>
      </c>
      <c r="D101" t="s">
        <v>8</v>
      </c>
      <c r="E101" t="s">
        <v>14</v>
      </c>
      <c r="F101" t="s">
        <v>9</v>
      </c>
      <c r="G101">
        <v>54998</v>
      </c>
      <c r="H101">
        <v>1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f>SUM(Table1[[#This Row],[Gold Spending]]+Table1[[#This Row],[Sweet Spending]]+Table1[[#This Row],[Fish Spending]]+Table1[[#This Row],[Meat Spending]]+Table1[[#This Row],[Fruits Spending]]+Table1[[#This Row],[Wine Spending ]])</f>
        <v>455</v>
      </c>
      <c r="Q101">
        <v>5</v>
      </c>
      <c r="R101">
        <v>4</v>
      </c>
      <c r="S101">
        <v>2</v>
      </c>
      <c r="T101">
        <v>9</v>
      </c>
      <c r="U101">
        <f>SUM(Table1[[#This Row],[Store_Purchases]]+Table1[[#This Row],[Catalog_Purchases]]+Table1[[#This Row],[Web_Purchases]]+Table1[[#This Row],[Deal_Purchases]])</f>
        <v>20</v>
      </c>
      <c r="V101">
        <v>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f>SUM(Table1[[#This Row],[Accepted_Campaign_2]]+Table1[[#This Row],[Accepted_Campaign_1]]+Table1[[#This Row],[Accepted_Campaign_5]]+Table1[[#This Row],[Accepted_Campaign_4]]+Table1[[#This Row],[Accepted_Campaign_3]])</f>
        <v>0</v>
      </c>
      <c r="AC101">
        <v>1</v>
      </c>
      <c r="AD101">
        <v>0</v>
      </c>
    </row>
    <row r="102" spans="1:30" x14ac:dyDescent="0.25">
      <c r="A102">
        <v>41276</v>
      </c>
      <c r="B102">
        <v>6715</v>
      </c>
      <c r="C102">
        <v>1948</v>
      </c>
      <c r="D102" t="s">
        <v>8</v>
      </c>
      <c r="E102" t="s">
        <v>14</v>
      </c>
      <c r="F102" t="s">
        <v>9</v>
      </c>
      <c r="G102">
        <v>60200</v>
      </c>
      <c r="H102">
        <v>1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f>SUM(Table1[[#This Row],[Gold Spending]]+Table1[[#This Row],[Sweet Spending]]+Table1[[#This Row],[Fish Spending]]+Table1[[#This Row],[Meat Spending]]+Table1[[#This Row],[Fruits Spending]]+Table1[[#This Row],[Wine Spending ]])</f>
        <v>685</v>
      </c>
      <c r="Q102">
        <v>6</v>
      </c>
      <c r="R102">
        <v>6</v>
      </c>
      <c r="S102">
        <v>2</v>
      </c>
      <c r="T102">
        <v>11</v>
      </c>
      <c r="U102">
        <f>SUM(Table1[[#This Row],[Store_Purchases]]+Table1[[#This Row],[Catalog_Purchases]]+Table1[[#This Row],[Web_Purchases]]+Table1[[#This Row],[Deal_Purchases]])</f>
        <v>25</v>
      </c>
      <c r="V102">
        <v>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f>SUM(Table1[[#This Row],[Accepted_Campaign_2]]+Table1[[#This Row],[Accepted_Campaign_1]]+Table1[[#This Row],[Accepted_Campaign_5]]+Table1[[#This Row],[Accepted_Campaign_4]]+Table1[[#This Row],[Accepted_Campaign_3]])</f>
        <v>0</v>
      </c>
      <c r="AC102">
        <v>0</v>
      </c>
      <c r="AD102">
        <v>0</v>
      </c>
    </row>
    <row r="103" spans="1:30" x14ac:dyDescent="0.25">
      <c r="A103">
        <v>41215</v>
      </c>
      <c r="B103">
        <v>10676</v>
      </c>
      <c r="C103">
        <v>1982</v>
      </c>
      <c r="D103" t="s">
        <v>8</v>
      </c>
      <c r="E103" t="s">
        <v>6</v>
      </c>
      <c r="F103" t="s">
        <v>11</v>
      </c>
      <c r="G103">
        <v>63211</v>
      </c>
      <c r="H103">
        <v>0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f>SUM(Table1[[#This Row],[Gold Spending]]+Table1[[#This Row],[Sweet Spending]]+Table1[[#This Row],[Fish Spending]]+Table1[[#This Row],[Meat Spending]]+Table1[[#This Row],[Fruits Spending]]+Table1[[#This Row],[Wine Spending ]])</f>
        <v>1173</v>
      </c>
      <c r="Q103">
        <v>2</v>
      </c>
      <c r="R103">
        <v>3</v>
      </c>
      <c r="S103">
        <v>8</v>
      </c>
      <c r="T103">
        <v>7</v>
      </c>
      <c r="U103">
        <f>SUM(Table1[[#This Row],[Store_Purchases]]+Table1[[#This Row],[Catalog_Purchases]]+Table1[[#This Row],[Web_Purchases]]+Table1[[#This Row],[Deal_Purchases]])</f>
        <v>20</v>
      </c>
      <c r="V103">
        <v>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f>SUM(Table1[[#This Row],[Accepted_Campaign_2]]+Table1[[#This Row],[Accepted_Campaign_1]]+Table1[[#This Row],[Accepted_Campaign_5]]+Table1[[#This Row],[Accepted_Campaign_4]]+Table1[[#This Row],[Accepted_Campaign_3]])</f>
        <v>0</v>
      </c>
      <c r="AC103">
        <v>1</v>
      </c>
      <c r="AD103">
        <v>0</v>
      </c>
    </row>
    <row r="104" spans="1:30" x14ac:dyDescent="0.25">
      <c r="A104">
        <v>41200</v>
      </c>
      <c r="B104">
        <v>1041</v>
      </c>
      <c r="C104">
        <v>1973</v>
      </c>
      <c r="D104" t="s">
        <v>20</v>
      </c>
      <c r="E104" t="s">
        <v>14</v>
      </c>
      <c r="F104" t="s">
        <v>9</v>
      </c>
      <c r="G104">
        <v>48432</v>
      </c>
      <c r="H104">
        <v>1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f>SUM(Table1[[#This Row],[Gold Spending]]+Table1[[#This Row],[Sweet Spending]]+Table1[[#This Row],[Fish Spending]]+Table1[[#This Row],[Meat Spending]]+Table1[[#This Row],[Fruits Spending]]+Table1[[#This Row],[Wine Spending ]])</f>
        <v>424</v>
      </c>
      <c r="Q104">
        <v>5</v>
      </c>
      <c r="R104">
        <v>7</v>
      </c>
      <c r="S104">
        <v>1</v>
      </c>
      <c r="T104">
        <v>6</v>
      </c>
      <c r="U104">
        <f>SUM(Table1[[#This Row],[Store_Purchases]]+Table1[[#This Row],[Catalog_Purchases]]+Table1[[#This Row],[Web_Purchases]]+Table1[[#This Row],[Deal_Purchases]])</f>
        <v>19</v>
      </c>
      <c r="V104">
        <v>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f>SUM(Table1[[#This Row],[Accepted_Campaign_2]]+Table1[[#This Row],[Accepted_Campaign_1]]+Table1[[#This Row],[Accepted_Campaign_5]]+Table1[[#This Row],[Accepted_Campaign_4]]+Table1[[#This Row],[Accepted_Campaign_3]])</f>
        <v>0</v>
      </c>
      <c r="AC104">
        <v>1</v>
      </c>
      <c r="AD104">
        <v>0</v>
      </c>
    </row>
    <row r="105" spans="1:30" x14ac:dyDescent="0.25">
      <c r="A105">
        <v>41200</v>
      </c>
      <c r="B105">
        <v>492</v>
      </c>
      <c r="C105">
        <v>1973</v>
      </c>
      <c r="D105" t="s">
        <v>10</v>
      </c>
      <c r="E105" t="s">
        <v>14</v>
      </c>
      <c r="F105" t="s">
        <v>9</v>
      </c>
      <c r="G105">
        <v>48432</v>
      </c>
      <c r="H105">
        <v>1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f>SUM(Table1[[#This Row],[Gold Spending]]+Table1[[#This Row],[Sweet Spending]]+Table1[[#This Row],[Fish Spending]]+Table1[[#This Row],[Meat Spending]]+Table1[[#This Row],[Fruits Spending]]+Table1[[#This Row],[Wine Spending ]])</f>
        <v>424</v>
      </c>
      <c r="Q105">
        <v>5</v>
      </c>
      <c r="R105">
        <v>7</v>
      </c>
      <c r="S105">
        <v>1</v>
      </c>
      <c r="T105">
        <v>6</v>
      </c>
      <c r="U105">
        <f>SUM(Table1[[#This Row],[Store_Purchases]]+Table1[[#This Row],[Catalog_Purchases]]+Table1[[#This Row],[Web_Purchases]]+Table1[[#This Row],[Deal_Purchases]])</f>
        <v>19</v>
      </c>
      <c r="V105">
        <v>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f>SUM(Table1[[#This Row],[Accepted_Campaign_2]]+Table1[[#This Row],[Accepted_Campaign_1]]+Table1[[#This Row],[Accepted_Campaign_5]]+Table1[[#This Row],[Accepted_Campaign_4]]+Table1[[#This Row],[Accepted_Campaign_3]])</f>
        <v>0</v>
      </c>
      <c r="AC105">
        <v>0</v>
      </c>
      <c r="AD105">
        <v>0</v>
      </c>
    </row>
    <row r="106" spans="1:30" x14ac:dyDescent="0.25">
      <c r="A106">
        <v>41200</v>
      </c>
      <c r="B106">
        <v>11133</v>
      </c>
      <c r="C106">
        <v>1973</v>
      </c>
      <c r="D106" t="s">
        <v>17</v>
      </c>
      <c r="E106" t="s">
        <v>14</v>
      </c>
      <c r="F106" t="s">
        <v>9</v>
      </c>
      <c r="G106">
        <v>48432</v>
      </c>
      <c r="H106">
        <v>1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f>SUM(Table1[[#This Row],[Gold Spending]]+Table1[[#This Row],[Sweet Spending]]+Table1[[#This Row],[Fish Spending]]+Table1[[#This Row],[Meat Spending]]+Table1[[#This Row],[Fruits Spending]]+Table1[[#This Row],[Wine Spending ]])</f>
        <v>424</v>
      </c>
      <c r="Q106">
        <v>5</v>
      </c>
      <c r="R106">
        <v>7</v>
      </c>
      <c r="S106">
        <v>1</v>
      </c>
      <c r="T106">
        <v>6</v>
      </c>
      <c r="U106">
        <f>SUM(Table1[[#This Row],[Store_Purchases]]+Table1[[#This Row],[Catalog_Purchases]]+Table1[[#This Row],[Web_Purchases]]+Table1[[#This Row],[Deal_Purchases]])</f>
        <v>19</v>
      </c>
      <c r="V106">
        <v>8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f>SUM(Table1[[#This Row],[Accepted_Campaign_2]]+Table1[[#This Row],[Accepted_Campaign_1]]+Table1[[#This Row],[Accepted_Campaign_5]]+Table1[[#This Row],[Accepted_Campaign_4]]+Table1[[#This Row],[Accepted_Campaign_3]])</f>
        <v>0</v>
      </c>
      <c r="AC106">
        <v>1</v>
      </c>
      <c r="AD106">
        <v>0</v>
      </c>
    </row>
    <row r="107" spans="1:30" x14ac:dyDescent="0.25">
      <c r="A107">
        <v>41183</v>
      </c>
      <c r="B107">
        <v>4491</v>
      </c>
      <c r="C107">
        <v>1949</v>
      </c>
      <c r="D107" t="s">
        <v>8</v>
      </c>
      <c r="E107" t="s">
        <v>18</v>
      </c>
      <c r="F107" t="s">
        <v>11</v>
      </c>
      <c r="G107">
        <v>62845</v>
      </c>
      <c r="H107">
        <v>2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f>SUM(Table1[[#This Row],[Gold Spending]]+Table1[[#This Row],[Sweet Spending]]+Table1[[#This Row],[Fish Spending]]+Table1[[#This Row],[Meat Spending]]+Table1[[#This Row],[Fruits Spending]]+Table1[[#This Row],[Wine Spending ]])</f>
        <v>1178</v>
      </c>
      <c r="Q107">
        <v>11</v>
      </c>
      <c r="R107">
        <v>3</v>
      </c>
      <c r="S107">
        <v>4</v>
      </c>
      <c r="T107">
        <v>10</v>
      </c>
      <c r="U107">
        <f>SUM(Table1[[#This Row],[Store_Purchases]]+Table1[[#This Row],[Catalog_Purchases]]+Table1[[#This Row],[Web_Purchases]]+Table1[[#This Row],[Deal_Purchases]])</f>
        <v>28</v>
      </c>
      <c r="V107">
        <v>8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f>SUM(Table1[[#This Row],[Accepted_Campaign_2]]+Table1[[#This Row],[Accepted_Campaign_1]]+Table1[[#This Row],[Accepted_Campaign_5]]+Table1[[#This Row],[Accepted_Campaign_4]]+Table1[[#This Row],[Accepted_Campaign_3]])</f>
        <v>1</v>
      </c>
      <c r="AC107">
        <v>0</v>
      </c>
      <c r="AD107">
        <v>0</v>
      </c>
    </row>
    <row r="108" spans="1:30" x14ac:dyDescent="0.25">
      <c r="A108">
        <v>41183</v>
      </c>
      <c r="B108">
        <v>873</v>
      </c>
      <c r="C108">
        <v>1949</v>
      </c>
      <c r="D108" t="s">
        <v>8</v>
      </c>
      <c r="E108" t="s">
        <v>18</v>
      </c>
      <c r="F108" t="s">
        <v>11</v>
      </c>
      <c r="G108">
        <v>62845</v>
      </c>
      <c r="H108">
        <v>2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f>SUM(Table1[[#This Row],[Gold Spending]]+Table1[[#This Row],[Sweet Spending]]+Table1[[#This Row],[Fish Spending]]+Table1[[#This Row],[Meat Spending]]+Table1[[#This Row],[Fruits Spending]]+Table1[[#This Row],[Wine Spending ]])</f>
        <v>1178</v>
      </c>
      <c r="Q108">
        <v>11</v>
      </c>
      <c r="R108">
        <v>3</v>
      </c>
      <c r="S108">
        <v>4</v>
      </c>
      <c r="T108">
        <v>10</v>
      </c>
      <c r="U108">
        <f>SUM(Table1[[#This Row],[Store_Purchases]]+Table1[[#This Row],[Catalog_Purchases]]+Table1[[#This Row],[Web_Purchases]]+Table1[[#This Row],[Deal_Purchases]])</f>
        <v>28</v>
      </c>
      <c r="V108">
        <v>8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f>SUM(Table1[[#This Row],[Accepted_Campaign_2]]+Table1[[#This Row],[Accepted_Campaign_1]]+Table1[[#This Row],[Accepted_Campaign_5]]+Table1[[#This Row],[Accepted_Campaign_4]]+Table1[[#This Row],[Accepted_Campaign_3]])</f>
        <v>1</v>
      </c>
      <c r="AC108">
        <v>1</v>
      </c>
      <c r="AD108">
        <v>0</v>
      </c>
    </row>
    <row r="109" spans="1:30" x14ac:dyDescent="0.25">
      <c r="A109">
        <v>41155</v>
      </c>
      <c r="B109">
        <v>1631</v>
      </c>
      <c r="C109">
        <v>1965</v>
      </c>
      <c r="D109" t="s">
        <v>16</v>
      </c>
      <c r="E109" t="s">
        <v>14</v>
      </c>
      <c r="F109" t="s">
        <v>12</v>
      </c>
      <c r="G109">
        <v>65220</v>
      </c>
      <c r="H109">
        <v>0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f>SUM(Table1[[#This Row],[Gold Spending]]+Table1[[#This Row],[Sweet Spending]]+Table1[[#This Row],[Fish Spending]]+Table1[[#This Row],[Meat Spending]]+Table1[[#This Row],[Fruits Spending]]+Table1[[#This Row],[Wine Spending ]])</f>
        <v>1282</v>
      </c>
      <c r="Q109">
        <v>4</v>
      </c>
      <c r="R109">
        <v>8</v>
      </c>
      <c r="S109">
        <v>4</v>
      </c>
      <c r="T109">
        <v>7</v>
      </c>
      <c r="U109">
        <f>SUM(Table1[[#This Row],[Store_Purchases]]+Table1[[#This Row],[Catalog_Purchases]]+Table1[[#This Row],[Web_Purchases]]+Table1[[#This Row],[Deal_Purchases]])</f>
        <v>23</v>
      </c>
      <c r="V109">
        <v>6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f>SUM(Table1[[#This Row],[Accepted_Campaign_2]]+Table1[[#This Row],[Accepted_Campaign_1]]+Table1[[#This Row],[Accepted_Campaign_5]]+Table1[[#This Row],[Accepted_Campaign_4]]+Table1[[#This Row],[Accepted_Campaign_3]])</f>
        <v>0</v>
      </c>
      <c r="AC109">
        <v>1</v>
      </c>
      <c r="AD109">
        <v>0</v>
      </c>
    </row>
    <row r="110" spans="1:30" x14ac:dyDescent="0.25">
      <c r="A110">
        <v>41147</v>
      </c>
      <c r="B110">
        <v>8278</v>
      </c>
      <c r="C110">
        <v>1990</v>
      </c>
      <c r="D110" t="s">
        <v>8</v>
      </c>
      <c r="E110" t="s">
        <v>14</v>
      </c>
      <c r="F110" t="s">
        <v>11</v>
      </c>
      <c r="G110">
        <v>74214</v>
      </c>
      <c r="H110">
        <v>0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f>SUM(Table1[[#This Row],[Gold Spending]]+Table1[[#This Row],[Sweet Spending]]+Table1[[#This Row],[Fish Spending]]+Table1[[#This Row],[Meat Spending]]+Table1[[#This Row],[Fruits Spending]]+Table1[[#This Row],[Wine Spending ]])</f>
        <v>1711</v>
      </c>
      <c r="Q110">
        <v>1</v>
      </c>
      <c r="R110">
        <v>8</v>
      </c>
      <c r="S110">
        <v>2</v>
      </c>
      <c r="T110">
        <v>5</v>
      </c>
      <c r="U110">
        <f>SUM(Table1[[#This Row],[Store_Purchases]]+Table1[[#This Row],[Catalog_Purchases]]+Table1[[#This Row],[Web_Purchases]]+Table1[[#This Row],[Deal_Purchases]])</f>
        <v>16</v>
      </c>
      <c r="V110">
        <v>5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f>SUM(Table1[[#This Row],[Accepted_Campaign_2]]+Table1[[#This Row],[Accepted_Campaign_1]]+Table1[[#This Row],[Accepted_Campaign_5]]+Table1[[#This Row],[Accepted_Campaign_4]]+Table1[[#This Row],[Accepted_Campaign_3]])</f>
        <v>0</v>
      </c>
      <c r="AC110">
        <v>0</v>
      </c>
      <c r="AD110">
        <v>0</v>
      </c>
    </row>
    <row r="111" spans="1:30" x14ac:dyDescent="0.25">
      <c r="A111">
        <v>41782</v>
      </c>
      <c r="B111">
        <v>6815</v>
      </c>
      <c r="C111">
        <v>1980</v>
      </c>
      <c r="D111" t="s">
        <v>8</v>
      </c>
      <c r="E111" t="s">
        <v>15</v>
      </c>
      <c r="F111" t="s">
        <v>11</v>
      </c>
      <c r="G111">
        <v>96547</v>
      </c>
      <c r="H111">
        <v>0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f>SUM(Table1[[#This Row],[Gold Spending]]+Table1[[#This Row],[Sweet Spending]]+Table1[[#This Row],[Fish Spending]]+Table1[[#This Row],[Meat Spending]]+Table1[[#This Row],[Fruits Spending]]+Table1[[#This Row],[Wine Spending ]])</f>
        <v>809</v>
      </c>
      <c r="Q111">
        <v>0</v>
      </c>
      <c r="R111">
        <v>7</v>
      </c>
      <c r="S111">
        <v>6</v>
      </c>
      <c r="T111">
        <v>8</v>
      </c>
      <c r="U111">
        <f>SUM(Table1[[#This Row],[Store_Purchases]]+Table1[[#This Row],[Catalog_Purchases]]+Table1[[#This Row],[Web_Purchases]]+Table1[[#This Row],[Deal_Purchases]])</f>
        <v>21</v>
      </c>
      <c r="V111">
        <v>2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f>SUM(Table1[[#This Row],[Accepted_Campaign_2]]+Table1[[#This Row],[Accepted_Campaign_1]]+Table1[[#This Row],[Accepted_Campaign_5]]+Table1[[#This Row],[Accepted_Campaign_4]]+Table1[[#This Row],[Accepted_Campaign_3]])</f>
        <v>3</v>
      </c>
      <c r="AC111">
        <v>1</v>
      </c>
      <c r="AD111">
        <v>0</v>
      </c>
    </row>
    <row r="112" spans="1:30" x14ac:dyDescent="0.25">
      <c r="A112">
        <v>41776</v>
      </c>
      <c r="B112">
        <v>254</v>
      </c>
      <c r="C112">
        <v>1955</v>
      </c>
      <c r="D112" t="s">
        <v>8</v>
      </c>
      <c r="E112" t="s">
        <v>6</v>
      </c>
      <c r="F112" t="s">
        <v>12</v>
      </c>
      <c r="G112">
        <v>53863</v>
      </c>
      <c r="H112">
        <v>1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f>SUM(Table1[[#This Row],[Gold Spending]]+Table1[[#This Row],[Sweet Spending]]+Table1[[#This Row],[Fish Spending]]+Table1[[#This Row],[Meat Spending]]+Table1[[#This Row],[Fruits Spending]]+Table1[[#This Row],[Wine Spending ]])</f>
        <v>473</v>
      </c>
      <c r="Q112">
        <v>3</v>
      </c>
      <c r="R112">
        <v>7</v>
      </c>
      <c r="S112">
        <v>1</v>
      </c>
      <c r="T112">
        <v>7</v>
      </c>
      <c r="U112">
        <f>SUM(Table1[[#This Row],[Store_Purchases]]+Table1[[#This Row],[Catalog_Purchases]]+Table1[[#This Row],[Web_Purchases]]+Table1[[#This Row],[Deal_Purchases]])</f>
        <v>18</v>
      </c>
      <c r="V112">
        <v>7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f>SUM(Table1[[#This Row],[Accepted_Campaign_2]]+Table1[[#This Row],[Accepted_Campaign_1]]+Table1[[#This Row],[Accepted_Campaign_5]]+Table1[[#This Row],[Accepted_Campaign_4]]+Table1[[#This Row],[Accepted_Campaign_3]])</f>
        <v>1</v>
      </c>
      <c r="AC112">
        <v>0</v>
      </c>
      <c r="AD112">
        <v>0</v>
      </c>
    </row>
    <row r="113" spans="1:30" x14ac:dyDescent="0.25">
      <c r="A113">
        <v>41750</v>
      </c>
      <c r="B113">
        <v>1349</v>
      </c>
      <c r="C113">
        <v>1970</v>
      </c>
      <c r="D113" t="s">
        <v>17</v>
      </c>
      <c r="E113" t="s">
        <v>6</v>
      </c>
      <c r="F113" t="s">
        <v>11</v>
      </c>
      <c r="G113">
        <v>50447</v>
      </c>
      <c r="H113">
        <v>2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f>SUM(Table1[[#This Row],[Gold Spending]]+Table1[[#This Row],[Sweet Spending]]+Table1[[#This Row],[Fish Spending]]+Table1[[#This Row],[Meat Spending]]+Table1[[#This Row],[Fruits Spending]]+Table1[[#This Row],[Wine Spending ]])</f>
        <v>148</v>
      </c>
      <c r="Q113">
        <v>1</v>
      </c>
      <c r="R113">
        <v>3</v>
      </c>
      <c r="S113">
        <v>1</v>
      </c>
      <c r="T113">
        <v>3</v>
      </c>
      <c r="U113">
        <f>SUM(Table1[[#This Row],[Store_Purchases]]+Table1[[#This Row],[Catalog_Purchases]]+Table1[[#This Row],[Web_Purchases]]+Table1[[#This Row],[Deal_Purchases]])</f>
        <v>8</v>
      </c>
      <c r="V113">
        <v>6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f>SUM(Table1[[#This Row],[Accepted_Campaign_2]]+Table1[[#This Row],[Accepted_Campaign_1]]+Table1[[#This Row],[Accepted_Campaign_5]]+Table1[[#This Row],[Accepted_Campaign_4]]+Table1[[#This Row],[Accepted_Campaign_3]])</f>
        <v>0</v>
      </c>
      <c r="AC113">
        <v>0</v>
      </c>
      <c r="AD113">
        <v>0</v>
      </c>
    </row>
    <row r="114" spans="1:30" x14ac:dyDescent="0.25">
      <c r="A114">
        <v>41750</v>
      </c>
      <c r="B114">
        <v>2534</v>
      </c>
      <c r="C114">
        <v>1953</v>
      </c>
      <c r="D114" t="s">
        <v>13</v>
      </c>
      <c r="E114" t="s">
        <v>6</v>
      </c>
      <c r="F114" t="s">
        <v>11</v>
      </c>
      <c r="G114">
        <v>37716</v>
      </c>
      <c r="H114">
        <v>1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f>SUM(Table1[[#This Row],[Gold Spending]]+Table1[[#This Row],[Sweet Spending]]+Table1[[#This Row],[Fish Spending]]+Table1[[#This Row],[Meat Spending]]+Table1[[#This Row],[Fruits Spending]]+Table1[[#This Row],[Wine Spending ]])</f>
        <v>188</v>
      </c>
      <c r="Q114">
        <v>2</v>
      </c>
      <c r="R114">
        <v>4</v>
      </c>
      <c r="S114">
        <v>1</v>
      </c>
      <c r="T114">
        <v>3</v>
      </c>
      <c r="U114">
        <f>SUM(Table1[[#This Row],[Store_Purchases]]+Table1[[#This Row],[Catalog_Purchases]]+Table1[[#This Row],[Web_Purchases]]+Table1[[#This Row],[Deal_Purchases]])</f>
        <v>10</v>
      </c>
      <c r="V114">
        <v>7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f>SUM(Table1[[#This Row],[Accepted_Campaign_2]]+Table1[[#This Row],[Accepted_Campaign_1]]+Table1[[#This Row],[Accepted_Campaign_5]]+Table1[[#This Row],[Accepted_Campaign_4]]+Table1[[#This Row],[Accepted_Campaign_3]])</f>
        <v>0</v>
      </c>
      <c r="AC114">
        <v>0</v>
      </c>
      <c r="AD114">
        <v>0</v>
      </c>
    </row>
    <row r="115" spans="1:30" x14ac:dyDescent="0.25">
      <c r="A115">
        <v>41721</v>
      </c>
      <c r="B115">
        <v>2130</v>
      </c>
      <c r="C115">
        <v>1982</v>
      </c>
      <c r="D115" t="s">
        <v>20</v>
      </c>
      <c r="E115" t="s">
        <v>6</v>
      </c>
      <c r="F115" t="s">
        <v>12</v>
      </c>
      <c r="G115">
        <v>45203</v>
      </c>
      <c r="H115">
        <v>2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f>SUM(Table1[[#This Row],[Gold Spending]]+Table1[[#This Row],[Sweet Spending]]+Table1[[#This Row],[Fish Spending]]+Table1[[#This Row],[Meat Spending]]+Table1[[#This Row],[Fruits Spending]]+Table1[[#This Row],[Wine Spending ]])</f>
        <v>147</v>
      </c>
      <c r="Q115">
        <v>1</v>
      </c>
      <c r="R115">
        <v>3</v>
      </c>
      <c r="S115">
        <v>1</v>
      </c>
      <c r="T115">
        <v>3</v>
      </c>
      <c r="U115">
        <f>SUM(Table1[[#This Row],[Store_Purchases]]+Table1[[#This Row],[Catalog_Purchases]]+Table1[[#This Row],[Web_Purchases]]+Table1[[#This Row],[Deal_Purchases]])</f>
        <v>8</v>
      </c>
      <c r="V115">
        <v>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f>SUM(Table1[[#This Row],[Accepted_Campaign_2]]+Table1[[#This Row],[Accepted_Campaign_1]]+Table1[[#This Row],[Accepted_Campaign_5]]+Table1[[#This Row],[Accepted_Campaign_4]]+Table1[[#This Row],[Accepted_Campaign_3]])</f>
        <v>0</v>
      </c>
      <c r="AC115">
        <v>1</v>
      </c>
      <c r="AD115">
        <v>0</v>
      </c>
    </row>
    <row r="116" spans="1:30" x14ac:dyDescent="0.25">
      <c r="A116">
        <v>41624</v>
      </c>
      <c r="B116">
        <v>2296</v>
      </c>
      <c r="C116">
        <v>1975</v>
      </c>
      <c r="D116" t="s">
        <v>8</v>
      </c>
      <c r="E116" t="s">
        <v>18</v>
      </c>
      <c r="F116" t="s">
        <v>11</v>
      </c>
      <c r="G116">
        <v>37368</v>
      </c>
      <c r="H116">
        <v>1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f>SUM(Table1[[#This Row],[Gold Spending]]+Table1[[#This Row],[Sweet Spending]]+Table1[[#This Row],[Fish Spending]]+Table1[[#This Row],[Meat Spending]]+Table1[[#This Row],[Fruits Spending]]+Table1[[#This Row],[Wine Spending ]])</f>
        <v>30</v>
      </c>
      <c r="Q116">
        <v>1</v>
      </c>
      <c r="R116">
        <v>1</v>
      </c>
      <c r="S116">
        <v>0</v>
      </c>
      <c r="T116">
        <v>2</v>
      </c>
      <c r="U116">
        <f>SUM(Table1[[#This Row],[Store_Purchases]]+Table1[[#This Row],[Catalog_Purchases]]+Table1[[#This Row],[Web_Purchases]]+Table1[[#This Row],[Deal_Purchases]])</f>
        <v>4</v>
      </c>
      <c r="V116">
        <v>6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f>SUM(Table1[[#This Row],[Accepted_Campaign_2]]+Table1[[#This Row],[Accepted_Campaign_1]]+Table1[[#This Row],[Accepted_Campaign_5]]+Table1[[#This Row],[Accepted_Campaign_4]]+Table1[[#This Row],[Accepted_Campaign_3]])</f>
        <v>1</v>
      </c>
      <c r="AC116">
        <v>0</v>
      </c>
      <c r="AD116">
        <v>0</v>
      </c>
    </row>
    <row r="117" spans="1:30" x14ac:dyDescent="0.25">
      <c r="A117">
        <v>41604</v>
      </c>
      <c r="B117">
        <v>3799</v>
      </c>
      <c r="C117">
        <v>1955</v>
      </c>
      <c r="D117" t="s">
        <v>63</v>
      </c>
      <c r="E117" t="s">
        <v>6</v>
      </c>
      <c r="F117" t="s">
        <v>11</v>
      </c>
      <c r="G117">
        <v>67225</v>
      </c>
      <c r="H117">
        <v>1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f>SUM(Table1[[#This Row],[Gold Spending]]+Table1[[#This Row],[Sweet Spending]]+Table1[[#This Row],[Fish Spending]]+Table1[[#This Row],[Meat Spending]]+Table1[[#This Row],[Fruits Spending]]+Table1[[#This Row],[Wine Spending ]])</f>
        <v>868</v>
      </c>
      <c r="Q117">
        <v>3</v>
      </c>
      <c r="R117">
        <v>7</v>
      </c>
      <c r="S117">
        <v>2</v>
      </c>
      <c r="T117">
        <v>11</v>
      </c>
      <c r="U117">
        <f>SUM(Table1[[#This Row],[Store_Purchases]]+Table1[[#This Row],[Catalog_Purchases]]+Table1[[#This Row],[Web_Purchases]]+Table1[[#This Row],[Deal_Purchases]])</f>
        <v>23</v>
      </c>
      <c r="V117">
        <v>5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f>SUM(Table1[[#This Row],[Accepted_Campaign_2]]+Table1[[#This Row],[Accepted_Campaign_1]]+Table1[[#This Row],[Accepted_Campaign_5]]+Table1[[#This Row],[Accepted_Campaign_4]]+Table1[[#This Row],[Accepted_Campaign_3]])</f>
        <v>0</v>
      </c>
      <c r="AC117">
        <v>0</v>
      </c>
      <c r="AD117">
        <v>0</v>
      </c>
    </row>
    <row r="118" spans="1:30" x14ac:dyDescent="0.25">
      <c r="A118">
        <v>41592</v>
      </c>
      <c r="B118">
        <v>11084</v>
      </c>
      <c r="C118">
        <v>1976</v>
      </c>
      <c r="D118" t="s">
        <v>10</v>
      </c>
      <c r="E118" t="s">
        <v>18</v>
      </c>
      <c r="F118" t="s">
        <v>12</v>
      </c>
      <c r="G118">
        <v>65104</v>
      </c>
      <c r="H118">
        <v>1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f>SUM(Table1[[#This Row],[Gold Spending]]+Table1[[#This Row],[Sweet Spending]]+Table1[[#This Row],[Fish Spending]]+Table1[[#This Row],[Meat Spending]]+Table1[[#This Row],[Fruits Spending]]+Table1[[#This Row],[Wine Spending ]])</f>
        <v>1053</v>
      </c>
      <c r="Q118">
        <v>2</v>
      </c>
      <c r="R118">
        <v>3</v>
      </c>
      <c r="S118">
        <v>5</v>
      </c>
      <c r="T118">
        <v>7</v>
      </c>
      <c r="U118">
        <f>SUM(Table1[[#This Row],[Store_Purchases]]+Table1[[#This Row],[Catalog_Purchases]]+Table1[[#This Row],[Web_Purchases]]+Table1[[#This Row],[Deal_Purchases]])</f>
        <v>17</v>
      </c>
      <c r="V118">
        <v>7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f>SUM(Table1[[#This Row],[Accepted_Campaign_2]]+Table1[[#This Row],[Accepted_Campaign_1]]+Table1[[#This Row],[Accepted_Campaign_5]]+Table1[[#This Row],[Accepted_Campaign_4]]+Table1[[#This Row],[Accepted_Campaign_3]])</f>
        <v>0</v>
      </c>
      <c r="AC118">
        <v>1</v>
      </c>
      <c r="AD118">
        <v>0</v>
      </c>
    </row>
    <row r="119" spans="1:30" x14ac:dyDescent="0.25">
      <c r="A119">
        <v>41592</v>
      </c>
      <c r="B119">
        <v>5172</v>
      </c>
      <c r="C119">
        <v>1976</v>
      </c>
      <c r="D119" t="s">
        <v>8</v>
      </c>
      <c r="E119" t="s">
        <v>18</v>
      </c>
      <c r="F119" t="s">
        <v>12</v>
      </c>
      <c r="G119">
        <v>65104</v>
      </c>
      <c r="H119">
        <v>1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f>SUM(Table1[[#This Row],[Gold Spending]]+Table1[[#This Row],[Sweet Spending]]+Table1[[#This Row],[Fish Spending]]+Table1[[#This Row],[Meat Spending]]+Table1[[#This Row],[Fruits Spending]]+Table1[[#This Row],[Wine Spending ]])</f>
        <v>1053</v>
      </c>
      <c r="Q119">
        <v>2</v>
      </c>
      <c r="R119">
        <v>3</v>
      </c>
      <c r="S119">
        <v>5</v>
      </c>
      <c r="T119">
        <v>7</v>
      </c>
      <c r="U119">
        <f>SUM(Table1[[#This Row],[Store_Purchases]]+Table1[[#This Row],[Catalog_Purchases]]+Table1[[#This Row],[Web_Purchases]]+Table1[[#This Row],[Deal_Purchases]])</f>
        <v>17</v>
      </c>
      <c r="V119">
        <v>7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f>SUM(Table1[[#This Row],[Accepted_Campaign_2]]+Table1[[#This Row],[Accepted_Campaign_1]]+Table1[[#This Row],[Accepted_Campaign_5]]+Table1[[#This Row],[Accepted_Campaign_4]]+Table1[[#This Row],[Accepted_Campaign_3]])</f>
        <v>0</v>
      </c>
      <c r="AC119">
        <v>0</v>
      </c>
      <c r="AD119">
        <v>0</v>
      </c>
    </row>
    <row r="120" spans="1:30" x14ac:dyDescent="0.25">
      <c r="A120">
        <v>41584</v>
      </c>
      <c r="B120">
        <v>9504</v>
      </c>
      <c r="C120">
        <v>1949</v>
      </c>
      <c r="D120" t="s">
        <v>8</v>
      </c>
      <c r="E120" t="s">
        <v>18</v>
      </c>
      <c r="F120" t="s">
        <v>11</v>
      </c>
      <c r="G120">
        <v>81698</v>
      </c>
      <c r="H120">
        <v>0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f>SUM(Table1[[#This Row],[Gold Spending]]+Table1[[#This Row],[Sweet Spending]]+Table1[[#This Row],[Fish Spending]]+Table1[[#This Row],[Meat Spending]]+Table1[[#This Row],[Fruits Spending]]+Table1[[#This Row],[Wine Spending ]])</f>
        <v>1008</v>
      </c>
      <c r="Q120">
        <v>1</v>
      </c>
      <c r="R120">
        <v>3</v>
      </c>
      <c r="S120">
        <v>8</v>
      </c>
      <c r="T120">
        <v>13</v>
      </c>
      <c r="U120">
        <f>SUM(Table1[[#This Row],[Store_Purchases]]+Table1[[#This Row],[Catalog_Purchases]]+Table1[[#This Row],[Web_Purchases]]+Table1[[#This Row],[Deal_Purchases]])</f>
        <v>25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f>SUM(Table1[[#This Row],[Accepted_Campaign_2]]+Table1[[#This Row],[Accepted_Campaign_1]]+Table1[[#This Row],[Accepted_Campaign_5]]+Table1[[#This Row],[Accepted_Campaign_4]]+Table1[[#This Row],[Accepted_Campaign_3]])</f>
        <v>0</v>
      </c>
      <c r="AC120">
        <v>1</v>
      </c>
      <c r="AD120">
        <v>0</v>
      </c>
    </row>
    <row r="121" spans="1:30" x14ac:dyDescent="0.25">
      <c r="A121">
        <v>41553</v>
      </c>
      <c r="B121">
        <v>850</v>
      </c>
      <c r="C121">
        <v>1968</v>
      </c>
      <c r="D121" t="s">
        <v>8</v>
      </c>
      <c r="E121" t="s">
        <v>6</v>
      </c>
      <c r="F121" t="s">
        <v>9</v>
      </c>
      <c r="G121">
        <v>70566</v>
      </c>
      <c r="H121">
        <v>1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f>SUM(Table1[[#This Row],[Gold Spending]]+Table1[[#This Row],[Sweet Spending]]+Table1[[#This Row],[Fish Spending]]+Table1[[#This Row],[Meat Spending]]+Table1[[#This Row],[Fruits Spending]]+Table1[[#This Row],[Wine Spending ]])</f>
        <v>757</v>
      </c>
      <c r="Q121">
        <v>2</v>
      </c>
      <c r="R121">
        <v>6</v>
      </c>
      <c r="S121">
        <v>5</v>
      </c>
      <c r="T121">
        <v>9</v>
      </c>
      <c r="U121">
        <f>SUM(Table1[[#This Row],[Store_Purchases]]+Table1[[#This Row],[Catalog_Purchases]]+Table1[[#This Row],[Web_Purchases]]+Table1[[#This Row],[Deal_Purchases]])</f>
        <v>22</v>
      </c>
      <c r="V121">
        <v>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f>SUM(Table1[[#This Row],[Accepted_Campaign_2]]+Table1[[#This Row],[Accepted_Campaign_1]]+Table1[[#This Row],[Accepted_Campaign_5]]+Table1[[#This Row],[Accepted_Campaign_4]]+Table1[[#This Row],[Accepted_Campaign_3]])</f>
        <v>0</v>
      </c>
      <c r="AC121">
        <v>0</v>
      </c>
      <c r="AD121">
        <v>0</v>
      </c>
    </row>
    <row r="122" spans="1:30" x14ac:dyDescent="0.25">
      <c r="A122">
        <v>41544</v>
      </c>
      <c r="B122">
        <v>4477</v>
      </c>
      <c r="C122">
        <v>1958</v>
      </c>
      <c r="D122" t="s">
        <v>16</v>
      </c>
      <c r="E122" t="s">
        <v>6</v>
      </c>
      <c r="F122" t="s">
        <v>12</v>
      </c>
      <c r="G122">
        <v>69096</v>
      </c>
      <c r="H122">
        <v>1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f>SUM(Table1[[#This Row],[Gold Spending]]+Table1[[#This Row],[Sweet Spending]]+Table1[[#This Row],[Fish Spending]]+Table1[[#This Row],[Meat Spending]]+Table1[[#This Row],[Fruits Spending]]+Table1[[#This Row],[Wine Spending ]])</f>
        <v>653</v>
      </c>
      <c r="Q122">
        <v>1</v>
      </c>
      <c r="R122">
        <v>5</v>
      </c>
      <c r="S122">
        <v>2</v>
      </c>
      <c r="T122">
        <v>10</v>
      </c>
      <c r="U122">
        <f>SUM(Table1[[#This Row],[Store_Purchases]]+Table1[[#This Row],[Catalog_Purchases]]+Table1[[#This Row],[Web_Purchases]]+Table1[[#This Row],[Deal_Purchases]])</f>
        <v>18</v>
      </c>
      <c r="V122">
        <v>4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f>SUM(Table1[[#This Row],[Accepted_Campaign_2]]+Table1[[#This Row],[Accepted_Campaign_1]]+Table1[[#This Row],[Accepted_Campaign_5]]+Table1[[#This Row],[Accepted_Campaign_4]]+Table1[[#This Row],[Accepted_Campaign_3]])</f>
        <v>0</v>
      </c>
      <c r="AC122">
        <v>0</v>
      </c>
      <c r="AD122">
        <v>0</v>
      </c>
    </row>
    <row r="123" spans="1:30" x14ac:dyDescent="0.25">
      <c r="A123">
        <v>41535</v>
      </c>
      <c r="B123">
        <v>1945</v>
      </c>
      <c r="C123">
        <v>1962</v>
      </c>
      <c r="D123" t="s">
        <v>8</v>
      </c>
      <c r="E123" t="s">
        <v>6</v>
      </c>
      <c r="F123" t="s">
        <v>11</v>
      </c>
      <c r="G123">
        <v>71434</v>
      </c>
      <c r="H123">
        <v>1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f>SUM(Table1[[#This Row],[Gold Spending]]+Table1[[#This Row],[Sweet Spending]]+Table1[[#This Row],[Fish Spending]]+Table1[[#This Row],[Meat Spending]]+Table1[[#This Row],[Fruits Spending]]+Table1[[#This Row],[Wine Spending ]])</f>
        <v>1400</v>
      </c>
      <c r="Q123">
        <v>3</v>
      </c>
      <c r="R123">
        <v>7</v>
      </c>
      <c r="S123">
        <v>4</v>
      </c>
      <c r="T123">
        <v>7</v>
      </c>
      <c r="U123">
        <f>SUM(Table1[[#This Row],[Store_Purchases]]+Table1[[#This Row],[Catalog_Purchases]]+Table1[[#This Row],[Web_Purchases]]+Table1[[#This Row],[Deal_Purchases]])</f>
        <v>21</v>
      </c>
      <c r="V123">
        <v>4</v>
      </c>
      <c r="W123">
        <v>0</v>
      </c>
      <c r="X123">
        <v>1</v>
      </c>
      <c r="Y123">
        <v>0</v>
      </c>
      <c r="Z123">
        <v>1</v>
      </c>
      <c r="AA123">
        <v>0</v>
      </c>
      <c r="AB123">
        <f>SUM(Table1[[#This Row],[Accepted_Campaign_2]]+Table1[[#This Row],[Accepted_Campaign_1]]+Table1[[#This Row],[Accepted_Campaign_5]]+Table1[[#This Row],[Accepted_Campaign_4]]+Table1[[#This Row],[Accepted_Campaign_3]])</f>
        <v>2</v>
      </c>
      <c r="AC123">
        <v>0</v>
      </c>
      <c r="AD123">
        <v>0</v>
      </c>
    </row>
    <row r="124" spans="1:30" x14ac:dyDescent="0.25">
      <c r="A124">
        <v>41526</v>
      </c>
      <c r="B124">
        <v>7685</v>
      </c>
      <c r="C124">
        <v>1978</v>
      </c>
      <c r="D124" t="s">
        <v>8</v>
      </c>
      <c r="E124" t="s">
        <v>6</v>
      </c>
      <c r="F124" t="s">
        <v>11</v>
      </c>
      <c r="G124">
        <v>33039</v>
      </c>
      <c r="H124">
        <v>1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f>SUM(Table1[[#This Row],[Gold Spending]]+Table1[[#This Row],[Sweet Spending]]+Table1[[#This Row],[Fish Spending]]+Table1[[#This Row],[Meat Spending]]+Table1[[#This Row],[Fruits Spending]]+Table1[[#This Row],[Wine Spending ]])</f>
        <v>78</v>
      </c>
      <c r="Q124">
        <v>1</v>
      </c>
      <c r="R124">
        <v>2</v>
      </c>
      <c r="S124">
        <v>0</v>
      </c>
      <c r="T124">
        <v>4</v>
      </c>
      <c r="U124">
        <f>SUM(Table1[[#This Row],[Store_Purchases]]+Table1[[#This Row],[Catalog_Purchases]]+Table1[[#This Row],[Web_Purchases]]+Table1[[#This Row],[Deal_Purchases]])</f>
        <v>7</v>
      </c>
      <c r="V124">
        <v>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f>SUM(Table1[[#This Row],[Accepted_Campaign_2]]+Table1[[#This Row],[Accepted_Campaign_1]]+Table1[[#This Row],[Accepted_Campaign_5]]+Table1[[#This Row],[Accepted_Campaign_4]]+Table1[[#This Row],[Accepted_Campaign_3]])</f>
        <v>0</v>
      </c>
      <c r="AC124">
        <v>0</v>
      </c>
      <c r="AD124">
        <v>0</v>
      </c>
    </row>
    <row r="125" spans="1:30" x14ac:dyDescent="0.25">
      <c r="A125">
        <v>41526</v>
      </c>
      <c r="B125">
        <v>6310</v>
      </c>
      <c r="C125">
        <v>1978</v>
      </c>
      <c r="D125" t="s">
        <v>10</v>
      </c>
      <c r="E125" t="s">
        <v>6</v>
      </c>
      <c r="F125" t="s">
        <v>11</v>
      </c>
      <c r="G125">
        <v>33039</v>
      </c>
      <c r="H125">
        <v>1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f>SUM(Table1[[#This Row],[Gold Spending]]+Table1[[#This Row],[Sweet Spending]]+Table1[[#This Row],[Fish Spending]]+Table1[[#This Row],[Meat Spending]]+Table1[[#This Row],[Fruits Spending]]+Table1[[#This Row],[Wine Spending ]])</f>
        <v>78</v>
      </c>
      <c r="Q125">
        <v>1</v>
      </c>
      <c r="R125">
        <v>2</v>
      </c>
      <c r="S125">
        <v>0</v>
      </c>
      <c r="T125">
        <v>4</v>
      </c>
      <c r="U125">
        <f>SUM(Table1[[#This Row],[Store_Purchases]]+Table1[[#This Row],[Catalog_Purchases]]+Table1[[#This Row],[Web_Purchases]]+Table1[[#This Row],[Deal_Purchases]])</f>
        <v>7</v>
      </c>
      <c r="V125">
        <v>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f>SUM(Table1[[#This Row],[Accepted_Campaign_2]]+Table1[[#This Row],[Accepted_Campaign_1]]+Table1[[#This Row],[Accepted_Campaign_5]]+Table1[[#This Row],[Accepted_Campaign_4]]+Table1[[#This Row],[Accepted_Campaign_3]])</f>
        <v>0</v>
      </c>
      <c r="AC125">
        <v>0</v>
      </c>
      <c r="AD125">
        <v>0</v>
      </c>
    </row>
    <row r="126" spans="1:30" x14ac:dyDescent="0.25">
      <c r="A126">
        <v>41473</v>
      </c>
      <c r="B126">
        <v>10832</v>
      </c>
      <c r="C126">
        <v>1958</v>
      </c>
      <c r="D126" t="s">
        <v>8</v>
      </c>
      <c r="E126" t="s">
        <v>6</v>
      </c>
      <c r="F126" t="s">
        <v>12</v>
      </c>
      <c r="G126">
        <v>46610</v>
      </c>
      <c r="H126">
        <v>0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f>SUM(Table1[[#This Row],[Gold Spending]]+Table1[[#This Row],[Sweet Spending]]+Table1[[#This Row],[Fish Spending]]+Table1[[#This Row],[Meat Spending]]+Table1[[#This Row],[Fruits Spending]]+Table1[[#This Row],[Wine Spending ]])</f>
        <v>467</v>
      </c>
      <c r="Q126">
        <v>1</v>
      </c>
      <c r="R126">
        <v>6</v>
      </c>
      <c r="S126">
        <v>1</v>
      </c>
      <c r="T126">
        <v>6</v>
      </c>
      <c r="U126">
        <f>SUM(Table1[[#This Row],[Store_Purchases]]+Table1[[#This Row],[Catalog_Purchases]]+Table1[[#This Row],[Web_Purchases]]+Table1[[#This Row],[Deal_Purchases]])</f>
        <v>14</v>
      </c>
      <c r="V126">
        <v>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f>SUM(Table1[[#This Row],[Accepted_Campaign_2]]+Table1[[#This Row],[Accepted_Campaign_1]]+Table1[[#This Row],[Accepted_Campaign_5]]+Table1[[#This Row],[Accepted_Campaign_4]]+Table1[[#This Row],[Accepted_Campaign_3]])</f>
        <v>0</v>
      </c>
      <c r="AC126">
        <v>0</v>
      </c>
      <c r="AD126">
        <v>0</v>
      </c>
    </row>
    <row r="127" spans="1:30" x14ac:dyDescent="0.25">
      <c r="A127">
        <v>41463</v>
      </c>
      <c r="B127">
        <v>3025</v>
      </c>
      <c r="C127">
        <v>1958</v>
      </c>
      <c r="D127" t="s">
        <v>10</v>
      </c>
      <c r="E127" t="s">
        <v>6</v>
      </c>
      <c r="F127" t="s">
        <v>9</v>
      </c>
      <c r="G127">
        <v>49967</v>
      </c>
      <c r="H127">
        <v>1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f>SUM(Table1[[#This Row],[Gold Spending]]+Table1[[#This Row],[Sweet Spending]]+Table1[[#This Row],[Fish Spending]]+Table1[[#This Row],[Meat Spending]]+Table1[[#This Row],[Fruits Spending]]+Table1[[#This Row],[Wine Spending ]])</f>
        <v>306</v>
      </c>
      <c r="Q127">
        <v>3</v>
      </c>
      <c r="R127">
        <v>6</v>
      </c>
      <c r="S127">
        <v>1</v>
      </c>
      <c r="T127">
        <v>5</v>
      </c>
      <c r="U127">
        <f>SUM(Table1[[#This Row],[Store_Purchases]]+Table1[[#This Row],[Catalog_Purchases]]+Table1[[#This Row],[Web_Purchases]]+Table1[[#This Row],[Deal_Purchases]])</f>
        <v>15</v>
      </c>
      <c r="V127">
        <v>7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f>SUM(Table1[[#This Row],[Accepted_Campaign_2]]+Table1[[#This Row],[Accepted_Campaign_1]]+Table1[[#This Row],[Accepted_Campaign_5]]+Table1[[#This Row],[Accepted_Campaign_4]]+Table1[[#This Row],[Accepted_Campaign_3]])</f>
        <v>0</v>
      </c>
      <c r="AC127">
        <v>0</v>
      </c>
      <c r="AD127">
        <v>0</v>
      </c>
    </row>
    <row r="128" spans="1:30" x14ac:dyDescent="0.25">
      <c r="A128">
        <v>41421</v>
      </c>
      <c r="B128">
        <v>2404</v>
      </c>
      <c r="C128">
        <v>1976</v>
      </c>
      <c r="D128" t="s">
        <v>63</v>
      </c>
      <c r="E128" t="s">
        <v>6</v>
      </c>
      <c r="F128" t="s">
        <v>11</v>
      </c>
      <c r="G128">
        <v>53359</v>
      </c>
      <c r="H128">
        <v>2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f>SUM(Table1[[#This Row],[Gold Spending]]+Table1[[#This Row],[Sweet Spending]]+Table1[[#This Row],[Fish Spending]]+Table1[[#This Row],[Meat Spending]]+Table1[[#This Row],[Fruits Spending]]+Table1[[#This Row],[Wine Spending ]])</f>
        <v>257</v>
      </c>
      <c r="Q128">
        <v>4</v>
      </c>
      <c r="R128">
        <v>5</v>
      </c>
      <c r="S128">
        <v>1</v>
      </c>
      <c r="T128">
        <v>4</v>
      </c>
      <c r="U128">
        <f>SUM(Table1[[#This Row],[Store_Purchases]]+Table1[[#This Row],[Catalog_Purchases]]+Table1[[#This Row],[Web_Purchases]]+Table1[[#This Row],[Deal_Purchases]])</f>
        <v>14</v>
      </c>
      <c r="V128">
        <v>7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f>SUM(Table1[[#This Row],[Accepted_Campaign_2]]+Table1[[#This Row],[Accepted_Campaign_1]]+Table1[[#This Row],[Accepted_Campaign_5]]+Table1[[#This Row],[Accepted_Campaign_4]]+Table1[[#This Row],[Accepted_Campaign_3]])</f>
        <v>0</v>
      </c>
      <c r="AC128">
        <v>0</v>
      </c>
      <c r="AD128">
        <v>0</v>
      </c>
    </row>
    <row r="129" spans="1:30" x14ac:dyDescent="0.25">
      <c r="A129">
        <v>41338</v>
      </c>
      <c r="B129">
        <v>8581</v>
      </c>
      <c r="C129">
        <v>1971</v>
      </c>
      <c r="D129" t="s">
        <v>8</v>
      </c>
      <c r="E129" t="s">
        <v>18</v>
      </c>
      <c r="F129" t="s">
        <v>11</v>
      </c>
      <c r="G129">
        <v>49505</v>
      </c>
      <c r="H129">
        <v>2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f>SUM(Table1[[#This Row],[Gold Spending]]+Table1[[#This Row],[Sweet Spending]]+Table1[[#This Row],[Fish Spending]]+Table1[[#This Row],[Meat Spending]]+Table1[[#This Row],[Fruits Spending]]+Table1[[#This Row],[Wine Spending ]])</f>
        <v>751</v>
      </c>
      <c r="Q129">
        <v>9</v>
      </c>
      <c r="R129">
        <v>10</v>
      </c>
      <c r="S129">
        <v>2</v>
      </c>
      <c r="T129">
        <v>8</v>
      </c>
      <c r="U129">
        <f>SUM(Table1[[#This Row],[Store_Purchases]]+Table1[[#This Row],[Catalog_Purchases]]+Table1[[#This Row],[Web_Purchases]]+Table1[[#This Row],[Deal_Purchases]])</f>
        <v>29</v>
      </c>
      <c r="V129">
        <v>8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f>SUM(Table1[[#This Row],[Accepted_Campaign_2]]+Table1[[#This Row],[Accepted_Campaign_1]]+Table1[[#This Row],[Accepted_Campaign_5]]+Table1[[#This Row],[Accepted_Campaign_4]]+Table1[[#This Row],[Accepted_Campaign_3]])</f>
        <v>0</v>
      </c>
      <c r="AC129">
        <v>0</v>
      </c>
      <c r="AD129">
        <v>0</v>
      </c>
    </row>
    <row r="130" spans="1:30" x14ac:dyDescent="0.25">
      <c r="A130">
        <v>41325</v>
      </c>
      <c r="B130">
        <v>8755</v>
      </c>
      <c r="C130">
        <v>1946</v>
      </c>
      <c r="D130" t="s">
        <v>13</v>
      </c>
      <c r="E130" t="s">
        <v>18</v>
      </c>
      <c r="F130" t="s">
        <v>11</v>
      </c>
      <c r="G130">
        <v>68657</v>
      </c>
      <c r="H130">
        <v>0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f>SUM(Table1[[#This Row],[Gold Spending]]+Table1[[#This Row],[Sweet Spending]]+Table1[[#This Row],[Fish Spending]]+Table1[[#This Row],[Meat Spending]]+Table1[[#This Row],[Fruits Spending]]+Table1[[#This Row],[Wine Spending ]])</f>
        <v>1196</v>
      </c>
      <c r="Q130">
        <v>1</v>
      </c>
      <c r="R130">
        <v>3</v>
      </c>
      <c r="S130">
        <v>5</v>
      </c>
      <c r="T130">
        <v>9</v>
      </c>
      <c r="U130">
        <f>SUM(Table1[[#This Row],[Store_Purchases]]+Table1[[#This Row],[Catalog_Purchases]]+Table1[[#This Row],[Web_Purchases]]+Table1[[#This Row],[Deal_Purchases]])</f>
        <v>18</v>
      </c>
      <c r="V130">
        <v>7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f>SUM(Table1[[#This Row],[Accepted_Campaign_2]]+Table1[[#This Row],[Accepted_Campaign_1]]+Table1[[#This Row],[Accepted_Campaign_5]]+Table1[[#This Row],[Accepted_Campaign_4]]+Table1[[#This Row],[Accepted_Campaign_3]])</f>
        <v>0</v>
      </c>
      <c r="AC130">
        <v>0</v>
      </c>
      <c r="AD130">
        <v>0</v>
      </c>
    </row>
    <row r="131" spans="1:30" x14ac:dyDescent="0.25">
      <c r="A131">
        <v>41319</v>
      </c>
      <c r="B131">
        <v>10177</v>
      </c>
      <c r="C131">
        <v>1954</v>
      </c>
      <c r="D131" t="s">
        <v>8</v>
      </c>
      <c r="E131" t="s">
        <v>6</v>
      </c>
      <c r="F131" t="s">
        <v>7</v>
      </c>
      <c r="G131">
        <v>72071</v>
      </c>
      <c r="H131">
        <v>1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f>SUM(Table1[[#This Row],[Gold Spending]]+Table1[[#This Row],[Sweet Spending]]+Table1[[#This Row],[Fish Spending]]+Table1[[#This Row],[Meat Spending]]+Table1[[#This Row],[Fruits Spending]]+Table1[[#This Row],[Wine Spending ]])</f>
        <v>1338</v>
      </c>
      <c r="Q131">
        <v>3</v>
      </c>
      <c r="R131">
        <v>5</v>
      </c>
      <c r="S131">
        <v>4</v>
      </c>
      <c r="T131">
        <v>8</v>
      </c>
      <c r="U131">
        <f>SUM(Table1[[#This Row],[Store_Purchases]]+Table1[[#This Row],[Catalog_Purchases]]+Table1[[#This Row],[Web_Purchases]]+Table1[[#This Row],[Deal_Purchases]])</f>
        <v>20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f>SUM(Table1[[#This Row],[Accepted_Campaign_2]]+Table1[[#This Row],[Accepted_Campaign_1]]+Table1[[#This Row],[Accepted_Campaign_5]]+Table1[[#This Row],[Accepted_Campaign_4]]+Table1[[#This Row],[Accepted_Campaign_3]])</f>
        <v>0</v>
      </c>
      <c r="AC131">
        <v>0</v>
      </c>
      <c r="AD131">
        <v>0</v>
      </c>
    </row>
    <row r="132" spans="1:30" x14ac:dyDescent="0.25">
      <c r="A132">
        <v>41319</v>
      </c>
      <c r="B132">
        <v>2429</v>
      </c>
      <c r="C132">
        <v>1954</v>
      </c>
      <c r="D132" t="s">
        <v>10</v>
      </c>
      <c r="E132" t="s">
        <v>6</v>
      </c>
      <c r="F132" t="s">
        <v>7</v>
      </c>
      <c r="G132">
        <v>72071</v>
      </c>
      <c r="H132">
        <v>1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f>SUM(Table1[[#This Row],[Gold Spending]]+Table1[[#This Row],[Sweet Spending]]+Table1[[#This Row],[Fish Spending]]+Table1[[#This Row],[Meat Spending]]+Table1[[#This Row],[Fruits Spending]]+Table1[[#This Row],[Wine Spending ]])</f>
        <v>1338</v>
      </c>
      <c r="Q132">
        <v>3</v>
      </c>
      <c r="R132">
        <v>5</v>
      </c>
      <c r="S132">
        <v>4</v>
      </c>
      <c r="T132">
        <v>8</v>
      </c>
      <c r="U132">
        <f>SUM(Table1[[#This Row],[Store_Purchases]]+Table1[[#This Row],[Catalog_Purchases]]+Table1[[#This Row],[Web_Purchases]]+Table1[[#This Row],[Deal_Purchases]])</f>
        <v>20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f>SUM(Table1[[#This Row],[Accepted_Campaign_2]]+Table1[[#This Row],[Accepted_Campaign_1]]+Table1[[#This Row],[Accepted_Campaign_5]]+Table1[[#This Row],[Accepted_Campaign_4]]+Table1[[#This Row],[Accepted_Campaign_3]])</f>
        <v>0</v>
      </c>
      <c r="AC132">
        <v>0</v>
      </c>
      <c r="AD132">
        <v>0</v>
      </c>
    </row>
    <row r="133" spans="1:30" x14ac:dyDescent="0.25">
      <c r="A133">
        <v>41286</v>
      </c>
      <c r="B133">
        <v>8920</v>
      </c>
      <c r="C133">
        <v>1967</v>
      </c>
      <c r="D133" t="s">
        <v>17</v>
      </c>
      <c r="E133" t="s">
        <v>18</v>
      </c>
      <c r="F133" t="s">
        <v>9</v>
      </c>
      <c r="G133">
        <v>59235</v>
      </c>
      <c r="H133">
        <v>1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f>SUM(Table1[[#This Row],[Gold Spending]]+Table1[[#This Row],[Sweet Spending]]+Table1[[#This Row],[Fish Spending]]+Table1[[#This Row],[Meat Spending]]+Table1[[#This Row],[Fruits Spending]]+Table1[[#This Row],[Wine Spending ]])</f>
        <v>1128</v>
      </c>
      <c r="Q133">
        <v>3</v>
      </c>
      <c r="R133">
        <v>11</v>
      </c>
      <c r="S133">
        <v>2</v>
      </c>
      <c r="T133">
        <v>12</v>
      </c>
      <c r="U133">
        <f>SUM(Table1[[#This Row],[Store_Purchases]]+Table1[[#This Row],[Catalog_Purchases]]+Table1[[#This Row],[Web_Purchases]]+Table1[[#This Row],[Deal_Purchases]])</f>
        <v>28</v>
      </c>
      <c r="V133">
        <v>7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f>SUM(Table1[[#This Row],[Accepted_Campaign_2]]+Table1[[#This Row],[Accepted_Campaign_1]]+Table1[[#This Row],[Accepted_Campaign_5]]+Table1[[#This Row],[Accepted_Campaign_4]]+Table1[[#This Row],[Accepted_Campaign_3]])</f>
        <v>0</v>
      </c>
      <c r="AC133">
        <v>0</v>
      </c>
      <c r="AD133">
        <v>0</v>
      </c>
    </row>
    <row r="134" spans="1:30" x14ac:dyDescent="0.25">
      <c r="A134">
        <v>41267</v>
      </c>
      <c r="B134">
        <v>8430</v>
      </c>
      <c r="C134">
        <v>1957</v>
      </c>
      <c r="D134" t="s">
        <v>13</v>
      </c>
      <c r="E134" t="s">
        <v>6</v>
      </c>
      <c r="F134" t="s">
        <v>12</v>
      </c>
      <c r="G134">
        <v>21994</v>
      </c>
      <c r="H134">
        <v>1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134">
        <v>1</v>
      </c>
      <c r="R134">
        <v>0</v>
      </c>
      <c r="S134">
        <v>0</v>
      </c>
      <c r="T134">
        <v>3</v>
      </c>
      <c r="U134">
        <f>SUM(Table1[[#This Row],[Store_Purchases]]+Table1[[#This Row],[Catalog_Purchases]]+Table1[[#This Row],[Web_Purchases]]+Table1[[#This Row],[Deal_Purchases]])</f>
        <v>4</v>
      </c>
      <c r="V134">
        <v>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>SUM(Table1[[#This Row],[Accepted_Campaign_2]]+Table1[[#This Row],[Accepted_Campaign_1]]+Table1[[#This Row],[Accepted_Campaign_5]]+Table1[[#This Row],[Accepted_Campaign_4]]+Table1[[#This Row],[Accepted_Campaign_3]])</f>
        <v>0</v>
      </c>
      <c r="AC134">
        <v>0</v>
      </c>
      <c r="AD134">
        <v>0</v>
      </c>
    </row>
    <row r="135" spans="1:30" x14ac:dyDescent="0.25">
      <c r="A135">
        <v>41267</v>
      </c>
      <c r="B135">
        <v>8619</v>
      </c>
      <c r="C135">
        <v>1957</v>
      </c>
      <c r="D135" t="s">
        <v>8</v>
      </c>
      <c r="E135" t="s">
        <v>6</v>
      </c>
      <c r="F135" t="s">
        <v>12</v>
      </c>
      <c r="G135">
        <v>21994</v>
      </c>
      <c r="H135">
        <v>1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135">
        <v>1</v>
      </c>
      <c r="R135">
        <v>0</v>
      </c>
      <c r="S135">
        <v>0</v>
      </c>
      <c r="T135">
        <v>3</v>
      </c>
      <c r="U135">
        <f>SUM(Table1[[#This Row],[Store_Purchases]]+Table1[[#This Row],[Catalog_Purchases]]+Table1[[#This Row],[Web_Purchases]]+Table1[[#This Row],[Deal_Purchases]])</f>
        <v>4</v>
      </c>
      <c r="V135">
        <v>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f>SUM(Table1[[#This Row],[Accepted_Campaign_2]]+Table1[[#This Row],[Accepted_Campaign_1]]+Table1[[#This Row],[Accepted_Campaign_5]]+Table1[[#This Row],[Accepted_Campaign_4]]+Table1[[#This Row],[Accepted_Campaign_3]])</f>
        <v>0</v>
      </c>
      <c r="AC135">
        <v>0</v>
      </c>
      <c r="AD135">
        <v>0</v>
      </c>
    </row>
    <row r="136" spans="1:30" x14ac:dyDescent="0.25">
      <c r="A136">
        <v>41232</v>
      </c>
      <c r="B136">
        <v>8996</v>
      </c>
      <c r="C136">
        <v>1957</v>
      </c>
      <c r="D136" t="s">
        <v>16</v>
      </c>
      <c r="E136" t="s">
        <v>14</v>
      </c>
      <c r="F136" t="s">
        <v>11</v>
      </c>
      <c r="G136">
        <v>53790.45</v>
      </c>
      <c r="H136">
        <v>3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f>SUM(Table1[[#This Row],[Gold Spending]]+Table1[[#This Row],[Sweet Spending]]+Table1[[#This Row],[Fish Spending]]+Table1[[#This Row],[Meat Spending]]+Table1[[#This Row],[Fruits Spending]]+Table1[[#This Row],[Wine Spending ]])</f>
        <v>603</v>
      </c>
      <c r="Q136">
        <v>12</v>
      </c>
      <c r="R136">
        <v>7</v>
      </c>
      <c r="S136">
        <v>2</v>
      </c>
      <c r="T136">
        <v>8</v>
      </c>
      <c r="U136">
        <f>SUM(Table1[[#This Row],[Store_Purchases]]+Table1[[#This Row],[Catalog_Purchases]]+Table1[[#This Row],[Web_Purchases]]+Table1[[#This Row],[Deal_Purchases]])</f>
        <v>29</v>
      </c>
      <c r="V136">
        <v>9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f>SUM(Table1[[#This Row],[Accepted_Campaign_2]]+Table1[[#This Row],[Accepted_Campaign_1]]+Table1[[#This Row],[Accepted_Campaign_5]]+Table1[[#This Row],[Accepted_Campaign_4]]+Table1[[#This Row],[Accepted_Campaign_3]])</f>
        <v>0</v>
      </c>
      <c r="AC136">
        <v>0</v>
      </c>
      <c r="AD136">
        <v>0</v>
      </c>
    </row>
    <row r="137" spans="1:30" x14ac:dyDescent="0.25">
      <c r="A137">
        <v>41169</v>
      </c>
      <c r="B137">
        <v>7233</v>
      </c>
      <c r="C137">
        <v>1972</v>
      </c>
      <c r="D137" t="s">
        <v>10</v>
      </c>
      <c r="E137" t="s">
        <v>6</v>
      </c>
      <c r="F137" t="s">
        <v>11</v>
      </c>
      <c r="G137">
        <v>69209</v>
      </c>
      <c r="H137">
        <v>0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f>SUM(Table1[[#This Row],[Gold Spending]]+Table1[[#This Row],[Sweet Spending]]+Table1[[#This Row],[Fish Spending]]+Table1[[#This Row],[Meat Spending]]+Table1[[#This Row],[Fruits Spending]]+Table1[[#This Row],[Wine Spending ]])</f>
        <v>1782</v>
      </c>
      <c r="Q137">
        <v>2</v>
      </c>
      <c r="R137">
        <v>5</v>
      </c>
      <c r="S137">
        <v>3</v>
      </c>
      <c r="T137">
        <v>6</v>
      </c>
      <c r="U137">
        <f>SUM(Table1[[#This Row],[Store_Purchases]]+Table1[[#This Row],[Catalog_Purchases]]+Table1[[#This Row],[Web_Purchases]]+Table1[[#This Row],[Deal_Purchases]])</f>
        <v>16</v>
      </c>
      <c r="V137">
        <v>4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f>SUM(Table1[[#This Row],[Accepted_Campaign_2]]+Table1[[#This Row],[Accepted_Campaign_1]]+Table1[[#This Row],[Accepted_Campaign_5]]+Table1[[#This Row],[Accepted_Campaign_4]]+Table1[[#This Row],[Accepted_Campaign_3]])</f>
        <v>1</v>
      </c>
      <c r="AC137">
        <v>0</v>
      </c>
      <c r="AD137">
        <v>0</v>
      </c>
    </row>
    <row r="138" spans="1:30" x14ac:dyDescent="0.25">
      <c r="A138">
        <v>41726</v>
      </c>
      <c r="B138">
        <v>6678</v>
      </c>
      <c r="C138">
        <v>1989</v>
      </c>
      <c r="D138" t="s">
        <v>17</v>
      </c>
      <c r="E138" t="s">
        <v>6</v>
      </c>
      <c r="F138" t="s">
        <v>12</v>
      </c>
      <c r="G138">
        <v>31928</v>
      </c>
      <c r="H138">
        <v>1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f>SUM(Table1[[#This Row],[Gold Spending]]+Table1[[#This Row],[Sweet Spending]]+Table1[[#This Row],[Fish Spending]]+Table1[[#This Row],[Meat Spending]]+Table1[[#This Row],[Fruits Spending]]+Table1[[#This Row],[Wine Spending ]])</f>
        <v>72</v>
      </c>
      <c r="Q138">
        <v>2</v>
      </c>
      <c r="R138">
        <v>3</v>
      </c>
      <c r="S138">
        <v>0</v>
      </c>
      <c r="T138">
        <v>4</v>
      </c>
      <c r="U138">
        <f>SUM(Table1[[#This Row],[Store_Purchases]]+Table1[[#This Row],[Catalog_Purchases]]+Table1[[#This Row],[Web_Purchases]]+Table1[[#This Row],[Deal_Purchases]])</f>
        <v>9</v>
      </c>
      <c r="V138">
        <v>7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f>SUM(Table1[[#This Row],[Accepted_Campaign_2]]+Table1[[#This Row],[Accepted_Campaign_1]]+Table1[[#This Row],[Accepted_Campaign_5]]+Table1[[#This Row],[Accepted_Campaign_4]]+Table1[[#This Row],[Accepted_Campaign_3]])</f>
        <v>0</v>
      </c>
      <c r="AC138">
        <v>0</v>
      </c>
      <c r="AD138">
        <v>0</v>
      </c>
    </row>
    <row r="139" spans="1:30" x14ac:dyDescent="0.25">
      <c r="A139">
        <v>41694</v>
      </c>
      <c r="B139">
        <v>830</v>
      </c>
      <c r="C139">
        <v>1987</v>
      </c>
      <c r="D139" t="s">
        <v>17</v>
      </c>
      <c r="E139" t="s">
        <v>14</v>
      </c>
      <c r="F139" t="s">
        <v>9</v>
      </c>
      <c r="G139">
        <v>74004</v>
      </c>
      <c r="H139">
        <v>0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f>SUM(Table1[[#This Row],[Gold Spending]]+Table1[[#This Row],[Sweet Spending]]+Table1[[#This Row],[Fish Spending]]+Table1[[#This Row],[Meat Spending]]+Table1[[#This Row],[Fruits Spending]]+Table1[[#This Row],[Wine Spending ]])</f>
        <v>1658</v>
      </c>
      <c r="Q139">
        <v>1</v>
      </c>
      <c r="R139">
        <v>4</v>
      </c>
      <c r="S139">
        <v>6</v>
      </c>
      <c r="T139">
        <v>4</v>
      </c>
      <c r="U139">
        <f>SUM(Table1[[#This Row],[Store_Purchases]]+Table1[[#This Row],[Catalog_Purchases]]+Table1[[#This Row],[Web_Purchases]]+Table1[[#This Row],[Deal_Purchases]])</f>
        <v>15</v>
      </c>
      <c r="V139">
        <v>3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f>SUM(Table1[[#This Row],[Accepted_Campaign_2]]+Table1[[#This Row],[Accepted_Campaign_1]]+Table1[[#This Row],[Accepted_Campaign_5]]+Table1[[#This Row],[Accepted_Campaign_4]]+Table1[[#This Row],[Accepted_Campaign_3]])</f>
        <v>2</v>
      </c>
      <c r="AC139">
        <v>1</v>
      </c>
      <c r="AD139">
        <v>0</v>
      </c>
    </row>
    <row r="140" spans="1:30" x14ac:dyDescent="0.25">
      <c r="A140">
        <v>41519</v>
      </c>
      <c r="B140">
        <v>6365</v>
      </c>
      <c r="C140">
        <v>1987</v>
      </c>
      <c r="D140" t="s">
        <v>17</v>
      </c>
      <c r="E140" t="s">
        <v>15</v>
      </c>
      <c r="F140" t="s">
        <v>11</v>
      </c>
      <c r="G140">
        <v>30390</v>
      </c>
      <c r="H140">
        <v>0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f>SUM(Table1[[#This Row],[Gold Spending]]+Table1[[#This Row],[Sweet Spending]]+Table1[[#This Row],[Fish Spending]]+Table1[[#This Row],[Meat Spending]]+Table1[[#This Row],[Fruits Spending]]+Table1[[#This Row],[Wine Spending ]])</f>
        <v>80</v>
      </c>
      <c r="Q140">
        <v>1</v>
      </c>
      <c r="R140">
        <v>2</v>
      </c>
      <c r="S140">
        <v>0</v>
      </c>
      <c r="T140">
        <v>3</v>
      </c>
      <c r="U140">
        <f>SUM(Table1[[#This Row],[Store_Purchases]]+Table1[[#This Row],[Catalog_Purchases]]+Table1[[#This Row],[Web_Purchases]]+Table1[[#This Row],[Deal_Purchases]])</f>
        <v>6</v>
      </c>
      <c r="V140">
        <v>6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f>SUM(Table1[[#This Row],[Accepted_Campaign_2]]+Table1[[#This Row],[Accepted_Campaign_1]]+Table1[[#This Row],[Accepted_Campaign_5]]+Table1[[#This Row],[Accepted_Campaign_4]]+Table1[[#This Row],[Accepted_Campaign_3]])</f>
        <v>0</v>
      </c>
      <c r="AC140">
        <v>0</v>
      </c>
      <c r="AD140">
        <v>0</v>
      </c>
    </row>
    <row r="141" spans="1:30" x14ac:dyDescent="0.25">
      <c r="A141">
        <v>41506</v>
      </c>
      <c r="B141">
        <v>6770</v>
      </c>
      <c r="C141">
        <v>1985</v>
      </c>
      <c r="D141" t="s">
        <v>63</v>
      </c>
      <c r="E141" t="s">
        <v>6</v>
      </c>
      <c r="F141" t="s">
        <v>11</v>
      </c>
      <c r="G141">
        <v>21355</v>
      </c>
      <c r="H141">
        <v>1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f>SUM(Table1[[#This Row],[Gold Spending]]+Table1[[#This Row],[Sweet Spending]]+Table1[[#This Row],[Fish Spending]]+Table1[[#This Row],[Meat Spending]]+Table1[[#This Row],[Fruits Spending]]+Table1[[#This Row],[Wine Spending ]])</f>
        <v>68</v>
      </c>
      <c r="Q141">
        <v>2</v>
      </c>
      <c r="R141">
        <v>2</v>
      </c>
      <c r="S141">
        <v>1</v>
      </c>
      <c r="T141">
        <v>2</v>
      </c>
      <c r="U141">
        <f>SUM(Table1[[#This Row],[Store_Purchases]]+Table1[[#This Row],[Catalog_Purchases]]+Table1[[#This Row],[Web_Purchases]]+Table1[[#This Row],[Deal_Purchases]])</f>
        <v>7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f>SUM(Table1[[#This Row],[Accepted_Campaign_2]]+Table1[[#This Row],[Accepted_Campaign_1]]+Table1[[#This Row],[Accepted_Campaign_5]]+Table1[[#This Row],[Accepted_Campaign_4]]+Table1[[#This Row],[Accepted_Campaign_3]])</f>
        <v>1</v>
      </c>
      <c r="AC141">
        <v>1</v>
      </c>
      <c r="AD141">
        <v>0</v>
      </c>
    </row>
    <row r="142" spans="1:30" x14ac:dyDescent="0.25">
      <c r="A142">
        <v>41448</v>
      </c>
      <c r="B142">
        <v>2261</v>
      </c>
      <c r="C142">
        <v>1969</v>
      </c>
      <c r="D142" t="s">
        <v>16</v>
      </c>
      <c r="E142" t="s">
        <v>6</v>
      </c>
      <c r="F142" t="s">
        <v>11</v>
      </c>
      <c r="G142">
        <v>26304</v>
      </c>
      <c r="H142">
        <v>1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f>SUM(Table1[[#This Row],[Gold Spending]]+Table1[[#This Row],[Sweet Spending]]+Table1[[#This Row],[Fish Spending]]+Table1[[#This Row],[Meat Spending]]+Table1[[#This Row],[Fruits Spending]]+Table1[[#This Row],[Wine Spending ]])</f>
        <v>16</v>
      </c>
      <c r="Q142">
        <v>1</v>
      </c>
      <c r="R142">
        <v>1</v>
      </c>
      <c r="S142">
        <v>0</v>
      </c>
      <c r="T142">
        <v>2</v>
      </c>
      <c r="U142">
        <f>SUM(Table1[[#This Row],[Store_Purchases]]+Table1[[#This Row],[Catalog_Purchases]]+Table1[[#This Row],[Web_Purchases]]+Table1[[#This Row],[Deal_Purchases]])</f>
        <v>4</v>
      </c>
      <c r="V142">
        <v>7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f>SUM(Table1[[#This Row],[Accepted_Campaign_2]]+Table1[[#This Row],[Accepted_Campaign_1]]+Table1[[#This Row],[Accepted_Campaign_5]]+Table1[[#This Row],[Accepted_Campaign_4]]+Table1[[#This Row],[Accepted_Campaign_3]])</f>
        <v>0</v>
      </c>
      <c r="AC142">
        <v>0</v>
      </c>
      <c r="AD142">
        <v>0</v>
      </c>
    </row>
    <row r="143" spans="1:30" x14ac:dyDescent="0.25">
      <c r="A143">
        <v>41399</v>
      </c>
      <c r="B143">
        <v>1031</v>
      </c>
      <c r="C143">
        <v>1989</v>
      </c>
      <c r="D143" t="s">
        <v>17</v>
      </c>
      <c r="E143" t="s">
        <v>15</v>
      </c>
      <c r="F143" t="s">
        <v>11</v>
      </c>
      <c r="G143">
        <v>85710</v>
      </c>
      <c r="H143">
        <v>0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f>SUM(Table1[[#This Row],[Gold Spending]]+Table1[[#This Row],[Sweet Spending]]+Table1[[#This Row],[Fish Spending]]+Table1[[#This Row],[Meat Spending]]+Table1[[#This Row],[Fruits Spending]]+Table1[[#This Row],[Wine Spending ]])</f>
        <v>1062</v>
      </c>
      <c r="Q143">
        <v>1</v>
      </c>
      <c r="R143">
        <v>6</v>
      </c>
      <c r="S143">
        <v>9</v>
      </c>
      <c r="T143">
        <v>10</v>
      </c>
      <c r="U143">
        <f>SUM(Table1[[#This Row],[Store_Purchases]]+Table1[[#This Row],[Catalog_Purchases]]+Table1[[#This Row],[Web_Purchases]]+Table1[[#This Row],[Deal_Purchases]])</f>
        <v>26</v>
      </c>
      <c r="V143">
        <v>2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f>SUM(Table1[[#This Row],[Accepted_Campaign_2]]+Table1[[#This Row],[Accepted_Campaign_1]]+Table1[[#This Row],[Accepted_Campaign_5]]+Table1[[#This Row],[Accepted_Campaign_4]]+Table1[[#This Row],[Accepted_Campaign_3]])</f>
        <v>1</v>
      </c>
      <c r="AC143">
        <v>0</v>
      </c>
      <c r="AD143">
        <v>0</v>
      </c>
    </row>
    <row r="144" spans="1:30" x14ac:dyDescent="0.25">
      <c r="A144">
        <v>41369</v>
      </c>
      <c r="B144">
        <v>10089</v>
      </c>
      <c r="C144">
        <v>1974</v>
      </c>
      <c r="D144" t="s">
        <v>20</v>
      </c>
      <c r="E144" t="s">
        <v>6</v>
      </c>
      <c r="F144" t="s">
        <v>7</v>
      </c>
      <c r="G144">
        <v>102692</v>
      </c>
      <c r="H144">
        <v>0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f>SUM(Table1[[#This Row],[Gold Spending]]+Table1[[#This Row],[Sweet Spending]]+Table1[[#This Row],[Fish Spending]]+Table1[[#This Row],[Meat Spending]]+Table1[[#This Row],[Fruits Spending]]+Table1[[#This Row],[Wine Spending ]])</f>
        <v>1112</v>
      </c>
      <c r="Q144">
        <v>1</v>
      </c>
      <c r="R144">
        <v>6</v>
      </c>
      <c r="S144">
        <v>9</v>
      </c>
      <c r="T144">
        <v>13</v>
      </c>
      <c r="U144">
        <f>SUM(Table1[[#This Row],[Store_Purchases]]+Table1[[#This Row],[Catalog_Purchases]]+Table1[[#This Row],[Web_Purchases]]+Table1[[#This Row],[Deal_Purchases]])</f>
        <v>29</v>
      </c>
      <c r="V144">
        <v>2</v>
      </c>
      <c r="W144">
        <v>0</v>
      </c>
      <c r="X144">
        <v>1</v>
      </c>
      <c r="Y144">
        <v>1</v>
      </c>
      <c r="Z144">
        <v>1</v>
      </c>
      <c r="AA144">
        <v>1</v>
      </c>
      <c r="AB144">
        <f>SUM(Table1[[#This Row],[Accepted_Campaign_2]]+Table1[[#This Row],[Accepted_Campaign_1]]+Table1[[#This Row],[Accepted_Campaign_5]]+Table1[[#This Row],[Accepted_Campaign_4]]+Table1[[#This Row],[Accepted_Campaign_3]])</f>
        <v>4</v>
      </c>
      <c r="AC144">
        <v>1</v>
      </c>
      <c r="AD144">
        <v>0</v>
      </c>
    </row>
    <row r="145" spans="1:30" x14ac:dyDescent="0.25">
      <c r="A145">
        <v>41278</v>
      </c>
      <c r="B145">
        <v>9256</v>
      </c>
      <c r="C145">
        <v>1971</v>
      </c>
      <c r="D145" t="s">
        <v>8</v>
      </c>
      <c r="E145" t="s">
        <v>6</v>
      </c>
      <c r="F145" t="s">
        <v>9</v>
      </c>
      <c r="G145">
        <v>58350</v>
      </c>
      <c r="H145">
        <v>1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f>SUM(Table1[[#This Row],[Gold Spending]]+Table1[[#This Row],[Sweet Spending]]+Table1[[#This Row],[Fish Spending]]+Table1[[#This Row],[Meat Spending]]+Table1[[#This Row],[Fruits Spending]]+Table1[[#This Row],[Wine Spending ]])</f>
        <v>1001</v>
      </c>
      <c r="Q145">
        <v>4</v>
      </c>
      <c r="R145">
        <v>8</v>
      </c>
      <c r="S145">
        <v>3</v>
      </c>
      <c r="T145">
        <v>12</v>
      </c>
      <c r="U145">
        <f>SUM(Table1[[#This Row],[Store_Purchases]]+Table1[[#This Row],[Catalog_Purchases]]+Table1[[#This Row],[Web_Purchases]]+Table1[[#This Row],[Deal_Purchases]])</f>
        <v>27</v>
      </c>
      <c r="V145">
        <v>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f>SUM(Table1[[#This Row],[Accepted_Campaign_2]]+Table1[[#This Row],[Accepted_Campaign_1]]+Table1[[#This Row],[Accepted_Campaign_5]]+Table1[[#This Row],[Accepted_Campaign_4]]+Table1[[#This Row],[Accepted_Campaign_3]])</f>
        <v>0</v>
      </c>
      <c r="AC145">
        <v>0</v>
      </c>
      <c r="AD145">
        <v>0</v>
      </c>
    </row>
    <row r="146" spans="1:30" x14ac:dyDescent="0.25">
      <c r="A146">
        <v>41270</v>
      </c>
      <c r="B146">
        <v>10641</v>
      </c>
      <c r="C146">
        <v>1978</v>
      </c>
      <c r="D146" t="s">
        <v>8</v>
      </c>
      <c r="E146" t="s">
        <v>6</v>
      </c>
      <c r="F146" t="s">
        <v>9</v>
      </c>
      <c r="G146">
        <v>7500</v>
      </c>
      <c r="H146">
        <v>2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146">
        <v>4</v>
      </c>
      <c r="R146">
        <v>2</v>
      </c>
      <c r="S146">
        <v>1</v>
      </c>
      <c r="T146">
        <v>3</v>
      </c>
      <c r="U146">
        <f>SUM(Table1[[#This Row],[Store_Purchases]]+Table1[[#This Row],[Catalog_Purchases]]+Table1[[#This Row],[Web_Purchases]]+Table1[[#This Row],[Deal_Purchases]])</f>
        <v>10</v>
      </c>
      <c r="V146">
        <v>6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f>SUM(Table1[[#This Row],[Accepted_Campaign_2]]+Table1[[#This Row],[Accepted_Campaign_1]]+Table1[[#This Row],[Accepted_Campaign_5]]+Table1[[#This Row],[Accepted_Campaign_4]]+Table1[[#This Row],[Accepted_Campaign_3]])</f>
        <v>0</v>
      </c>
      <c r="AC146">
        <v>0</v>
      </c>
      <c r="AD146">
        <v>0</v>
      </c>
    </row>
    <row r="147" spans="1:30" x14ac:dyDescent="0.25">
      <c r="A147">
        <v>41223</v>
      </c>
      <c r="B147">
        <v>624</v>
      </c>
      <c r="C147">
        <v>1984</v>
      </c>
      <c r="D147" t="s">
        <v>20</v>
      </c>
      <c r="E147" t="s">
        <v>18</v>
      </c>
      <c r="F147" t="s">
        <v>9</v>
      </c>
      <c r="G147">
        <v>18890</v>
      </c>
      <c r="H147">
        <v>0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f>SUM(Table1[[#This Row],[Gold Spending]]+Table1[[#This Row],[Sweet Spending]]+Table1[[#This Row],[Fish Spending]]+Table1[[#This Row],[Meat Spending]]+Table1[[#This Row],[Fruits Spending]]+Table1[[#This Row],[Wine Spending ]])</f>
        <v>35</v>
      </c>
      <c r="Q147">
        <v>1</v>
      </c>
      <c r="R147">
        <v>0</v>
      </c>
      <c r="S147">
        <v>1</v>
      </c>
      <c r="T147">
        <v>2</v>
      </c>
      <c r="U147">
        <f>SUM(Table1[[#This Row],[Store_Purchases]]+Table1[[#This Row],[Catalog_Purchases]]+Table1[[#This Row],[Web_Purchases]]+Table1[[#This Row],[Deal_Purchases]])</f>
        <v>4</v>
      </c>
      <c r="V147">
        <v>6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f>SUM(Table1[[#This Row],[Accepted_Campaign_2]]+Table1[[#This Row],[Accepted_Campaign_1]]+Table1[[#This Row],[Accepted_Campaign_5]]+Table1[[#This Row],[Accepted_Campaign_4]]+Table1[[#This Row],[Accepted_Campaign_3]])</f>
        <v>1</v>
      </c>
      <c r="AC147">
        <v>1</v>
      </c>
      <c r="AD147">
        <v>0</v>
      </c>
    </row>
    <row r="148" spans="1:30" x14ac:dyDescent="0.25">
      <c r="A148">
        <v>41211</v>
      </c>
      <c r="B148">
        <v>4211</v>
      </c>
      <c r="C148">
        <v>1986</v>
      </c>
      <c r="D148" t="s">
        <v>10</v>
      </c>
      <c r="E148" t="s">
        <v>21</v>
      </c>
      <c r="F148" t="s">
        <v>11</v>
      </c>
      <c r="G148">
        <v>20425</v>
      </c>
      <c r="H148">
        <v>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148">
        <v>2</v>
      </c>
      <c r="R148">
        <v>2</v>
      </c>
      <c r="S148">
        <v>0</v>
      </c>
      <c r="T148">
        <v>3</v>
      </c>
      <c r="U148">
        <f>SUM(Table1[[#This Row],[Store_Purchases]]+Table1[[#This Row],[Catalog_Purchases]]+Table1[[#This Row],[Web_Purchases]]+Table1[[#This Row],[Deal_Purchases]])</f>
        <v>7</v>
      </c>
      <c r="V148">
        <v>7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f>SUM(Table1[[#This Row],[Accepted_Campaign_2]]+Table1[[#This Row],[Accepted_Campaign_1]]+Table1[[#This Row],[Accepted_Campaign_5]]+Table1[[#This Row],[Accepted_Campaign_4]]+Table1[[#This Row],[Accepted_Campaign_3]])</f>
        <v>0</v>
      </c>
      <c r="AC148">
        <v>0</v>
      </c>
      <c r="AD148">
        <v>0</v>
      </c>
    </row>
    <row r="149" spans="1:30" x14ac:dyDescent="0.25">
      <c r="A149">
        <v>41211</v>
      </c>
      <c r="B149">
        <v>1407</v>
      </c>
      <c r="C149">
        <v>1986</v>
      </c>
      <c r="D149" t="s">
        <v>16</v>
      </c>
      <c r="E149" t="s">
        <v>21</v>
      </c>
      <c r="F149" t="s">
        <v>11</v>
      </c>
      <c r="G149">
        <v>20425</v>
      </c>
      <c r="H149">
        <v>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149">
        <v>2</v>
      </c>
      <c r="R149">
        <v>2</v>
      </c>
      <c r="S149">
        <v>0</v>
      </c>
      <c r="T149">
        <v>3</v>
      </c>
      <c r="U149">
        <f>SUM(Table1[[#This Row],[Store_Purchases]]+Table1[[#This Row],[Catalog_Purchases]]+Table1[[#This Row],[Web_Purchases]]+Table1[[#This Row],[Deal_Purchases]])</f>
        <v>7</v>
      </c>
      <c r="V149">
        <v>7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f>SUM(Table1[[#This Row],[Accepted_Campaign_2]]+Table1[[#This Row],[Accepted_Campaign_1]]+Table1[[#This Row],[Accepted_Campaign_5]]+Table1[[#This Row],[Accepted_Campaign_4]]+Table1[[#This Row],[Accepted_Campaign_3]])</f>
        <v>0</v>
      </c>
      <c r="AC149">
        <v>0</v>
      </c>
      <c r="AD149">
        <v>0</v>
      </c>
    </row>
    <row r="150" spans="1:30" x14ac:dyDescent="0.25">
      <c r="A150">
        <v>41174</v>
      </c>
      <c r="B150">
        <v>10356</v>
      </c>
      <c r="C150">
        <v>1957</v>
      </c>
      <c r="D150" t="s">
        <v>8</v>
      </c>
      <c r="E150" t="s">
        <v>14</v>
      </c>
      <c r="F150" t="s">
        <v>7</v>
      </c>
      <c r="G150">
        <v>41437</v>
      </c>
      <c r="H150">
        <v>2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f>SUM(Table1[[#This Row],[Gold Spending]]+Table1[[#This Row],[Sweet Spending]]+Table1[[#This Row],[Fish Spending]]+Table1[[#This Row],[Meat Spending]]+Table1[[#This Row],[Fruits Spending]]+Table1[[#This Row],[Wine Spending ]])</f>
        <v>32</v>
      </c>
      <c r="Q150">
        <v>1</v>
      </c>
      <c r="R150">
        <v>1</v>
      </c>
      <c r="S150">
        <v>0</v>
      </c>
      <c r="T150">
        <v>3</v>
      </c>
      <c r="U150">
        <f>SUM(Table1[[#This Row],[Store_Purchases]]+Table1[[#This Row],[Catalog_Purchases]]+Table1[[#This Row],[Web_Purchases]]+Table1[[#This Row],[Deal_Purchases]])</f>
        <v>5</v>
      </c>
      <c r="V150">
        <v>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f>SUM(Table1[[#This Row],[Accepted_Campaign_2]]+Table1[[#This Row],[Accepted_Campaign_1]]+Table1[[#This Row],[Accepted_Campaign_5]]+Table1[[#This Row],[Accepted_Campaign_4]]+Table1[[#This Row],[Accepted_Campaign_3]])</f>
        <v>0</v>
      </c>
      <c r="AC150">
        <v>0</v>
      </c>
      <c r="AD150">
        <v>0</v>
      </c>
    </row>
    <row r="151" spans="1:30" x14ac:dyDescent="0.25">
      <c r="A151">
        <v>41159</v>
      </c>
      <c r="B151">
        <v>9323</v>
      </c>
      <c r="C151">
        <v>1949</v>
      </c>
      <c r="D151" t="s">
        <v>22</v>
      </c>
      <c r="E151" t="s">
        <v>18</v>
      </c>
      <c r="F151" t="s">
        <v>12</v>
      </c>
      <c r="G151">
        <v>49912</v>
      </c>
      <c r="H151">
        <v>1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f>SUM(Table1[[#This Row],[Gold Spending]]+Table1[[#This Row],[Sweet Spending]]+Table1[[#This Row],[Fish Spending]]+Table1[[#This Row],[Meat Spending]]+Table1[[#This Row],[Fruits Spending]]+Table1[[#This Row],[Wine Spending ]])</f>
        <v>874</v>
      </c>
      <c r="Q151">
        <v>4</v>
      </c>
      <c r="R151">
        <v>10</v>
      </c>
      <c r="S151">
        <v>5</v>
      </c>
      <c r="T151">
        <v>7</v>
      </c>
      <c r="U151">
        <f>SUM(Table1[[#This Row],[Store_Purchases]]+Table1[[#This Row],[Catalog_Purchases]]+Table1[[#This Row],[Web_Purchases]]+Table1[[#This Row],[Deal_Purchases]])</f>
        <v>26</v>
      </c>
      <c r="V151">
        <v>8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f>SUM(Table1[[#This Row],[Accepted_Campaign_2]]+Table1[[#This Row],[Accepted_Campaign_1]]+Table1[[#This Row],[Accepted_Campaign_5]]+Table1[[#This Row],[Accepted_Campaign_4]]+Table1[[#This Row],[Accepted_Campaign_3]])</f>
        <v>1</v>
      </c>
      <c r="AC151">
        <v>1</v>
      </c>
      <c r="AD151">
        <v>0</v>
      </c>
    </row>
    <row r="152" spans="1:30" x14ac:dyDescent="0.25">
      <c r="A152">
        <v>41159</v>
      </c>
      <c r="B152">
        <v>1146</v>
      </c>
      <c r="C152">
        <v>1949</v>
      </c>
      <c r="D152" t="s">
        <v>13</v>
      </c>
      <c r="E152" t="s">
        <v>18</v>
      </c>
      <c r="F152" t="s">
        <v>12</v>
      </c>
      <c r="G152">
        <v>49912</v>
      </c>
      <c r="H152">
        <v>1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f>SUM(Table1[[#This Row],[Gold Spending]]+Table1[[#This Row],[Sweet Spending]]+Table1[[#This Row],[Fish Spending]]+Table1[[#This Row],[Meat Spending]]+Table1[[#This Row],[Fruits Spending]]+Table1[[#This Row],[Wine Spending ]])</f>
        <v>874</v>
      </c>
      <c r="Q152">
        <v>4</v>
      </c>
      <c r="R152">
        <v>10</v>
      </c>
      <c r="S152">
        <v>5</v>
      </c>
      <c r="T152">
        <v>7</v>
      </c>
      <c r="U152">
        <f>SUM(Table1[[#This Row],[Store_Purchases]]+Table1[[#This Row],[Catalog_Purchases]]+Table1[[#This Row],[Web_Purchases]]+Table1[[#This Row],[Deal_Purchases]])</f>
        <v>26</v>
      </c>
      <c r="V152">
        <v>8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f>SUM(Table1[[#This Row],[Accepted_Campaign_2]]+Table1[[#This Row],[Accepted_Campaign_1]]+Table1[[#This Row],[Accepted_Campaign_5]]+Table1[[#This Row],[Accepted_Campaign_4]]+Table1[[#This Row],[Accepted_Campaign_3]])</f>
        <v>1</v>
      </c>
      <c r="AC152">
        <v>1</v>
      </c>
      <c r="AD152">
        <v>0</v>
      </c>
    </row>
    <row r="153" spans="1:30" x14ac:dyDescent="0.25">
      <c r="A153">
        <v>41729</v>
      </c>
      <c r="B153">
        <v>6343</v>
      </c>
      <c r="C153">
        <v>1959</v>
      </c>
      <c r="D153" t="s">
        <v>13</v>
      </c>
      <c r="E153" t="s">
        <v>6</v>
      </c>
      <c r="F153" t="s">
        <v>11</v>
      </c>
      <c r="G153">
        <v>79823</v>
      </c>
      <c r="H153">
        <v>1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f>SUM(Table1[[#This Row],[Gold Spending]]+Table1[[#This Row],[Sweet Spending]]+Table1[[#This Row],[Fish Spending]]+Table1[[#This Row],[Meat Spending]]+Table1[[#This Row],[Fruits Spending]]+Table1[[#This Row],[Wine Spending ]])</f>
        <v>1518</v>
      </c>
      <c r="Q153">
        <v>1</v>
      </c>
      <c r="R153">
        <v>6</v>
      </c>
      <c r="S153">
        <v>9</v>
      </c>
      <c r="T153">
        <v>7</v>
      </c>
      <c r="U153">
        <f>SUM(Table1[[#This Row],[Store_Purchases]]+Table1[[#This Row],[Catalog_Purchases]]+Table1[[#This Row],[Web_Purchases]]+Table1[[#This Row],[Deal_Purchases]])</f>
        <v>23</v>
      </c>
      <c r="V153">
        <v>2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f>SUM(Table1[[#This Row],[Accepted_Campaign_2]]+Table1[[#This Row],[Accepted_Campaign_1]]+Table1[[#This Row],[Accepted_Campaign_5]]+Table1[[#This Row],[Accepted_Campaign_4]]+Table1[[#This Row],[Accepted_Campaign_3]])</f>
        <v>1</v>
      </c>
      <c r="AC153">
        <v>0</v>
      </c>
      <c r="AD153">
        <v>0</v>
      </c>
    </row>
    <row r="154" spans="1:30" x14ac:dyDescent="0.25">
      <c r="A154">
        <v>41719</v>
      </c>
      <c r="B154">
        <v>8545</v>
      </c>
      <c r="C154">
        <v>1954</v>
      </c>
      <c r="D154" t="s">
        <v>8</v>
      </c>
      <c r="E154" t="s">
        <v>6</v>
      </c>
      <c r="F154" t="s">
        <v>7</v>
      </c>
      <c r="G154">
        <v>85683</v>
      </c>
      <c r="H154">
        <v>0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f>SUM(Table1[[#This Row],[Gold Spending]]+Table1[[#This Row],[Sweet Spending]]+Table1[[#This Row],[Fish Spending]]+Table1[[#This Row],[Meat Spending]]+Table1[[#This Row],[Fruits Spending]]+Table1[[#This Row],[Wine Spending ]])</f>
        <v>1789</v>
      </c>
      <c r="Q154">
        <v>1</v>
      </c>
      <c r="R154">
        <v>2</v>
      </c>
      <c r="S154">
        <v>4</v>
      </c>
      <c r="T154">
        <v>10</v>
      </c>
      <c r="U154">
        <f>SUM(Table1[[#This Row],[Store_Purchases]]+Table1[[#This Row],[Catalog_Purchases]]+Table1[[#This Row],[Web_Purchases]]+Table1[[#This Row],[Deal_Purchases]])</f>
        <v>17</v>
      </c>
      <c r="V154">
        <v>1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f>SUM(Table1[[#This Row],[Accepted_Campaign_2]]+Table1[[#This Row],[Accepted_Campaign_1]]+Table1[[#This Row],[Accepted_Campaign_5]]+Table1[[#This Row],[Accepted_Campaign_4]]+Table1[[#This Row],[Accepted_Campaign_3]])</f>
        <v>4</v>
      </c>
      <c r="AC154">
        <v>1</v>
      </c>
      <c r="AD154">
        <v>0</v>
      </c>
    </row>
    <row r="155" spans="1:30" x14ac:dyDescent="0.25">
      <c r="A155">
        <v>41679</v>
      </c>
      <c r="B155">
        <v>8275</v>
      </c>
      <c r="C155">
        <v>1965</v>
      </c>
      <c r="D155" t="s">
        <v>8</v>
      </c>
      <c r="E155" t="s">
        <v>14</v>
      </c>
      <c r="F155" t="s">
        <v>7</v>
      </c>
      <c r="G155">
        <v>47025</v>
      </c>
      <c r="H155">
        <v>2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f>SUM(Table1[[#This Row],[Gold Spending]]+Table1[[#This Row],[Sweet Spending]]+Table1[[#This Row],[Fish Spending]]+Table1[[#This Row],[Meat Spending]]+Table1[[#This Row],[Fruits Spending]]+Table1[[#This Row],[Wine Spending ]])</f>
        <v>20</v>
      </c>
      <c r="Q155">
        <v>1</v>
      </c>
      <c r="R155">
        <v>1</v>
      </c>
      <c r="S155">
        <v>0</v>
      </c>
      <c r="T155">
        <v>2</v>
      </c>
      <c r="U155">
        <f>SUM(Table1[[#This Row],[Store_Purchases]]+Table1[[#This Row],[Catalog_Purchases]]+Table1[[#This Row],[Web_Purchases]]+Table1[[#This Row],[Deal_Purchases]])</f>
        <v>4</v>
      </c>
      <c r="V155">
        <v>7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f>SUM(Table1[[#This Row],[Accepted_Campaign_2]]+Table1[[#This Row],[Accepted_Campaign_1]]+Table1[[#This Row],[Accepted_Campaign_5]]+Table1[[#This Row],[Accepted_Campaign_4]]+Table1[[#This Row],[Accepted_Campaign_3]])</f>
        <v>0</v>
      </c>
      <c r="AC155">
        <v>0</v>
      </c>
      <c r="AD155">
        <v>0</v>
      </c>
    </row>
    <row r="156" spans="1:30" x14ac:dyDescent="0.25">
      <c r="A156">
        <v>41595</v>
      </c>
      <c r="B156">
        <v>10673</v>
      </c>
      <c r="C156">
        <v>1976</v>
      </c>
      <c r="D156" t="s">
        <v>20</v>
      </c>
      <c r="E156" t="s">
        <v>14</v>
      </c>
      <c r="F156" t="s">
        <v>11</v>
      </c>
      <c r="G156">
        <v>68397</v>
      </c>
      <c r="H156">
        <v>1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f>SUM(Table1[[#This Row],[Gold Spending]]+Table1[[#This Row],[Sweet Spending]]+Table1[[#This Row],[Fish Spending]]+Table1[[#This Row],[Meat Spending]]+Table1[[#This Row],[Fruits Spending]]+Table1[[#This Row],[Wine Spending ]])</f>
        <v>1416</v>
      </c>
      <c r="Q156">
        <v>1</v>
      </c>
      <c r="R156">
        <v>6</v>
      </c>
      <c r="S156">
        <v>9</v>
      </c>
      <c r="T156">
        <v>5</v>
      </c>
      <c r="U156">
        <f>SUM(Table1[[#This Row],[Store_Purchases]]+Table1[[#This Row],[Catalog_Purchases]]+Table1[[#This Row],[Web_Purchases]]+Table1[[#This Row],[Deal_Purchases]])</f>
        <v>21</v>
      </c>
      <c r="V156">
        <v>3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f>SUM(Table1[[#This Row],[Accepted_Campaign_2]]+Table1[[#This Row],[Accepted_Campaign_1]]+Table1[[#This Row],[Accepted_Campaign_5]]+Table1[[#This Row],[Accepted_Campaign_4]]+Table1[[#This Row],[Accepted_Campaign_3]])</f>
        <v>0</v>
      </c>
      <c r="AC156">
        <v>0</v>
      </c>
      <c r="AD156">
        <v>0</v>
      </c>
    </row>
    <row r="157" spans="1:30" x14ac:dyDescent="0.25">
      <c r="A157">
        <v>41540</v>
      </c>
      <c r="B157">
        <v>8799</v>
      </c>
      <c r="C157">
        <v>1984</v>
      </c>
      <c r="D157" t="s">
        <v>8</v>
      </c>
      <c r="E157" t="s">
        <v>14</v>
      </c>
      <c r="F157" t="s">
        <v>11</v>
      </c>
      <c r="G157">
        <v>38175</v>
      </c>
      <c r="H157">
        <v>1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f>SUM(Table1[[#This Row],[Gold Spending]]+Table1[[#This Row],[Sweet Spending]]+Table1[[#This Row],[Fish Spending]]+Table1[[#This Row],[Meat Spending]]+Table1[[#This Row],[Fruits Spending]]+Table1[[#This Row],[Wine Spending ]])</f>
        <v>153</v>
      </c>
      <c r="Q157">
        <v>3</v>
      </c>
      <c r="R157">
        <v>3</v>
      </c>
      <c r="S157">
        <v>1</v>
      </c>
      <c r="T157">
        <v>4</v>
      </c>
      <c r="U157">
        <f>SUM(Table1[[#This Row],[Store_Purchases]]+Table1[[#This Row],[Catalog_Purchases]]+Table1[[#This Row],[Web_Purchases]]+Table1[[#This Row],[Deal_Purchases]])</f>
        <v>11</v>
      </c>
      <c r="V157">
        <v>7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f>SUM(Table1[[#This Row],[Accepted_Campaign_2]]+Table1[[#This Row],[Accepted_Campaign_1]]+Table1[[#This Row],[Accepted_Campaign_5]]+Table1[[#This Row],[Accepted_Campaign_4]]+Table1[[#This Row],[Accepted_Campaign_3]])</f>
        <v>0</v>
      </c>
      <c r="AC157">
        <v>0</v>
      </c>
      <c r="AD157">
        <v>0</v>
      </c>
    </row>
    <row r="158" spans="1:30" x14ac:dyDescent="0.25">
      <c r="A158">
        <v>41535</v>
      </c>
      <c r="B158">
        <v>67</v>
      </c>
      <c r="C158">
        <v>1972</v>
      </c>
      <c r="D158" t="s">
        <v>8</v>
      </c>
      <c r="E158" t="s">
        <v>18</v>
      </c>
      <c r="F158" t="s">
        <v>9</v>
      </c>
      <c r="G158">
        <v>46423</v>
      </c>
      <c r="H158">
        <v>2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f>SUM(Table1[[#This Row],[Gold Spending]]+Table1[[#This Row],[Sweet Spending]]+Table1[[#This Row],[Fish Spending]]+Table1[[#This Row],[Meat Spending]]+Table1[[#This Row],[Fruits Spending]]+Table1[[#This Row],[Wine Spending ]])</f>
        <v>92</v>
      </c>
      <c r="Q158">
        <v>3</v>
      </c>
      <c r="R158">
        <v>2</v>
      </c>
      <c r="S158">
        <v>0</v>
      </c>
      <c r="T158">
        <v>4</v>
      </c>
      <c r="U158">
        <f>SUM(Table1[[#This Row],[Store_Purchases]]+Table1[[#This Row],[Catalog_Purchases]]+Table1[[#This Row],[Web_Purchases]]+Table1[[#This Row],[Deal_Purchases]])</f>
        <v>9</v>
      </c>
      <c r="V158">
        <v>7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f>SUM(Table1[[#This Row],[Accepted_Campaign_2]]+Table1[[#This Row],[Accepted_Campaign_1]]+Table1[[#This Row],[Accepted_Campaign_5]]+Table1[[#This Row],[Accepted_Campaign_4]]+Table1[[#This Row],[Accepted_Campaign_3]])</f>
        <v>0</v>
      </c>
      <c r="AC158">
        <v>0</v>
      </c>
      <c r="AD158">
        <v>0</v>
      </c>
    </row>
    <row r="159" spans="1:30" x14ac:dyDescent="0.25">
      <c r="A159">
        <v>41535</v>
      </c>
      <c r="B159">
        <v>9923</v>
      </c>
      <c r="C159">
        <v>1972</v>
      </c>
      <c r="D159" t="s">
        <v>8</v>
      </c>
      <c r="E159" t="s">
        <v>18</v>
      </c>
      <c r="F159" t="s">
        <v>9</v>
      </c>
      <c r="G159">
        <v>46423</v>
      </c>
      <c r="H159">
        <v>2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f>SUM(Table1[[#This Row],[Gold Spending]]+Table1[[#This Row],[Sweet Spending]]+Table1[[#This Row],[Fish Spending]]+Table1[[#This Row],[Meat Spending]]+Table1[[#This Row],[Fruits Spending]]+Table1[[#This Row],[Wine Spending ]])</f>
        <v>92</v>
      </c>
      <c r="Q159">
        <v>3</v>
      </c>
      <c r="R159">
        <v>2</v>
      </c>
      <c r="S159">
        <v>0</v>
      </c>
      <c r="T159">
        <v>4</v>
      </c>
      <c r="U159">
        <f>SUM(Table1[[#This Row],[Store_Purchases]]+Table1[[#This Row],[Catalog_Purchases]]+Table1[[#This Row],[Web_Purchases]]+Table1[[#This Row],[Deal_Purchases]])</f>
        <v>9</v>
      </c>
      <c r="V159">
        <v>7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f>SUM(Table1[[#This Row],[Accepted_Campaign_2]]+Table1[[#This Row],[Accepted_Campaign_1]]+Table1[[#This Row],[Accepted_Campaign_5]]+Table1[[#This Row],[Accepted_Campaign_4]]+Table1[[#This Row],[Accepted_Campaign_3]])</f>
        <v>0</v>
      </c>
      <c r="AC159">
        <v>0</v>
      </c>
      <c r="AD159">
        <v>0</v>
      </c>
    </row>
    <row r="160" spans="1:30" x14ac:dyDescent="0.25">
      <c r="A160">
        <v>41452</v>
      </c>
      <c r="B160">
        <v>2814</v>
      </c>
      <c r="C160">
        <v>1976</v>
      </c>
      <c r="D160" t="s">
        <v>20</v>
      </c>
      <c r="E160" t="s">
        <v>18</v>
      </c>
      <c r="F160" t="s">
        <v>12</v>
      </c>
      <c r="G160">
        <v>30560</v>
      </c>
      <c r="H160">
        <v>1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f>SUM(Table1[[#This Row],[Gold Spending]]+Table1[[#This Row],[Sweet Spending]]+Table1[[#This Row],[Fish Spending]]+Table1[[#This Row],[Meat Spending]]+Table1[[#This Row],[Fruits Spending]]+Table1[[#This Row],[Wine Spending ]])</f>
        <v>31</v>
      </c>
      <c r="Q160">
        <v>1</v>
      </c>
      <c r="R160">
        <v>1</v>
      </c>
      <c r="S160">
        <v>0</v>
      </c>
      <c r="T160">
        <v>3</v>
      </c>
      <c r="U160">
        <f>SUM(Table1[[#This Row],[Store_Purchases]]+Table1[[#This Row],[Catalog_Purchases]]+Table1[[#This Row],[Web_Purchases]]+Table1[[#This Row],[Deal_Purchases]])</f>
        <v>5</v>
      </c>
      <c r="V160">
        <v>7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f>SUM(Table1[[#This Row],[Accepted_Campaign_2]]+Table1[[#This Row],[Accepted_Campaign_1]]+Table1[[#This Row],[Accepted_Campaign_5]]+Table1[[#This Row],[Accepted_Campaign_4]]+Table1[[#This Row],[Accepted_Campaign_3]])</f>
        <v>0</v>
      </c>
      <c r="AC160">
        <v>0</v>
      </c>
      <c r="AD160">
        <v>0</v>
      </c>
    </row>
    <row r="161" spans="1:30" x14ac:dyDescent="0.25">
      <c r="A161">
        <v>41452</v>
      </c>
      <c r="B161">
        <v>2711</v>
      </c>
      <c r="C161">
        <v>1976</v>
      </c>
      <c r="D161" t="s">
        <v>10</v>
      </c>
      <c r="E161" t="s">
        <v>18</v>
      </c>
      <c r="F161" t="s">
        <v>12</v>
      </c>
      <c r="G161">
        <v>30560</v>
      </c>
      <c r="H161">
        <v>1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f>SUM(Table1[[#This Row],[Gold Spending]]+Table1[[#This Row],[Sweet Spending]]+Table1[[#This Row],[Fish Spending]]+Table1[[#This Row],[Meat Spending]]+Table1[[#This Row],[Fruits Spending]]+Table1[[#This Row],[Wine Spending ]])</f>
        <v>31</v>
      </c>
      <c r="Q161">
        <v>1</v>
      </c>
      <c r="R161">
        <v>1</v>
      </c>
      <c r="S161">
        <v>0</v>
      </c>
      <c r="T161">
        <v>3</v>
      </c>
      <c r="U161">
        <f>SUM(Table1[[#This Row],[Store_Purchases]]+Table1[[#This Row],[Catalog_Purchases]]+Table1[[#This Row],[Web_Purchases]]+Table1[[#This Row],[Deal_Purchases]])</f>
        <v>5</v>
      </c>
      <c r="V161">
        <v>7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f>SUM(Table1[[#This Row],[Accepted_Campaign_2]]+Table1[[#This Row],[Accepted_Campaign_1]]+Table1[[#This Row],[Accepted_Campaign_5]]+Table1[[#This Row],[Accepted_Campaign_4]]+Table1[[#This Row],[Accepted_Campaign_3]])</f>
        <v>0</v>
      </c>
      <c r="AC161">
        <v>0</v>
      </c>
      <c r="AD161">
        <v>0</v>
      </c>
    </row>
    <row r="162" spans="1:30" x14ac:dyDescent="0.25">
      <c r="A162">
        <v>41361</v>
      </c>
      <c r="B162">
        <v>4320</v>
      </c>
      <c r="C162">
        <v>1979</v>
      </c>
      <c r="D162" t="s">
        <v>8</v>
      </c>
      <c r="E162" t="s">
        <v>6</v>
      </c>
      <c r="F162" t="s">
        <v>9</v>
      </c>
      <c r="G162">
        <v>60152</v>
      </c>
      <c r="H162">
        <v>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f>SUM(Table1[[#This Row],[Gold Spending]]+Table1[[#This Row],[Sweet Spending]]+Table1[[#This Row],[Fish Spending]]+Table1[[#This Row],[Meat Spending]]+Table1[[#This Row],[Fruits Spending]]+Table1[[#This Row],[Wine Spending ]])</f>
        <v>943</v>
      </c>
      <c r="Q162">
        <v>1</v>
      </c>
      <c r="R162">
        <v>6</v>
      </c>
      <c r="S162">
        <v>4</v>
      </c>
      <c r="T162">
        <v>12</v>
      </c>
      <c r="U162">
        <f>SUM(Table1[[#This Row],[Store_Purchases]]+Table1[[#This Row],[Catalog_Purchases]]+Table1[[#This Row],[Web_Purchases]]+Table1[[#This Row],[Deal_Purchases]])</f>
        <v>23</v>
      </c>
      <c r="V162">
        <v>3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f>SUM(Table1[[#This Row],[Accepted_Campaign_2]]+Table1[[#This Row],[Accepted_Campaign_1]]+Table1[[#This Row],[Accepted_Campaign_5]]+Table1[[#This Row],[Accepted_Campaign_4]]+Table1[[#This Row],[Accepted_Campaign_3]])</f>
        <v>0</v>
      </c>
      <c r="AC162">
        <v>0</v>
      </c>
      <c r="AD162">
        <v>0</v>
      </c>
    </row>
    <row r="163" spans="1:30" x14ac:dyDescent="0.25">
      <c r="A163">
        <v>41345</v>
      </c>
      <c r="B163">
        <v>10451</v>
      </c>
      <c r="C163">
        <v>1965</v>
      </c>
      <c r="D163" t="s">
        <v>20</v>
      </c>
      <c r="E163" t="s">
        <v>6</v>
      </c>
      <c r="F163" t="s">
        <v>12</v>
      </c>
      <c r="G163">
        <v>29672</v>
      </c>
      <c r="H163">
        <v>2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f>SUM(Table1[[#This Row],[Gold Spending]]+Table1[[#This Row],[Sweet Spending]]+Table1[[#This Row],[Fish Spending]]+Table1[[#This Row],[Meat Spending]]+Table1[[#This Row],[Fruits Spending]]+Table1[[#This Row],[Wine Spending ]])</f>
        <v>25</v>
      </c>
      <c r="Q163">
        <v>1</v>
      </c>
      <c r="R163">
        <v>0</v>
      </c>
      <c r="S163">
        <v>0</v>
      </c>
      <c r="T163">
        <v>3</v>
      </c>
      <c r="U163">
        <f>SUM(Table1[[#This Row],[Store_Purchases]]+Table1[[#This Row],[Catalog_Purchases]]+Table1[[#This Row],[Web_Purchases]]+Table1[[#This Row],[Deal_Purchases]])</f>
        <v>4</v>
      </c>
      <c r="V163">
        <v>6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f>SUM(Table1[[#This Row],[Accepted_Campaign_2]]+Table1[[#This Row],[Accepted_Campaign_1]]+Table1[[#This Row],[Accepted_Campaign_5]]+Table1[[#This Row],[Accepted_Campaign_4]]+Table1[[#This Row],[Accepted_Campaign_3]])</f>
        <v>0</v>
      </c>
      <c r="AC163">
        <v>0</v>
      </c>
      <c r="AD163">
        <v>0</v>
      </c>
    </row>
    <row r="164" spans="1:30" x14ac:dyDescent="0.25">
      <c r="A164">
        <v>41345</v>
      </c>
      <c r="B164">
        <v>4198</v>
      </c>
      <c r="C164">
        <v>1965</v>
      </c>
      <c r="D164" t="s">
        <v>8</v>
      </c>
      <c r="E164" t="s">
        <v>6</v>
      </c>
      <c r="F164" t="s">
        <v>12</v>
      </c>
      <c r="G164">
        <v>29672</v>
      </c>
      <c r="H164">
        <v>2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f>SUM(Table1[[#This Row],[Gold Spending]]+Table1[[#This Row],[Sweet Spending]]+Table1[[#This Row],[Fish Spending]]+Table1[[#This Row],[Meat Spending]]+Table1[[#This Row],[Fruits Spending]]+Table1[[#This Row],[Wine Spending ]])</f>
        <v>25</v>
      </c>
      <c r="Q164">
        <v>1</v>
      </c>
      <c r="R164">
        <v>0</v>
      </c>
      <c r="S164">
        <v>0</v>
      </c>
      <c r="T164">
        <v>3</v>
      </c>
      <c r="U164">
        <f>SUM(Table1[[#This Row],[Store_Purchases]]+Table1[[#This Row],[Catalog_Purchases]]+Table1[[#This Row],[Web_Purchases]]+Table1[[#This Row],[Deal_Purchases]])</f>
        <v>4</v>
      </c>
      <c r="V164">
        <v>6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f>SUM(Table1[[#This Row],[Accepted_Campaign_2]]+Table1[[#This Row],[Accepted_Campaign_1]]+Table1[[#This Row],[Accepted_Campaign_5]]+Table1[[#This Row],[Accepted_Campaign_4]]+Table1[[#This Row],[Accepted_Campaign_3]])</f>
        <v>0</v>
      </c>
      <c r="AC164">
        <v>0</v>
      </c>
      <c r="AD164">
        <v>0</v>
      </c>
    </row>
    <row r="165" spans="1:30" x14ac:dyDescent="0.25">
      <c r="A165">
        <v>41290</v>
      </c>
      <c r="B165">
        <v>10814</v>
      </c>
      <c r="C165">
        <v>1947</v>
      </c>
      <c r="D165" t="s">
        <v>8</v>
      </c>
      <c r="E165" t="s">
        <v>6</v>
      </c>
      <c r="F165" t="s">
        <v>12</v>
      </c>
      <c r="G165">
        <v>70321</v>
      </c>
      <c r="H165">
        <v>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f>SUM(Table1[[#This Row],[Gold Spending]]+Table1[[#This Row],[Sweet Spending]]+Table1[[#This Row],[Fish Spending]]+Table1[[#This Row],[Meat Spending]]+Table1[[#This Row],[Fruits Spending]]+Table1[[#This Row],[Wine Spending ]])</f>
        <v>1376</v>
      </c>
      <c r="Q165">
        <v>1</v>
      </c>
      <c r="R165">
        <v>6</v>
      </c>
      <c r="S165">
        <v>5</v>
      </c>
      <c r="T165">
        <v>13</v>
      </c>
      <c r="U165">
        <f>SUM(Table1[[#This Row],[Store_Purchases]]+Table1[[#This Row],[Catalog_Purchases]]+Table1[[#This Row],[Web_Purchases]]+Table1[[#This Row],[Deal_Purchases]])</f>
        <v>25</v>
      </c>
      <c r="V165">
        <v>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f>SUM(Table1[[#This Row],[Accepted_Campaign_2]]+Table1[[#This Row],[Accepted_Campaign_1]]+Table1[[#This Row],[Accepted_Campaign_5]]+Table1[[#This Row],[Accepted_Campaign_4]]+Table1[[#This Row],[Accepted_Campaign_3]])</f>
        <v>0</v>
      </c>
      <c r="AC165">
        <v>1</v>
      </c>
      <c r="AD165">
        <v>0</v>
      </c>
    </row>
    <row r="166" spans="1:30" x14ac:dyDescent="0.25">
      <c r="A166">
        <v>41282</v>
      </c>
      <c r="B166">
        <v>944</v>
      </c>
      <c r="C166">
        <v>1962</v>
      </c>
      <c r="D166" t="s">
        <v>8</v>
      </c>
      <c r="E166" t="s">
        <v>6</v>
      </c>
      <c r="F166" t="s">
        <v>11</v>
      </c>
      <c r="G166">
        <v>56181</v>
      </c>
      <c r="H166">
        <v>1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f>SUM(Table1[[#This Row],[Gold Spending]]+Table1[[#This Row],[Sweet Spending]]+Table1[[#This Row],[Fish Spending]]+Table1[[#This Row],[Meat Spending]]+Table1[[#This Row],[Fruits Spending]]+Table1[[#This Row],[Wine Spending ]])</f>
        <v>393</v>
      </c>
      <c r="Q166">
        <v>1</v>
      </c>
      <c r="R166">
        <v>4</v>
      </c>
      <c r="S166">
        <v>2</v>
      </c>
      <c r="T166">
        <v>7</v>
      </c>
      <c r="U166">
        <f>SUM(Table1[[#This Row],[Store_Purchases]]+Table1[[#This Row],[Catalog_Purchases]]+Table1[[#This Row],[Web_Purchases]]+Table1[[#This Row],[Deal_Purchases]])</f>
        <v>14</v>
      </c>
      <c r="V166">
        <v>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f>SUM(Table1[[#This Row],[Accepted_Campaign_2]]+Table1[[#This Row],[Accepted_Campaign_1]]+Table1[[#This Row],[Accepted_Campaign_5]]+Table1[[#This Row],[Accepted_Campaign_4]]+Table1[[#This Row],[Accepted_Campaign_3]])</f>
        <v>0</v>
      </c>
      <c r="AC166">
        <v>0</v>
      </c>
      <c r="AD166">
        <v>0</v>
      </c>
    </row>
    <row r="167" spans="1:30" x14ac:dyDescent="0.25">
      <c r="A167">
        <v>41272</v>
      </c>
      <c r="B167">
        <v>8151</v>
      </c>
      <c r="C167">
        <v>1990</v>
      </c>
      <c r="D167" t="s">
        <v>8</v>
      </c>
      <c r="E167" t="s">
        <v>21</v>
      </c>
      <c r="F167" t="s">
        <v>11</v>
      </c>
      <c r="G167">
        <v>24279</v>
      </c>
      <c r="H167">
        <v>0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f>SUM(Table1[[#This Row],[Gold Spending]]+Table1[[#This Row],[Sweet Spending]]+Table1[[#This Row],[Fish Spending]]+Table1[[#This Row],[Meat Spending]]+Table1[[#This Row],[Fruits Spending]]+Table1[[#This Row],[Wine Spending ]])</f>
        <v>263</v>
      </c>
      <c r="Q167">
        <v>1</v>
      </c>
      <c r="R167">
        <v>4</v>
      </c>
      <c r="S167">
        <v>1</v>
      </c>
      <c r="T167">
        <v>3</v>
      </c>
      <c r="U167">
        <f>SUM(Table1[[#This Row],[Store_Purchases]]+Table1[[#This Row],[Catalog_Purchases]]+Table1[[#This Row],[Web_Purchases]]+Table1[[#This Row],[Deal_Purchases]])</f>
        <v>9</v>
      </c>
      <c r="V167">
        <v>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f>SUM(Table1[[#This Row],[Accepted_Campaign_2]]+Table1[[#This Row],[Accepted_Campaign_1]]+Table1[[#This Row],[Accepted_Campaign_5]]+Table1[[#This Row],[Accepted_Campaign_4]]+Table1[[#This Row],[Accepted_Campaign_3]])</f>
        <v>0</v>
      </c>
      <c r="AC167">
        <v>0</v>
      </c>
      <c r="AD167">
        <v>0</v>
      </c>
    </row>
    <row r="168" spans="1:30" x14ac:dyDescent="0.25">
      <c r="A168">
        <v>41255</v>
      </c>
      <c r="B168">
        <v>6184</v>
      </c>
      <c r="C168">
        <v>1969</v>
      </c>
      <c r="D168" t="s">
        <v>8</v>
      </c>
      <c r="E168" t="s">
        <v>14</v>
      </c>
      <c r="F168" t="s">
        <v>11</v>
      </c>
      <c r="G168">
        <v>68462</v>
      </c>
      <c r="H168">
        <v>0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f>SUM(Table1[[#This Row],[Gold Spending]]+Table1[[#This Row],[Sweet Spending]]+Table1[[#This Row],[Fish Spending]]+Table1[[#This Row],[Meat Spending]]+Table1[[#This Row],[Fruits Spending]]+Table1[[#This Row],[Wine Spending ]])</f>
        <v>1670</v>
      </c>
      <c r="Q168">
        <v>1</v>
      </c>
      <c r="R168">
        <v>3</v>
      </c>
      <c r="S168">
        <v>3</v>
      </c>
      <c r="T168">
        <v>8</v>
      </c>
      <c r="U168">
        <f>SUM(Table1[[#This Row],[Store_Purchases]]+Table1[[#This Row],[Catalog_Purchases]]+Table1[[#This Row],[Web_Purchases]]+Table1[[#This Row],[Deal_Purchases]])</f>
        <v>15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f>SUM(Table1[[#This Row],[Accepted_Campaign_2]]+Table1[[#This Row],[Accepted_Campaign_1]]+Table1[[#This Row],[Accepted_Campaign_5]]+Table1[[#This Row],[Accepted_Campaign_4]]+Table1[[#This Row],[Accepted_Campaign_3]])</f>
        <v>0</v>
      </c>
      <c r="AC168">
        <v>0</v>
      </c>
      <c r="AD168">
        <v>0</v>
      </c>
    </row>
    <row r="169" spans="1:30" x14ac:dyDescent="0.25">
      <c r="A169">
        <v>41238</v>
      </c>
      <c r="B169">
        <v>3498</v>
      </c>
      <c r="C169">
        <v>1976</v>
      </c>
      <c r="D169" t="s">
        <v>8</v>
      </c>
      <c r="E169" t="s">
        <v>14</v>
      </c>
      <c r="F169" t="s">
        <v>11</v>
      </c>
      <c r="G169">
        <v>55424</v>
      </c>
      <c r="H169">
        <v>1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f>SUM(Table1[[#This Row],[Gold Spending]]+Table1[[#This Row],[Sweet Spending]]+Table1[[#This Row],[Fish Spending]]+Table1[[#This Row],[Meat Spending]]+Table1[[#This Row],[Fruits Spending]]+Table1[[#This Row],[Wine Spending ]])</f>
        <v>877</v>
      </c>
      <c r="Q169">
        <v>4</v>
      </c>
      <c r="R169">
        <v>7</v>
      </c>
      <c r="S169">
        <v>5</v>
      </c>
      <c r="T169">
        <v>9</v>
      </c>
      <c r="U169">
        <f>SUM(Table1[[#This Row],[Store_Purchases]]+Table1[[#This Row],[Catalog_Purchases]]+Table1[[#This Row],[Web_Purchases]]+Table1[[#This Row],[Deal_Purchases]])</f>
        <v>25</v>
      </c>
      <c r="V169">
        <v>6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f>SUM(Table1[[#This Row],[Accepted_Campaign_2]]+Table1[[#This Row],[Accepted_Campaign_1]]+Table1[[#This Row],[Accepted_Campaign_5]]+Table1[[#This Row],[Accepted_Campaign_4]]+Table1[[#This Row],[Accepted_Campaign_3]])</f>
        <v>1</v>
      </c>
      <c r="AC169">
        <v>1</v>
      </c>
      <c r="AD169">
        <v>0</v>
      </c>
    </row>
    <row r="170" spans="1:30" x14ac:dyDescent="0.25">
      <c r="A170">
        <v>41173</v>
      </c>
      <c r="B170">
        <v>2870</v>
      </c>
      <c r="C170">
        <v>1973</v>
      </c>
      <c r="D170" t="s">
        <v>8</v>
      </c>
      <c r="E170" t="s">
        <v>6</v>
      </c>
      <c r="F170" t="s">
        <v>11</v>
      </c>
      <c r="G170">
        <v>49094</v>
      </c>
      <c r="H170">
        <v>1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f>SUM(Table1[[#This Row],[Gold Spending]]+Table1[[#This Row],[Sweet Spending]]+Table1[[#This Row],[Fish Spending]]+Table1[[#This Row],[Meat Spending]]+Table1[[#This Row],[Fruits Spending]]+Table1[[#This Row],[Wine Spending ]])</f>
        <v>502</v>
      </c>
      <c r="Q170">
        <v>5</v>
      </c>
      <c r="R170">
        <v>6</v>
      </c>
      <c r="S170">
        <v>3</v>
      </c>
      <c r="T170">
        <v>6</v>
      </c>
      <c r="U170">
        <f>SUM(Table1[[#This Row],[Store_Purchases]]+Table1[[#This Row],[Catalog_Purchases]]+Table1[[#This Row],[Web_Purchases]]+Table1[[#This Row],[Deal_Purchases]])</f>
        <v>20</v>
      </c>
      <c r="V170">
        <v>6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f>SUM(Table1[[#This Row],[Accepted_Campaign_2]]+Table1[[#This Row],[Accepted_Campaign_1]]+Table1[[#This Row],[Accepted_Campaign_5]]+Table1[[#This Row],[Accepted_Campaign_4]]+Table1[[#This Row],[Accepted_Campaign_3]])</f>
        <v>0</v>
      </c>
      <c r="AC170">
        <v>0</v>
      </c>
      <c r="AD170">
        <v>0</v>
      </c>
    </row>
    <row r="171" spans="1:30" x14ac:dyDescent="0.25">
      <c r="A171">
        <v>41161</v>
      </c>
      <c r="B171">
        <v>7342</v>
      </c>
      <c r="C171">
        <v>1961</v>
      </c>
      <c r="D171" t="s">
        <v>8</v>
      </c>
      <c r="E171" t="s">
        <v>15</v>
      </c>
      <c r="F171" t="s">
        <v>19</v>
      </c>
      <c r="G171">
        <v>59184</v>
      </c>
      <c r="H171">
        <v>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f>SUM(Table1[[#This Row],[Gold Spending]]+Table1[[#This Row],[Sweet Spending]]+Table1[[#This Row],[Fish Spending]]+Table1[[#This Row],[Meat Spending]]+Table1[[#This Row],[Fruits Spending]]+Table1[[#This Row],[Wine Spending ]])</f>
        <v>1072</v>
      </c>
      <c r="Q171">
        <v>3</v>
      </c>
      <c r="R171">
        <v>6</v>
      </c>
      <c r="S171">
        <v>6</v>
      </c>
      <c r="T171">
        <v>12</v>
      </c>
      <c r="U171">
        <f>SUM(Table1[[#This Row],[Store_Purchases]]+Table1[[#This Row],[Catalog_Purchases]]+Table1[[#This Row],[Web_Purchases]]+Table1[[#This Row],[Deal_Purchases]])</f>
        <v>27</v>
      </c>
      <c r="V171">
        <v>5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f>SUM(Table1[[#This Row],[Accepted_Campaign_2]]+Table1[[#This Row],[Accepted_Campaign_1]]+Table1[[#This Row],[Accepted_Campaign_5]]+Table1[[#This Row],[Accepted_Campaign_4]]+Table1[[#This Row],[Accepted_Campaign_3]])</f>
        <v>0</v>
      </c>
      <c r="AC171">
        <v>0</v>
      </c>
      <c r="AD171">
        <v>0</v>
      </c>
    </row>
    <row r="172" spans="1:30" x14ac:dyDescent="0.25">
      <c r="A172">
        <v>41157</v>
      </c>
      <c r="B172">
        <v>1911</v>
      </c>
      <c r="C172">
        <v>1987</v>
      </c>
      <c r="D172" t="s">
        <v>16</v>
      </c>
      <c r="E172" t="s">
        <v>6</v>
      </c>
      <c r="F172" t="s">
        <v>12</v>
      </c>
      <c r="G172">
        <v>67430</v>
      </c>
      <c r="H172">
        <v>0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f>SUM(Table1[[#This Row],[Gold Spending]]+Table1[[#This Row],[Sweet Spending]]+Table1[[#This Row],[Fish Spending]]+Table1[[#This Row],[Meat Spending]]+Table1[[#This Row],[Fruits Spending]]+Table1[[#This Row],[Wine Spending ]])</f>
        <v>1364</v>
      </c>
      <c r="Q172">
        <v>1</v>
      </c>
      <c r="R172">
        <v>11</v>
      </c>
      <c r="S172">
        <v>5</v>
      </c>
      <c r="T172">
        <v>12</v>
      </c>
      <c r="U172">
        <f>SUM(Table1[[#This Row],[Store_Purchases]]+Table1[[#This Row],[Catalog_Purchases]]+Table1[[#This Row],[Web_Purchases]]+Table1[[#This Row],[Deal_Purchases]])</f>
        <v>29</v>
      </c>
      <c r="V172">
        <v>6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f>SUM(Table1[[#This Row],[Accepted_Campaign_2]]+Table1[[#This Row],[Accepted_Campaign_1]]+Table1[[#This Row],[Accepted_Campaign_5]]+Table1[[#This Row],[Accepted_Campaign_4]]+Table1[[#This Row],[Accepted_Campaign_3]])</f>
        <v>0</v>
      </c>
      <c r="AC172">
        <v>0</v>
      </c>
      <c r="AD172">
        <v>0</v>
      </c>
    </row>
    <row r="173" spans="1:30" x14ac:dyDescent="0.25">
      <c r="A173">
        <v>41138</v>
      </c>
      <c r="B173">
        <v>10862</v>
      </c>
      <c r="C173">
        <v>1960</v>
      </c>
      <c r="D173" t="s">
        <v>8</v>
      </c>
      <c r="E173" t="s">
        <v>18</v>
      </c>
      <c r="F173" t="s">
        <v>11</v>
      </c>
      <c r="G173">
        <v>30522</v>
      </c>
      <c r="H173">
        <v>1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f>SUM(Table1[[#This Row],[Gold Spending]]+Table1[[#This Row],[Sweet Spending]]+Table1[[#This Row],[Fish Spending]]+Table1[[#This Row],[Meat Spending]]+Table1[[#This Row],[Fruits Spending]]+Table1[[#This Row],[Wine Spending ]])</f>
        <v>326</v>
      </c>
      <c r="Q173">
        <v>5</v>
      </c>
      <c r="R173">
        <v>1</v>
      </c>
      <c r="S173">
        <v>2</v>
      </c>
      <c r="T173">
        <v>9</v>
      </c>
      <c r="U173">
        <f>SUM(Table1[[#This Row],[Store_Purchases]]+Table1[[#This Row],[Catalog_Purchases]]+Table1[[#This Row],[Web_Purchases]]+Table1[[#This Row],[Deal_Purchases]])</f>
        <v>17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f>SUM(Table1[[#This Row],[Accepted_Campaign_2]]+Table1[[#This Row],[Accepted_Campaign_1]]+Table1[[#This Row],[Accepted_Campaign_5]]+Table1[[#This Row],[Accepted_Campaign_4]]+Table1[[#This Row],[Accepted_Campaign_3]])</f>
        <v>0</v>
      </c>
      <c r="AC173">
        <v>0</v>
      </c>
      <c r="AD173">
        <v>0</v>
      </c>
    </row>
    <row r="174" spans="1:30" x14ac:dyDescent="0.25">
      <c r="A174">
        <v>41812</v>
      </c>
      <c r="B174">
        <v>2546</v>
      </c>
      <c r="C174">
        <v>1977</v>
      </c>
      <c r="D174" t="s">
        <v>8</v>
      </c>
      <c r="E174" t="s">
        <v>15</v>
      </c>
      <c r="F174" t="s">
        <v>9</v>
      </c>
      <c r="G174">
        <v>31878</v>
      </c>
      <c r="H174">
        <v>1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f>SUM(Table1[[#This Row],[Gold Spending]]+Table1[[#This Row],[Sweet Spending]]+Table1[[#This Row],[Fish Spending]]+Table1[[#This Row],[Meat Spending]]+Table1[[#This Row],[Fruits Spending]]+Table1[[#This Row],[Wine Spending ]])</f>
        <v>70</v>
      </c>
      <c r="Q174">
        <v>1</v>
      </c>
      <c r="R174">
        <v>1</v>
      </c>
      <c r="S174">
        <v>0</v>
      </c>
      <c r="T174">
        <v>4</v>
      </c>
      <c r="U174">
        <f>SUM(Table1[[#This Row],[Store_Purchases]]+Table1[[#This Row],[Catalog_Purchases]]+Table1[[#This Row],[Web_Purchases]]+Table1[[#This Row],[Deal_Purchases]])</f>
        <v>6</v>
      </c>
      <c r="V174">
        <v>3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f>SUM(Table1[[#This Row],[Accepted_Campaign_2]]+Table1[[#This Row],[Accepted_Campaign_1]]+Table1[[#This Row],[Accepted_Campaign_5]]+Table1[[#This Row],[Accepted_Campaign_4]]+Table1[[#This Row],[Accepted_Campaign_3]])</f>
        <v>0</v>
      </c>
      <c r="AC174">
        <v>0</v>
      </c>
      <c r="AD174">
        <v>0</v>
      </c>
    </row>
    <row r="175" spans="1:30" x14ac:dyDescent="0.25">
      <c r="A175">
        <v>41760</v>
      </c>
      <c r="B175">
        <v>3005</v>
      </c>
      <c r="C175">
        <v>1992</v>
      </c>
      <c r="D175" t="s">
        <v>8</v>
      </c>
      <c r="E175" t="s">
        <v>6</v>
      </c>
      <c r="F175" t="s">
        <v>9</v>
      </c>
      <c r="G175">
        <v>83528</v>
      </c>
      <c r="H175">
        <v>0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f>SUM(Table1[[#This Row],[Gold Spending]]+Table1[[#This Row],[Sweet Spending]]+Table1[[#This Row],[Fish Spending]]+Table1[[#This Row],[Meat Spending]]+Table1[[#This Row],[Fruits Spending]]+Table1[[#This Row],[Wine Spending ]])</f>
        <v>1650</v>
      </c>
      <c r="Q175">
        <v>1</v>
      </c>
      <c r="R175">
        <v>4</v>
      </c>
      <c r="S175">
        <v>10</v>
      </c>
      <c r="T175">
        <v>8</v>
      </c>
      <c r="U175">
        <f>SUM(Table1[[#This Row],[Store_Purchases]]+Table1[[#This Row],[Catalog_Purchases]]+Table1[[#This Row],[Web_Purchases]]+Table1[[#This Row],[Deal_Purchases]])</f>
        <v>23</v>
      </c>
      <c r="V175">
        <v>1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f>SUM(Table1[[#This Row],[Accepted_Campaign_2]]+Table1[[#This Row],[Accepted_Campaign_1]]+Table1[[#This Row],[Accepted_Campaign_5]]+Table1[[#This Row],[Accepted_Campaign_4]]+Table1[[#This Row],[Accepted_Campaign_3]])</f>
        <v>2</v>
      </c>
      <c r="AC175">
        <v>1</v>
      </c>
      <c r="AD175">
        <v>0</v>
      </c>
    </row>
    <row r="176" spans="1:30" x14ac:dyDescent="0.25">
      <c r="A176">
        <v>41642</v>
      </c>
      <c r="B176">
        <v>8318</v>
      </c>
      <c r="C176">
        <v>1979</v>
      </c>
      <c r="D176" t="s">
        <v>8</v>
      </c>
      <c r="E176" t="s">
        <v>6</v>
      </c>
      <c r="F176" t="s">
        <v>12</v>
      </c>
      <c r="G176">
        <v>90300</v>
      </c>
      <c r="H176">
        <v>0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f>SUM(Table1[[#This Row],[Gold Spending]]+Table1[[#This Row],[Sweet Spending]]+Table1[[#This Row],[Fish Spending]]+Table1[[#This Row],[Meat Spending]]+Table1[[#This Row],[Fruits Spending]]+Table1[[#This Row],[Wine Spending ]])</f>
        <v>1738</v>
      </c>
      <c r="Q176">
        <v>0</v>
      </c>
      <c r="R176">
        <v>5</v>
      </c>
      <c r="S176">
        <v>6</v>
      </c>
      <c r="T176">
        <v>8</v>
      </c>
      <c r="U176">
        <f>SUM(Table1[[#This Row],[Store_Purchases]]+Table1[[#This Row],[Catalog_Purchases]]+Table1[[#This Row],[Web_Purchases]]+Table1[[#This Row],[Deal_Purchases]])</f>
        <v>19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f>SUM(Table1[[#This Row],[Accepted_Campaign_2]]+Table1[[#This Row],[Accepted_Campaign_1]]+Table1[[#This Row],[Accepted_Campaign_5]]+Table1[[#This Row],[Accepted_Campaign_4]]+Table1[[#This Row],[Accepted_Campaign_3]])</f>
        <v>1</v>
      </c>
      <c r="AC176">
        <v>0</v>
      </c>
      <c r="AD176">
        <v>0</v>
      </c>
    </row>
    <row r="177" spans="1:30" x14ac:dyDescent="0.25">
      <c r="A177">
        <v>41624</v>
      </c>
      <c r="B177">
        <v>2930</v>
      </c>
      <c r="C177">
        <v>1978</v>
      </c>
      <c r="D177" t="s">
        <v>20</v>
      </c>
      <c r="E177" t="s">
        <v>18</v>
      </c>
      <c r="F177" t="s">
        <v>9</v>
      </c>
      <c r="G177">
        <v>68092</v>
      </c>
      <c r="H177">
        <v>0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f>SUM(Table1[[#This Row],[Gold Spending]]+Table1[[#This Row],[Sweet Spending]]+Table1[[#This Row],[Fish Spending]]+Table1[[#This Row],[Meat Spending]]+Table1[[#This Row],[Fruits Spending]]+Table1[[#This Row],[Wine Spending ]])</f>
        <v>1281</v>
      </c>
      <c r="Q177">
        <v>2</v>
      </c>
      <c r="R177">
        <v>2</v>
      </c>
      <c r="S177">
        <v>6</v>
      </c>
      <c r="T177">
        <v>10</v>
      </c>
      <c r="U177">
        <f>SUM(Table1[[#This Row],[Store_Purchases]]+Table1[[#This Row],[Catalog_Purchases]]+Table1[[#This Row],[Web_Purchases]]+Table1[[#This Row],[Deal_Purchases]])</f>
        <v>20</v>
      </c>
      <c r="V177">
        <v>5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f>SUM(Table1[[#This Row],[Accepted_Campaign_2]]+Table1[[#This Row],[Accepted_Campaign_1]]+Table1[[#This Row],[Accepted_Campaign_5]]+Table1[[#This Row],[Accepted_Campaign_4]]+Table1[[#This Row],[Accepted_Campaign_3]])</f>
        <v>0</v>
      </c>
      <c r="AC177">
        <v>0</v>
      </c>
      <c r="AD177">
        <v>0</v>
      </c>
    </row>
    <row r="178" spans="1:30" x14ac:dyDescent="0.25">
      <c r="A178">
        <v>41558</v>
      </c>
      <c r="B178">
        <v>8216</v>
      </c>
      <c r="C178">
        <v>1972</v>
      </c>
      <c r="D178" t="s">
        <v>13</v>
      </c>
      <c r="E178" t="s">
        <v>18</v>
      </c>
      <c r="F178" t="s">
        <v>11</v>
      </c>
      <c r="G178">
        <v>53761</v>
      </c>
      <c r="H178">
        <v>2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f>SUM(Table1[[#This Row],[Gold Spending]]+Table1[[#This Row],[Sweet Spending]]+Table1[[#This Row],[Fish Spending]]+Table1[[#This Row],[Meat Spending]]+Table1[[#This Row],[Fruits Spending]]+Table1[[#This Row],[Wine Spending ]])</f>
        <v>325</v>
      </c>
      <c r="Q178">
        <v>6</v>
      </c>
      <c r="R178">
        <v>4</v>
      </c>
      <c r="S178">
        <v>4</v>
      </c>
      <c r="T178">
        <v>3</v>
      </c>
      <c r="U178">
        <f>SUM(Table1[[#This Row],[Store_Purchases]]+Table1[[#This Row],[Catalog_Purchases]]+Table1[[#This Row],[Web_Purchases]]+Table1[[#This Row],[Deal_Purchases]])</f>
        <v>17</v>
      </c>
      <c r="V178">
        <v>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f>SUM(Table1[[#This Row],[Accepted_Campaign_2]]+Table1[[#This Row],[Accepted_Campaign_1]]+Table1[[#This Row],[Accepted_Campaign_5]]+Table1[[#This Row],[Accepted_Campaign_4]]+Table1[[#This Row],[Accepted_Campaign_3]])</f>
        <v>0</v>
      </c>
      <c r="AC178">
        <v>0</v>
      </c>
      <c r="AD178">
        <v>0</v>
      </c>
    </row>
    <row r="179" spans="1:30" x14ac:dyDescent="0.25">
      <c r="A179">
        <v>41499</v>
      </c>
      <c r="B179">
        <v>1212</v>
      </c>
      <c r="C179">
        <v>1973</v>
      </c>
      <c r="D179" t="s">
        <v>8</v>
      </c>
      <c r="E179" t="s">
        <v>6</v>
      </c>
      <c r="F179" t="s">
        <v>11</v>
      </c>
      <c r="G179">
        <v>52845</v>
      </c>
      <c r="H179">
        <v>1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f>SUM(Table1[[#This Row],[Gold Spending]]+Table1[[#This Row],[Sweet Spending]]+Table1[[#This Row],[Fish Spending]]+Table1[[#This Row],[Meat Spending]]+Table1[[#This Row],[Fruits Spending]]+Table1[[#This Row],[Wine Spending ]])</f>
        <v>936</v>
      </c>
      <c r="Q179">
        <v>3</v>
      </c>
      <c r="R179">
        <v>8</v>
      </c>
      <c r="S179">
        <v>8</v>
      </c>
      <c r="T179">
        <v>6</v>
      </c>
      <c r="U179">
        <f>SUM(Table1[[#This Row],[Store_Purchases]]+Table1[[#This Row],[Catalog_Purchases]]+Table1[[#This Row],[Web_Purchases]]+Table1[[#This Row],[Deal_Purchases]])</f>
        <v>25</v>
      </c>
      <c r="V179">
        <v>6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f>SUM(Table1[[#This Row],[Accepted_Campaign_2]]+Table1[[#This Row],[Accepted_Campaign_1]]+Table1[[#This Row],[Accepted_Campaign_5]]+Table1[[#This Row],[Accepted_Campaign_4]]+Table1[[#This Row],[Accepted_Campaign_3]])</f>
        <v>1</v>
      </c>
      <c r="AC179">
        <v>0</v>
      </c>
      <c r="AD179">
        <v>0</v>
      </c>
    </row>
    <row r="180" spans="1:30" x14ac:dyDescent="0.25">
      <c r="A180">
        <v>41434</v>
      </c>
      <c r="B180">
        <v>2541</v>
      </c>
      <c r="C180">
        <v>1976</v>
      </c>
      <c r="D180" t="s">
        <v>8</v>
      </c>
      <c r="E180" t="s">
        <v>6</v>
      </c>
      <c r="F180" t="s">
        <v>11</v>
      </c>
      <c r="G180">
        <v>24027</v>
      </c>
      <c r="H180">
        <v>1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f>SUM(Table1[[#This Row],[Gold Spending]]+Table1[[#This Row],[Sweet Spending]]+Table1[[#This Row],[Fish Spending]]+Table1[[#This Row],[Meat Spending]]+Table1[[#This Row],[Fruits Spending]]+Table1[[#This Row],[Wine Spending ]])</f>
        <v>48</v>
      </c>
      <c r="Q180">
        <v>2</v>
      </c>
      <c r="R180">
        <v>2</v>
      </c>
      <c r="S180">
        <v>0</v>
      </c>
      <c r="T180">
        <v>3</v>
      </c>
      <c r="U180">
        <f>SUM(Table1[[#This Row],[Store_Purchases]]+Table1[[#This Row],[Catalog_Purchases]]+Table1[[#This Row],[Web_Purchases]]+Table1[[#This Row],[Deal_Purchases]])</f>
        <v>7</v>
      </c>
      <c r="V180">
        <v>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f>SUM(Table1[[#This Row],[Accepted_Campaign_2]]+Table1[[#This Row],[Accepted_Campaign_1]]+Table1[[#This Row],[Accepted_Campaign_5]]+Table1[[#This Row],[Accepted_Campaign_4]]+Table1[[#This Row],[Accepted_Campaign_3]])</f>
        <v>0</v>
      </c>
      <c r="AC180">
        <v>0</v>
      </c>
      <c r="AD180">
        <v>0</v>
      </c>
    </row>
    <row r="181" spans="1:30" x14ac:dyDescent="0.25">
      <c r="A181">
        <v>41401</v>
      </c>
      <c r="B181">
        <v>10659</v>
      </c>
      <c r="C181">
        <v>1979</v>
      </c>
      <c r="D181" t="s">
        <v>17</v>
      </c>
      <c r="E181" t="s">
        <v>15</v>
      </c>
      <c r="F181" t="s">
        <v>12</v>
      </c>
      <c r="G181">
        <v>7500</v>
      </c>
      <c r="H181">
        <v>1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f>SUM(Table1[[#This Row],[Gold Spending]]+Table1[[#This Row],[Sweet Spending]]+Table1[[#This Row],[Fish Spending]]+Table1[[#This Row],[Meat Spending]]+Table1[[#This Row],[Fruits Spending]]+Table1[[#This Row],[Wine Spending ]])</f>
        <v>53</v>
      </c>
      <c r="Q181">
        <v>4</v>
      </c>
      <c r="R181">
        <v>3</v>
      </c>
      <c r="S181">
        <v>2</v>
      </c>
      <c r="T181">
        <v>2</v>
      </c>
      <c r="U181">
        <f>SUM(Table1[[#This Row],[Store_Purchases]]+Table1[[#This Row],[Catalog_Purchases]]+Table1[[#This Row],[Web_Purchases]]+Table1[[#This Row],[Deal_Purchases]])</f>
        <v>11</v>
      </c>
      <c r="V181">
        <v>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f>SUM(Table1[[#This Row],[Accepted_Campaign_2]]+Table1[[#This Row],[Accepted_Campaign_1]]+Table1[[#This Row],[Accepted_Campaign_5]]+Table1[[#This Row],[Accepted_Campaign_4]]+Table1[[#This Row],[Accepted_Campaign_3]])</f>
        <v>0</v>
      </c>
      <c r="AC181">
        <v>0</v>
      </c>
      <c r="AD181">
        <v>0</v>
      </c>
    </row>
    <row r="182" spans="1:30" x14ac:dyDescent="0.25">
      <c r="A182">
        <v>41211</v>
      </c>
      <c r="B182">
        <v>10905</v>
      </c>
      <c r="C182">
        <v>1955</v>
      </c>
      <c r="D182" t="s">
        <v>8</v>
      </c>
      <c r="E182" t="s">
        <v>6</v>
      </c>
      <c r="F182" t="s">
        <v>12</v>
      </c>
      <c r="G182">
        <v>42586</v>
      </c>
      <c r="H182">
        <v>2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f>SUM(Table1[[#This Row],[Gold Spending]]+Table1[[#This Row],[Sweet Spending]]+Table1[[#This Row],[Fish Spending]]+Table1[[#This Row],[Meat Spending]]+Table1[[#This Row],[Fruits Spending]]+Table1[[#This Row],[Wine Spending ]])</f>
        <v>252</v>
      </c>
      <c r="Q182">
        <v>5</v>
      </c>
      <c r="R182">
        <v>4</v>
      </c>
      <c r="S182">
        <v>1</v>
      </c>
      <c r="T182">
        <v>6</v>
      </c>
      <c r="U182">
        <f>SUM(Table1[[#This Row],[Store_Purchases]]+Table1[[#This Row],[Catalog_Purchases]]+Table1[[#This Row],[Web_Purchases]]+Table1[[#This Row],[Deal_Purchases]])</f>
        <v>16</v>
      </c>
      <c r="V182">
        <v>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f>SUM(Table1[[#This Row],[Accepted_Campaign_2]]+Table1[[#This Row],[Accepted_Campaign_1]]+Table1[[#This Row],[Accepted_Campaign_5]]+Table1[[#This Row],[Accepted_Campaign_4]]+Table1[[#This Row],[Accepted_Campaign_3]])</f>
        <v>0</v>
      </c>
      <c r="AC182">
        <v>1</v>
      </c>
      <c r="AD182">
        <v>0</v>
      </c>
    </row>
    <row r="183" spans="1:30" x14ac:dyDescent="0.25">
      <c r="A183">
        <v>41211</v>
      </c>
      <c r="B183">
        <v>8910</v>
      </c>
      <c r="C183">
        <v>1955</v>
      </c>
      <c r="D183" t="s">
        <v>8</v>
      </c>
      <c r="E183" t="s">
        <v>6</v>
      </c>
      <c r="F183" t="s">
        <v>12</v>
      </c>
      <c r="G183">
        <v>42586</v>
      </c>
      <c r="H183">
        <v>2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f>SUM(Table1[[#This Row],[Gold Spending]]+Table1[[#This Row],[Sweet Spending]]+Table1[[#This Row],[Fish Spending]]+Table1[[#This Row],[Meat Spending]]+Table1[[#This Row],[Fruits Spending]]+Table1[[#This Row],[Wine Spending ]])</f>
        <v>252</v>
      </c>
      <c r="Q183">
        <v>5</v>
      </c>
      <c r="R183">
        <v>4</v>
      </c>
      <c r="S183">
        <v>1</v>
      </c>
      <c r="T183">
        <v>6</v>
      </c>
      <c r="U183">
        <f>SUM(Table1[[#This Row],[Store_Purchases]]+Table1[[#This Row],[Catalog_Purchases]]+Table1[[#This Row],[Web_Purchases]]+Table1[[#This Row],[Deal_Purchases]])</f>
        <v>16</v>
      </c>
      <c r="V183">
        <v>8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f>SUM(Table1[[#This Row],[Accepted_Campaign_2]]+Table1[[#This Row],[Accepted_Campaign_1]]+Table1[[#This Row],[Accepted_Campaign_5]]+Table1[[#This Row],[Accepted_Campaign_4]]+Table1[[#This Row],[Accepted_Campaign_3]])</f>
        <v>0</v>
      </c>
      <c r="AC183">
        <v>1</v>
      </c>
      <c r="AD183">
        <v>0</v>
      </c>
    </row>
    <row r="184" spans="1:30" x14ac:dyDescent="0.25">
      <c r="A184">
        <v>41184</v>
      </c>
      <c r="B184">
        <v>7349</v>
      </c>
      <c r="C184">
        <v>1973</v>
      </c>
      <c r="D184" t="s">
        <v>8</v>
      </c>
      <c r="E184" t="s">
        <v>21</v>
      </c>
      <c r="F184" t="s">
        <v>12</v>
      </c>
      <c r="G184">
        <v>9722</v>
      </c>
      <c r="H184">
        <v>1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f>SUM(Table1[[#This Row],[Gold Spending]]+Table1[[#This Row],[Sweet Spending]]+Table1[[#This Row],[Fish Spending]]+Table1[[#This Row],[Meat Spending]]+Table1[[#This Row],[Fruits Spending]]+Table1[[#This Row],[Wine Spending ]])</f>
        <v>103</v>
      </c>
      <c r="Q184">
        <v>4</v>
      </c>
      <c r="R184">
        <v>3</v>
      </c>
      <c r="S184">
        <v>1</v>
      </c>
      <c r="T184">
        <v>3</v>
      </c>
      <c r="U184">
        <f>SUM(Table1[[#This Row],[Store_Purchases]]+Table1[[#This Row],[Catalog_Purchases]]+Table1[[#This Row],[Web_Purchases]]+Table1[[#This Row],[Deal_Purchases]])</f>
        <v>11</v>
      </c>
      <c r="V184">
        <v>8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f>SUM(Table1[[#This Row],[Accepted_Campaign_2]]+Table1[[#This Row],[Accepted_Campaign_1]]+Table1[[#This Row],[Accepted_Campaign_5]]+Table1[[#This Row],[Accepted_Campaign_4]]+Table1[[#This Row],[Accepted_Campaign_3]])</f>
        <v>0</v>
      </c>
      <c r="AC184">
        <v>1</v>
      </c>
      <c r="AD184">
        <v>0</v>
      </c>
    </row>
    <row r="185" spans="1:30" x14ac:dyDescent="0.25">
      <c r="A185">
        <v>41164</v>
      </c>
      <c r="B185">
        <v>7872</v>
      </c>
      <c r="C185">
        <v>1975</v>
      </c>
      <c r="D185" t="s">
        <v>8</v>
      </c>
      <c r="E185" t="s">
        <v>14</v>
      </c>
      <c r="F185" t="s">
        <v>11</v>
      </c>
      <c r="G185">
        <v>86836</v>
      </c>
      <c r="H185">
        <v>0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f>SUM(Table1[[#This Row],[Gold Spending]]+Table1[[#This Row],[Sweet Spending]]+Table1[[#This Row],[Fish Spending]]+Table1[[#This Row],[Meat Spending]]+Table1[[#This Row],[Fruits Spending]]+Table1[[#This Row],[Wine Spending ]])</f>
        <v>557</v>
      </c>
      <c r="Q185">
        <v>1</v>
      </c>
      <c r="R185">
        <v>6</v>
      </c>
      <c r="S185">
        <v>10</v>
      </c>
      <c r="T185">
        <v>6</v>
      </c>
      <c r="U185">
        <f>SUM(Table1[[#This Row],[Store_Purchases]]+Table1[[#This Row],[Catalog_Purchases]]+Table1[[#This Row],[Web_Purchases]]+Table1[[#This Row],[Deal_Purchases]])</f>
        <v>23</v>
      </c>
      <c r="V185">
        <v>5</v>
      </c>
      <c r="W185">
        <v>1</v>
      </c>
      <c r="X185">
        <v>0</v>
      </c>
      <c r="Y185">
        <v>1</v>
      </c>
      <c r="Z185">
        <v>1</v>
      </c>
      <c r="AA185">
        <v>0</v>
      </c>
      <c r="AB185">
        <f>SUM(Table1[[#This Row],[Accepted_Campaign_2]]+Table1[[#This Row],[Accepted_Campaign_1]]+Table1[[#This Row],[Accepted_Campaign_5]]+Table1[[#This Row],[Accepted_Campaign_4]]+Table1[[#This Row],[Accepted_Campaign_3]])</f>
        <v>3</v>
      </c>
      <c r="AC185">
        <v>1</v>
      </c>
      <c r="AD185">
        <v>0</v>
      </c>
    </row>
    <row r="186" spans="1:30" x14ac:dyDescent="0.25">
      <c r="A186">
        <v>41717</v>
      </c>
      <c r="B186">
        <v>4290</v>
      </c>
      <c r="C186">
        <v>1972</v>
      </c>
      <c r="D186" t="s">
        <v>10</v>
      </c>
      <c r="E186" t="s">
        <v>6</v>
      </c>
      <c r="F186" t="s">
        <v>11</v>
      </c>
      <c r="G186">
        <v>30467</v>
      </c>
      <c r="H186">
        <v>1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f>SUM(Table1[[#This Row],[Gold Spending]]+Table1[[#This Row],[Sweet Spending]]+Table1[[#This Row],[Fish Spending]]+Table1[[#This Row],[Meat Spending]]+Table1[[#This Row],[Fruits Spending]]+Table1[[#This Row],[Wine Spending ]])</f>
        <v>24</v>
      </c>
      <c r="Q186">
        <v>1</v>
      </c>
      <c r="R186">
        <v>1</v>
      </c>
      <c r="S186">
        <v>0</v>
      </c>
      <c r="T186">
        <v>2</v>
      </c>
      <c r="U186">
        <f>SUM(Table1[[#This Row],[Store_Purchases]]+Table1[[#This Row],[Catalog_Purchases]]+Table1[[#This Row],[Web_Purchases]]+Table1[[#This Row],[Deal_Purchases]])</f>
        <v>4</v>
      </c>
      <c r="V186">
        <v>7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f>SUM(Table1[[#This Row],[Accepted_Campaign_2]]+Table1[[#This Row],[Accepted_Campaign_1]]+Table1[[#This Row],[Accepted_Campaign_5]]+Table1[[#This Row],[Accepted_Campaign_4]]+Table1[[#This Row],[Accepted_Campaign_3]])</f>
        <v>0</v>
      </c>
      <c r="AC186">
        <v>0</v>
      </c>
      <c r="AD186">
        <v>0</v>
      </c>
    </row>
    <row r="187" spans="1:30" x14ac:dyDescent="0.25">
      <c r="A187">
        <v>41701</v>
      </c>
      <c r="B187">
        <v>7408</v>
      </c>
      <c r="C187">
        <v>1952</v>
      </c>
      <c r="D187" t="s">
        <v>20</v>
      </c>
      <c r="E187" t="s">
        <v>14</v>
      </c>
      <c r="F187" t="s">
        <v>11</v>
      </c>
      <c r="G187">
        <v>54549</v>
      </c>
      <c r="H187">
        <v>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f>SUM(Table1[[#This Row],[Gold Spending]]+Table1[[#This Row],[Sweet Spending]]+Table1[[#This Row],[Fish Spending]]+Table1[[#This Row],[Meat Spending]]+Table1[[#This Row],[Fruits Spending]]+Table1[[#This Row],[Wine Spending ]])</f>
        <v>233</v>
      </c>
      <c r="Q187">
        <v>2</v>
      </c>
      <c r="R187">
        <v>5</v>
      </c>
      <c r="S187">
        <v>1</v>
      </c>
      <c r="T187">
        <v>4</v>
      </c>
      <c r="U187">
        <f>SUM(Table1[[#This Row],[Store_Purchases]]+Table1[[#This Row],[Catalog_Purchases]]+Table1[[#This Row],[Web_Purchases]]+Table1[[#This Row],[Deal_Purchases]])</f>
        <v>12</v>
      </c>
      <c r="V187">
        <v>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f>SUM(Table1[[#This Row],[Accepted_Campaign_2]]+Table1[[#This Row],[Accepted_Campaign_1]]+Table1[[#This Row],[Accepted_Campaign_5]]+Table1[[#This Row],[Accepted_Campaign_4]]+Table1[[#This Row],[Accepted_Campaign_3]])</f>
        <v>0</v>
      </c>
      <c r="AC187">
        <v>0</v>
      </c>
      <c r="AD187">
        <v>0</v>
      </c>
    </row>
    <row r="188" spans="1:30" x14ac:dyDescent="0.25">
      <c r="A188">
        <v>41692</v>
      </c>
      <c r="B188">
        <v>9986</v>
      </c>
      <c r="C188">
        <v>1982</v>
      </c>
      <c r="D188" t="s">
        <v>20</v>
      </c>
      <c r="E188" t="s">
        <v>6</v>
      </c>
      <c r="F188" t="s">
        <v>12</v>
      </c>
      <c r="G188">
        <v>19444</v>
      </c>
      <c r="H188">
        <v>1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f>SUM(Table1[[#This Row],[Gold Spending]]+Table1[[#This Row],[Sweet Spending]]+Table1[[#This Row],[Fish Spending]]+Table1[[#This Row],[Meat Spending]]+Table1[[#This Row],[Fruits Spending]]+Table1[[#This Row],[Wine Spending ]])</f>
        <v>54</v>
      </c>
      <c r="Q188">
        <v>3</v>
      </c>
      <c r="R188">
        <v>4</v>
      </c>
      <c r="S188">
        <v>1</v>
      </c>
      <c r="T188">
        <v>2</v>
      </c>
      <c r="U188">
        <f>SUM(Table1[[#This Row],[Store_Purchases]]+Table1[[#This Row],[Catalog_Purchases]]+Table1[[#This Row],[Web_Purchases]]+Table1[[#This Row],[Deal_Purchases]])</f>
        <v>10</v>
      </c>
      <c r="V188">
        <v>7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f>SUM(Table1[[#This Row],[Accepted_Campaign_2]]+Table1[[#This Row],[Accepted_Campaign_1]]+Table1[[#This Row],[Accepted_Campaign_5]]+Table1[[#This Row],[Accepted_Campaign_4]]+Table1[[#This Row],[Accepted_Campaign_3]])</f>
        <v>0</v>
      </c>
      <c r="AC188">
        <v>1</v>
      </c>
      <c r="AD188">
        <v>0</v>
      </c>
    </row>
    <row r="189" spans="1:30" x14ac:dyDescent="0.25">
      <c r="A189">
        <v>41663</v>
      </c>
      <c r="B189">
        <v>8235</v>
      </c>
      <c r="C189">
        <v>1956</v>
      </c>
      <c r="D189" t="s">
        <v>20</v>
      </c>
      <c r="E189" t="s">
        <v>18</v>
      </c>
      <c r="F189" t="s">
        <v>12</v>
      </c>
      <c r="G189">
        <v>69245</v>
      </c>
      <c r="H189">
        <v>1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f>SUM(Table1[[#This Row],[Gold Spending]]+Table1[[#This Row],[Sweet Spending]]+Table1[[#This Row],[Fish Spending]]+Table1[[#This Row],[Meat Spending]]+Table1[[#This Row],[Fruits Spending]]+Table1[[#This Row],[Wine Spending ]])</f>
        <v>843</v>
      </c>
      <c r="Q189">
        <v>2</v>
      </c>
      <c r="R189">
        <v>6</v>
      </c>
      <c r="S189">
        <v>5</v>
      </c>
      <c r="T189">
        <v>10</v>
      </c>
      <c r="U189">
        <f>SUM(Table1[[#This Row],[Store_Purchases]]+Table1[[#This Row],[Catalog_Purchases]]+Table1[[#This Row],[Web_Purchases]]+Table1[[#This Row],[Deal_Purchases]])</f>
        <v>23</v>
      </c>
      <c r="V189">
        <v>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f>SUM(Table1[[#This Row],[Accepted_Campaign_2]]+Table1[[#This Row],[Accepted_Campaign_1]]+Table1[[#This Row],[Accepted_Campaign_5]]+Table1[[#This Row],[Accepted_Campaign_4]]+Table1[[#This Row],[Accepted_Campaign_3]])</f>
        <v>0</v>
      </c>
      <c r="AC189">
        <v>0</v>
      </c>
      <c r="AD189">
        <v>0</v>
      </c>
    </row>
    <row r="190" spans="1:30" x14ac:dyDescent="0.25">
      <c r="A190">
        <v>41624</v>
      </c>
      <c r="B190">
        <v>10949</v>
      </c>
      <c r="C190">
        <v>1963</v>
      </c>
      <c r="D190" t="s">
        <v>8</v>
      </c>
      <c r="E190" t="s">
        <v>14</v>
      </c>
      <c r="F190" t="s">
        <v>7</v>
      </c>
      <c r="G190">
        <v>72968</v>
      </c>
      <c r="H190">
        <v>0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f>SUM(Table1[[#This Row],[Gold Spending]]+Table1[[#This Row],[Sweet Spending]]+Table1[[#This Row],[Fish Spending]]+Table1[[#This Row],[Meat Spending]]+Table1[[#This Row],[Fruits Spending]]+Table1[[#This Row],[Wine Spending ]])</f>
        <v>1958</v>
      </c>
      <c r="Q190">
        <v>1</v>
      </c>
      <c r="R190">
        <v>5</v>
      </c>
      <c r="S190">
        <v>5</v>
      </c>
      <c r="T190">
        <v>8</v>
      </c>
      <c r="U190">
        <f>SUM(Table1[[#This Row],[Store_Purchases]]+Table1[[#This Row],[Catalog_Purchases]]+Table1[[#This Row],[Web_Purchases]]+Table1[[#This Row],[Deal_Purchases]])</f>
        <v>19</v>
      </c>
      <c r="V190">
        <v>3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f>SUM(Table1[[#This Row],[Accepted_Campaign_2]]+Table1[[#This Row],[Accepted_Campaign_1]]+Table1[[#This Row],[Accepted_Campaign_5]]+Table1[[#This Row],[Accepted_Campaign_4]]+Table1[[#This Row],[Accepted_Campaign_3]])</f>
        <v>1</v>
      </c>
      <c r="AC190">
        <v>1</v>
      </c>
      <c r="AD190">
        <v>0</v>
      </c>
    </row>
    <row r="191" spans="1:30" x14ac:dyDescent="0.25">
      <c r="A191">
        <v>41612</v>
      </c>
      <c r="B191">
        <v>7284</v>
      </c>
      <c r="C191">
        <v>1953</v>
      </c>
      <c r="D191" t="s">
        <v>8</v>
      </c>
      <c r="E191" t="s">
        <v>6</v>
      </c>
      <c r="F191" t="s">
        <v>11</v>
      </c>
      <c r="G191">
        <v>48686</v>
      </c>
      <c r="H191">
        <v>3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f>SUM(Table1[[#This Row],[Gold Spending]]+Table1[[#This Row],[Sweet Spending]]+Table1[[#This Row],[Fish Spending]]+Table1[[#This Row],[Meat Spending]]+Table1[[#This Row],[Fruits Spending]]+Table1[[#This Row],[Wine Spending ]])</f>
        <v>20</v>
      </c>
      <c r="Q191">
        <v>1</v>
      </c>
      <c r="R191">
        <v>1</v>
      </c>
      <c r="S191">
        <v>0</v>
      </c>
      <c r="T191">
        <v>2</v>
      </c>
      <c r="U191">
        <f>SUM(Table1[[#This Row],[Store_Purchases]]+Table1[[#This Row],[Catalog_Purchases]]+Table1[[#This Row],[Web_Purchases]]+Table1[[#This Row],[Deal_Purchases]])</f>
        <v>4</v>
      </c>
      <c r="V191">
        <v>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f>SUM(Table1[[#This Row],[Accepted_Campaign_2]]+Table1[[#This Row],[Accepted_Campaign_1]]+Table1[[#This Row],[Accepted_Campaign_5]]+Table1[[#This Row],[Accepted_Campaign_4]]+Table1[[#This Row],[Accepted_Campaign_3]])</f>
        <v>0</v>
      </c>
      <c r="AC191">
        <v>0</v>
      </c>
      <c r="AD191">
        <v>0</v>
      </c>
    </row>
    <row r="192" spans="1:30" x14ac:dyDescent="0.25">
      <c r="A192">
        <v>41606</v>
      </c>
      <c r="B192">
        <v>9529</v>
      </c>
      <c r="C192">
        <v>1990</v>
      </c>
      <c r="D192" t="s">
        <v>20</v>
      </c>
      <c r="E192" t="s">
        <v>6</v>
      </c>
      <c r="F192" t="s">
        <v>11</v>
      </c>
      <c r="G192">
        <v>73687</v>
      </c>
      <c r="H192">
        <v>0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f>SUM(Table1[[#This Row],[Gold Spending]]+Table1[[#This Row],[Sweet Spending]]+Table1[[#This Row],[Fish Spending]]+Table1[[#This Row],[Meat Spending]]+Table1[[#This Row],[Fruits Spending]]+Table1[[#This Row],[Wine Spending ]])</f>
        <v>1627</v>
      </c>
      <c r="Q192">
        <v>1</v>
      </c>
      <c r="R192">
        <v>3</v>
      </c>
      <c r="S192">
        <v>9</v>
      </c>
      <c r="T192">
        <v>9</v>
      </c>
      <c r="U192">
        <f>SUM(Table1[[#This Row],[Store_Purchases]]+Table1[[#This Row],[Catalog_Purchases]]+Table1[[#This Row],[Web_Purchases]]+Table1[[#This Row],[Deal_Purchases]])</f>
        <v>22</v>
      </c>
      <c r="V192">
        <v>2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f>SUM(Table1[[#This Row],[Accepted_Campaign_2]]+Table1[[#This Row],[Accepted_Campaign_1]]+Table1[[#This Row],[Accepted_Campaign_5]]+Table1[[#This Row],[Accepted_Campaign_4]]+Table1[[#This Row],[Accepted_Campaign_3]])</f>
        <v>1</v>
      </c>
      <c r="AC192">
        <v>1</v>
      </c>
      <c r="AD192">
        <v>0</v>
      </c>
    </row>
    <row r="193" spans="1:30" x14ac:dyDescent="0.25">
      <c r="A193">
        <v>41583</v>
      </c>
      <c r="B193">
        <v>9930</v>
      </c>
      <c r="C193">
        <v>1944</v>
      </c>
      <c r="D193" t="s">
        <v>10</v>
      </c>
      <c r="E193" t="s">
        <v>14</v>
      </c>
      <c r="F193" t="s">
        <v>9</v>
      </c>
      <c r="G193">
        <v>82716</v>
      </c>
      <c r="H193">
        <v>0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f>SUM(Table1[[#This Row],[Gold Spending]]+Table1[[#This Row],[Sweet Spending]]+Table1[[#This Row],[Fish Spending]]+Table1[[#This Row],[Meat Spending]]+Table1[[#This Row],[Fruits Spending]]+Table1[[#This Row],[Wine Spending ]])</f>
        <v>1167</v>
      </c>
      <c r="Q193">
        <v>1</v>
      </c>
      <c r="R193">
        <v>6</v>
      </c>
      <c r="S193">
        <v>8</v>
      </c>
      <c r="T193">
        <v>13</v>
      </c>
      <c r="U193">
        <f>SUM(Table1[[#This Row],[Store_Purchases]]+Table1[[#This Row],[Catalog_Purchases]]+Table1[[#This Row],[Web_Purchases]]+Table1[[#This Row],[Deal_Purchases]])</f>
        <v>28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f>SUM(Table1[[#This Row],[Accepted_Campaign_2]]+Table1[[#This Row],[Accepted_Campaign_1]]+Table1[[#This Row],[Accepted_Campaign_5]]+Table1[[#This Row],[Accepted_Campaign_4]]+Table1[[#This Row],[Accepted_Campaign_3]])</f>
        <v>0</v>
      </c>
      <c r="AC193">
        <v>0</v>
      </c>
      <c r="AD193">
        <v>0</v>
      </c>
    </row>
    <row r="194" spans="1:30" x14ac:dyDescent="0.25">
      <c r="A194">
        <v>41550</v>
      </c>
      <c r="B194">
        <v>10270</v>
      </c>
      <c r="C194">
        <v>1981</v>
      </c>
      <c r="D194" t="s">
        <v>16</v>
      </c>
      <c r="E194" t="s">
        <v>15</v>
      </c>
      <c r="F194" t="s">
        <v>11</v>
      </c>
      <c r="G194">
        <v>35523</v>
      </c>
      <c r="H194">
        <v>1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f>SUM(Table1[[#This Row],[Gold Spending]]+Table1[[#This Row],[Sweet Spending]]+Table1[[#This Row],[Fish Spending]]+Table1[[#This Row],[Meat Spending]]+Table1[[#This Row],[Fruits Spending]]+Table1[[#This Row],[Wine Spending ]])</f>
        <v>66</v>
      </c>
      <c r="Q194">
        <v>2</v>
      </c>
      <c r="R194">
        <v>3</v>
      </c>
      <c r="S194">
        <v>0</v>
      </c>
      <c r="T194">
        <v>3</v>
      </c>
      <c r="U194">
        <f>SUM(Table1[[#This Row],[Store_Purchases]]+Table1[[#This Row],[Catalog_Purchases]]+Table1[[#This Row],[Web_Purchases]]+Table1[[#This Row],[Deal_Purchases]])</f>
        <v>8</v>
      </c>
      <c r="V194">
        <v>7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f>SUM(Table1[[#This Row],[Accepted_Campaign_2]]+Table1[[#This Row],[Accepted_Campaign_1]]+Table1[[#This Row],[Accepted_Campaign_5]]+Table1[[#This Row],[Accepted_Campaign_4]]+Table1[[#This Row],[Accepted_Campaign_3]])</f>
        <v>0</v>
      </c>
      <c r="AC194">
        <v>0</v>
      </c>
      <c r="AD194">
        <v>0</v>
      </c>
    </row>
    <row r="195" spans="1:30" x14ac:dyDescent="0.25">
      <c r="A195">
        <v>41495</v>
      </c>
      <c r="B195">
        <v>760</v>
      </c>
      <c r="C195">
        <v>1975</v>
      </c>
      <c r="D195" t="s">
        <v>20</v>
      </c>
      <c r="E195" t="s">
        <v>14</v>
      </c>
      <c r="F195" t="s">
        <v>7</v>
      </c>
      <c r="G195">
        <v>60554</v>
      </c>
      <c r="H195">
        <v>1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f>SUM(Table1[[#This Row],[Gold Spending]]+Table1[[#This Row],[Sweet Spending]]+Table1[[#This Row],[Fish Spending]]+Table1[[#This Row],[Meat Spending]]+Table1[[#This Row],[Fruits Spending]]+Table1[[#This Row],[Wine Spending ]])</f>
        <v>811</v>
      </c>
      <c r="Q195">
        <v>2</v>
      </c>
      <c r="R195">
        <v>8</v>
      </c>
      <c r="S195">
        <v>4</v>
      </c>
      <c r="T195">
        <v>9</v>
      </c>
      <c r="U195">
        <f>SUM(Table1[[#This Row],[Store_Purchases]]+Table1[[#This Row],[Catalog_Purchases]]+Table1[[#This Row],[Web_Purchases]]+Table1[[#This Row],[Deal_Purchases]])</f>
        <v>23</v>
      </c>
      <c r="V195">
        <v>6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f>SUM(Table1[[#This Row],[Accepted_Campaign_2]]+Table1[[#This Row],[Accepted_Campaign_1]]+Table1[[#This Row],[Accepted_Campaign_5]]+Table1[[#This Row],[Accepted_Campaign_4]]+Table1[[#This Row],[Accepted_Campaign_3]])</f>
        <v>0</v>
      </c>
      <c r="AC195">
        <v>0</v>
      </c>
      <c r="AD195">
        <v>0</v>
      </c>
    </row>
    <row r="196" spans="1:30" x14ac:dyDescent="0.25">
      <c r="A196">
        <v>41493</v>
      </c>
      <c r="B196">
        <v>5519</v>
      </c>
      <c r="C196">
        <v>1956</v>
      </c>
      <c r="D196" t="s">
        <v>20</v>
      </c>
      <c r="E196" t="s">
        <v>6</v>
      </c>
      <c r="F196" t="s">
        <v>12</v>
      </c>
      <c r="G196">
        <v>64090</v>
      </c>
      <c r="H196">
        <v>1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f>SUM(Table1[[#This Row],[Gold Spending]]+Table1[[#This Row],[Sweet Spending]]+Table1[[#This Row],[Fish Spending]]+Table1[[#This Row],[Meat Spending]]+Table1[[#This Row],[Fruits Spending]]+Table1[[#This Row],[Wine Spending ]])</f>
        <v>797</v>
      </c>
      <c r="Q196">
        <v>1</v>
      </c>
      <c r="R196">
        <v>6</v>
      </c>
      <c r="S196">
        <v>9</v>
      </c>
      <c r="T196">
        <v>4</v>
      </c>
      <c r="U196">
        <f>SUM(Table1[[#This Row],[Store_Purchases]]+Table1[[#This Row],[Catalog_Purchases]]+Table1[[#This Row],[Web_Purchases]]+Table1[[#This Row],[Deal_Purchases]])</f>
        <v>20</v>
      </c>
      <c r="V196">
        <v>5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f>SUM(Table1[[#This Row],[Accepted_Campaign_2]]+Table1[[#This Row],[Accepted_Campaign_1]]+Table1[[#This Row],[Accepted_Campaign_5]]+Table1[[#This Row],[Accepted_Campaign_4]]+Table1[[#This Row],[Accepted_Campaign_3]])</f>
        <v>0</v>
      </c>
      <c r="AC196">
        <v>1</v>
      </c>
      <c r="AD196">
        <v>0</v>
      </c>
    </row>
    <row r="197" spans="1:30" x14ac:dyDescent="0.25">
      <c r="A197">
        <v>41472</v>
      </c>
      <c r="B197">
        <v>232</v>
      </c>
      <c r="C197">
        <v>1965</v>
      </c>
      <c r="D197" t="s">
        <v>8</v>
      </c>
      <c r="E197" t="s">
        <v>6</v>
      </c>
      <c r="F197" t="s">
        <v>9</v>
      </c>
      <c r="G197">
        <v>61559</v>
      </c>
      <c r="H197">
        <v>1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f>SUM(Table1[[#This Row],[Gold Spending]]+Table1[[#This Row],[Sweet Spending]]+Table1[[#This Row],[Fish Spending]]+Table1[[#This Row],[Meat Spending]]+Table1[[#This Row],[Fruits Spending]]+Table1[[#This Row],[Wine Spending ]])</f>
        <v>530</v>
      </c>
      <c r="Q197">
        <v>1</v>
      </c>
      <c r="R197">
        <v>4</v>
      </c>
      <c r="S197">
        <v>2</v>
      </c>
      <c r="T197">
        <v>10</v>
      </c>
      <c r="U197">
        <f>SUM(Table1[[#This Row],[Store_Purchases]]+Table1[[#This Row],[Catalog_Purchases]]+Table1[[#This Row],[Web_Purchases]]+Table1[[#This Row],[Deal_Purchases]])</f>
        <v>17</v>
      </c>
      <c r="V197">
        <v>3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f>SUM(Table1[[#This Row],[Accepted_Campaign_2]]+Table1[[#This Row],[Accepted_Campaign_1]]+Table1[[#This Row],[Accepted_Campaign_5]]+Table1[[#This Row],[Accepted_Campaign_4]]+Table1[[#This Row],[Accepted_Campaign_3]])</f>
        <v>0</v>
      </c>
      <c r="AC197">
        <v>0</v>
      </c>
      <c r="AD197">
        <v>0</v>
      </c>
    </row>
    <row r="198" spans="1:30" x14ac:dyDescent="0.25">
      <c r="A198">
        <v>41464</v>
      </c>
      <c r="B198">
        <v>3009</v>
      </c>
      <c r="C198">
        <v>1962</v>
      </c>
      <c r="D198" t="s">
        <v>8</v>
      </c>
      <c r="E198" t="s">
        <v>14</v>
      </c>
      <c r="F198" t="s">
        <v>19</v>
      </c>
      <c r="G198">
        <v>71670</v>
      </c>
      <c r="H198">
        <v>0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f>SUM(Table1[[#This Row],[Gold Spending]]+Table1[[#This Row],[Sweet Spending]]+Table1[[#This Row],[Fish Spending]]+Table1[[#This Row],[Meat Spending]]+Table1[[#This Row],[Fruits Spending]]+Table1[[#This Row],[Wine Spending ]])</f>
        <v>1766</v>
      </c>
      <c r="Q198">
        <v>1</v>
      </c>
      <c r="R198">
        <v>5</v>
      </c>
      <c r="S198">
        <v>3</v>
      </c>
      <c r="T198">
        <v>6</v>
      </c>
      <c r="U198">
        <f>SUM(Table1[[#This Row],[Store_Purchases]]+Table1[[#This Row],[Catalog_Purchases]]+Table1[[#This Row],[Web_Purchases]]+Table1[[#This Row],[Deal_Purchases]])</f>
        <v>15</v>
      </c>
      <c r="V198">
        <v>6</v>
      </c>
      <c r="W198">
        <v>0</v>
      </c>
      <c r="X198">
        <v>1</v>
      </c>
      <c r="Y198">
        <v>1</v>
      </c>
      <c r="Z198">
        <v>0</v>
      </c>
      <c r="AA198">
        <v>1</v>
      </c>
      <c r="AB198">
        <f>SUM(Table1[[#This Row],[Accepted_Campaign_2]]+Table1[[#This Row],[Accepted_Campaign_1]]+Table1[[#This Row],[Accepted_Campaign_5]]+Table1[[#This Row],[Accepted_Campaign_4]]+Table1[[#This Row],[Accepted_Campaign_3]])</f>
        <v>3</v>
      </c>
      <c r="AC198">
        <v>1</v>
      </c>
      <c r="AD198">
        <v>0</v>
      </c>
    </row>
    <row r="199" spans="1:30" x14ac:dyDescent="0.25">
      <c r="A199">
        <v>41436</v>
      </c>
      <c r="B199">
        <v>6518</v>
      </c>
      <c r="C199">
        <v>1951</v>
      </c>
      <c r="D199" t="s">
        <v>13</v>
      </c>
      <c r="E199" t="s">
        <v>14</v>
      </c>
      <c r="F199" t="s">
        <v>19</v>
      </c>
      <c r="G199">
        <v>67680</v>
      </c>
      <c r="H199">
        <v>1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f>SUM(Table1[[#This Row],[Gold Spending]]+Table1[[#This Row],[Sweet Spending]]+Table1[[#This Row],[Fish Spending]]+Table1[[#This Row],[Meat Spending]]+Table1[[#This Row],[Fruits Spending]]+Table1[[#This Row],[Wine Spending ]])</f>
        <v>606</v>
      </c>
      <c r="Q199">
        <v>1</v>
      </c>
      <c r="R199">
        <v>7</v>
      </c>
      <c r="S199">
        <v>3</v>
      </c>
      <c r="T199">
        <v>8</v>
      </c>
      <c r="U199">
        <f>SUM(Table1[[#This Row],[Store_Purchases]]+Table1[[#This Row],[Catalog_Purchases]]+Table1[[#This Row],[Web_Purchases]]+Table1[[#This Row],[Deal_Purchases]])</f>
        <v>19</v>
      </c>
      <c r="V199">
        <v>5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f>SUM(Table1[[#This Row],[Accepted_Campaign_2]]+Table1[[#This Row],[Accepted_Campaign_1]]+Table1[[#This Row],[Accepted_Campaign_5]]+Table1[[#This Row],[Accepted_Campaign_4]]+Table1[[#This Row],[Accepted_Campaign_3]])</f>
        <v>0</v>
      </c>
      <c r="AC199">
        <v>0</v>
      </c>
      <c r="AD199">
        <v>0</v>
      </c>
    </row>
    <row r="200" spans="1:30" x14ac:dyDescent="0.25">
      <c r="A200">
        <v>41411</v>
      </c>
      <c r="B200">
        <v>10669</v>
      </c>
      <c r="C200">
        <v>1981</v>
      </c>
      <c r="D200" t="s">
        <v>8</v>
      </c>
      <c r="E200" t="s">
        <v>6</v>
      </c>
      <c r="F200" t="s">
        <v>11</v>
      </c>
      <c r="G200">
        <v>54386</v>
      </c>
      <c r="H200">
        <v>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f>SUM(Table1[[#This Row],[Gold Spending]]+Table1[[#This Row],[Sweet Spending]]+Table1[[#This Row],[Fish Spending]]+Table1[[#This Row],[Meat Spending]]+Table1[[#This Row],[Fruits Spending]]+Table1[[#This Row],[Wine Spending ]])</f>
        <v>470</v>
      </c>
      <c r="Q200">
        <v>2</v>
      </c>
      <c r="R200">
        <v>3</v>
      </c>
      <c r="S200">
        <v>2</v>
      </c>
      <c r="T200">
        <v>10</v>
      </c>
      <c r="U200">
        <f>SUM(Table1[[#This Row],[Store_Purchases]]+Table1[[#This Row],[Catalog_Purchases]]+Table1[[#This Row],[Web_Purchases]]+Table1[[#This Row],[Deal_Purchases]])</f>
        <v>17</v>
      </c>
      <c r="V200">
        <v>3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f>SUM(Table1[[#This Row],[Accepted_Campaign_2]]+Table1[[#This Row],[Accepted_Campaign_1]]+Table1[[#This Row],[Accepted_Campaign_5]]+Table1[[#This Row],[Accepted_Campaign_4]]+Table1[[#This Row],[Accepted_Campaign_3]])</f>
        <v>0</v>
      </c>
      <c r="AC200">
        <v>0</v>
      </c>
      <c r="AD200">
        <v>0</v>
      </c>
    </row>
    <row r="201" spans="1:30" x14ac:dyDescent="0.25">
      <c r="A201">
        <v>41356</v>
      </c>
      <c r="B201">
        <v>5682</v>
      </c>
      <c r="C201">
        <v>1953</v>
      </c>
      <c r="D201" t="s">
        <v>13</v>
      </c>
      <c r="E201" t="s">
        <v>14</v>
      </c>
      <c r="F201" t="s">
        <v>9</v>
      </c>
      <c r="G201">
        <v>64108</v>
      </c>
      <c r="H201">
        <v>1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f>SUM(Table1[[#This Row],[Gold Spending]]+Table1[[#This Row],[Sweet Spending]]+Table1[[#This Row],[Fish Spending]]+Table1[[#This Row],[Meat Spending]]+Table1[[#This Row],[Fruits Spending]]+Table1[[#This Row],[Wine Spending ]])</f>
        <v>1099</v>
      </c>
      <c r="Q201">
        <v>4</v>
      </c>
      <c r="R201">
        <v>6</v>
      </c>
      <c r="S201">
        <v>9</v>
      </c>
      <c r="T201">
        <v>11</v>
      </c>
      <c r="U201">
        <f>SUM(Table1[[#This Row],[Store_Purchases]]+Table1[[#This Row],[Catalog_Purchases]]+Table1[[#This Row],[Web_Purchases]]+Table1[[#This Row],[Deal_Purchases]])</f>
        <v>30</v>
      </c>
      <c r="V201">
        <v>5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f>SUM(Table1[[#This Row],[Accepted_Campaign_2]]+Table1[[#This Row],[Accepted_Campaign_1]]+Table1[[#This Row],[Accepted_Campaign_5]]+Table1[[#This Row],[Accepted_Campaign_4]]+Table1[[#This Row],[Accepted_Campaign_3]])</f>
        <v>0</v>
      </c>
      <c r="AC201">
        <v>0</v>
      </c>
      <c r="AD201">
        <v>0</v>
      </c>
    </row>
    <row r="202" spans="1:30" x14ac:dyDescent="0.25">
      <c r="A202">
        <v>41324</v>
      </c>
      <c r="B202">
        <v>1570</v>
      </c>
      <c r="C202">
        <v>1951</v>
      </c>
      <c r="D202" t="s">
        <v>8</v>
      </c>
      <c r="E202" t="s">
        <v>14</v>
      </c>
      <c r="F202" t="s">
        <v>12</v>
      </c>
      <c r="G202">
        <v>69702</v>
      </c>
      <c r="H202">
        <v>1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f>SUM(Table1[[#This Row],[Gold Spending]]+Table1[[#This Row],[Sweet Spending]]+Table1[[#This Row],[Fish Spending]]+Table1[[#This Row],[Meat Spending]]+Table1[[#This Row],[Fruits Spending]]+Table1[[#This Row],[Wine Spending ]])</f>
        <v>1039</v>
      </c>
      <c r="Q202">
        <v>2</v>
      </c>
      <c r="R202">
        <v>7</v>
      </c>
      <c r="S202">
        <v>7</v>
      </c>
      <c r="T202">
        <v>10</v>
      </c>
      <c r="U202">
        <f>SUM(Table1[[#This Row],[Store_Purchases]]+Table1[[#This Row],[Catalog_Purchases]]+Table1[[#This Row],[Web_Purchases]]+Table1[[#This Row],[Deal_Purchases]])</f>
        <v>26</v>
      </c>
      <c r="V202">
        <v>4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f>SUM(Table1[[#This Row],[Accepted_Campaign_2]]+Table1[[#This Row],[Accepted_Campaign_1]]+Table1[[#This Row],[Accepted_Campaign_5]]+Table1[[#This Row],[Accepted_Campaign_4]]+Table1[[#This Row],[Accepted_Campaign_3]])</f>
        <v>0</v>
      </c>
      <c r="AC202">
        <v>0</v>
      </c>
      <c r="AD202">
        <v>0</v>
      </c>
    </row>
    <row r="203" spans="1:30" x14ac:dyDescent="0.25">
      <c r="A203">
        <v>41293</v>
      </c>
      <c r="B203">
        <v>1497</v>
      </c>
      <c r="C203">
        <v>1952</v>
      </c>
      <c r="D203" t="s">
        <v>20</v>
      </c>
      <c r="E203" t="s">
        <v>6</v>
      </c>
      <c r="F203" t="s">
        <v>9</v>
      </c>
      <c r="G203">
        <v>47958</v>
      </c>
      <c r="H203">
        <v>1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f>SUM(Table1[[#This Row],[Gold Spending]]+Table1[[#This Row],[Sweet Spending]]+Table1[[#This Row],[Fish Spending]]+Table1[[#This Row],[Meat Spending]]+Table1[[#This Row],[Fruits Spending]]+Table1[[#This Row],[Wine Spending ]])</f>
        <v>407</v>
      </c>
      <c r="Q203">
        <v>2</v>
      </c>
      <c r="R203">
        <v>6</v>
      </c>
      <c r="S203">
        <v>3</v>
      </c>
      <c r="T203">
        <v>5</v>
      </c>
      <c r="U203">
        <f>SUM(Table1[[#This Row],[Store_Purchases]]+Table1[[#This Row],[Catalog_Purchases]]+Table1[[#This Row],[Web_Purchases]]+Table1[[#This Row],[Deal_Purchases]])</f>
        <v>16</v>
      </c>
      <c r="V203">
        <v>5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f>SUM(Table1[[#This Row],[Accepted_Campaign_2]]+Table1[[#This Row],[Accepted_Campaign_1]]+Table1[[#This Row],[Accepted_Campaign_5]]+Table1[[#This Row],[Accepted_Campaign_4]]+Table1[[#This Row],[Accepted_Campaign_3]])</f>
        <v>0</v>
      </c>
      <c r="AC203">
        <v>0</v>
      </c>
      <c r="AD203">
        <v>0</v>
      </c>
    </row>
    <row r="204" spans="1:30" x14ac:dyDescent="0.25">
      <c r="A204">
        <v>41284</v>
      </c>
      <c r="B204">
        <v>9723</v>
      </c>
      <c r="C204">
        <v>1960</v>
      </c>
      <c r="D204" t="s">
        <v>10</v>
      </c>
      <c r="E204" t="s">
        <v>6</v>
      </c>
      <c r="F204" t="s">
        <v>11</v>
      </c>
      <c r="G204">
        <v>67716</v>
      </c>
      <c r="H204">
        <v>1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f>SUM(Table1[[#This Row],[Gold Spending]]+Table1[[#This Row],[Sweet Spending]]+Table1[[#This Row],[Fish Spending]]+Table1[[#This Row],[Meat Spending]]+Table1[[#This Row],[Fruits Spending]]+Table1[[#This Row],[Wine Spending ]])</f>
        <v>1016</v>
      </c>
      <c r="Q204">
        <v>4</v>
      </c>
      <c r="R204">
        <v>7</v>
      </c>
      <c r="S204">
        <v>4</v>
      </c>
      <c r="T204">
        <v>13</v>
      </c>
      <c r="U204">
        <f>SUM(Table1[[#This Row],[Store_Purchases]]+Table1[[#This Row],[Catalog_Purchases]]+Table1[[#This Row],[Web_Purchases]]+Table1[[#This Row],[Deal_Purchases]])</f>
        <v>28</v>
      </c>
      <c r="V204">
        <v>5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f>SUM(Table1[[#This Row],[Accepted_Campaign_2]]+Table1[[#This Row],[Accepted_Campaign_1]]+Table1[[#This Row],[Accepted_Campaign_5]]+Table1[[#This Row],[Accepted_Campaign_4]]+Table1[[#This Row],[Accepted_Campaign_3]])</f>
        <v>1</v>
      </c>
      <c r="AC204">
        <v>0</v>
      </c>
      <c r="AD204">
        <v>0</v>
      </c>
    </row>
    <row r="205" spans="1:30" x14ac:dyDescent="0.25">
      <c r="A205">
        <v>41275</v>
      </c>
      <c r="B205">
        <v>7261</v>
      </c>
      <c r="C205">
        <v>1971</v>
      </c>
      <c r="D205" t="s">
        <v>8</v>
      </c>
      <c r="E205" t="s">
        <v>6</v>
      </c>
      <c r="F205" t="s">
        <v>12</v>
      </c>
      <c r="G205">
        <v>34600</v>
      </c>
      <c r="H205">
        <v>2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f>SUM(Table1[[#This Row],[Gold Spending]]+Table1[[#This Row],[Sweet Spending]]+Table1[[#This Row],[Fish Spending]]+Table1[[#This Row],[Meat Spending]]+Table1[[#This Row],[Fruits Spending]]+Table1[[#This Row],[Wine Spending ]])</f>
        <v>318</v>
      </c>
      <c r="Q205">
        <v>5</v>
      </c>
      <c r="R205">
        <v>5</v>
      </c>
      <c r="S205">
        <v>2</v>
      </c>
      <c r="T205">
        <v>5</v>
      </c>
      <c r="U205">
        <f>SUM(Table1[[#This Row],[Store_Purchases]]+Table1[[#This Row],[Catalog_Purchases]]+Table1[[#This Row],[Web_Purchases]]+Table1[[#This Row],[Deal_Purchases]])</f>
        <v>17</v>
      </c>
      <c r="V205">
        <v>8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f>SUM(Table1[[#This Row],[Accepted_Campaign_2]]+Table1[[#This Row],[Accepted_Campaign_1]]+Table1[[#This Row],[Accepted_Campaign_5]]+Table1[[#This Row],[Accepted_Campaign_4]]+Table1[[#This Row],[Accepted_Campaign_3]])</f>
        <v>0</v>
      </c>
      <c r="AC205">
        <v>1</v>
      </c>
      <c r="AD205">
        <v>0</v>
      </c>
    </row>
    <row r="206" spans="1:30" x14ac:dyDescent="0.25">
      <c r="A206">
        <v>41275</v>
      </c>
      <c r="B206">
        <v>2452</v>
      </c>
      <c r="C206">
        <v>1971</v>
      </c>
      <c r="D206" t="s">
        <v>8</v>
      </c>
      <c r="E206" t="s">
        <v>6</v>
      </c>
      <c r="F206" t="s">
        <v>12</v>
      </c>
      <c r="G206">
        <v>34600</v>
      </c>
      <c r="H206">
        <v>2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f>SUM(Table1[[#This Row],[Gold Spending]]+Table1[[#This Row],[Sweet Spending]]+Table1[[#This Row],[Fish Spending]]+Table1[[#This Row],[Meat Spending]]+Table1[[#This Row],[Fruits Spending]]+Table1[[#This Row],[Wine Spending ]])</f>
        <v>318</v>
      </c>
      <c r="Q206">
        <v>5</v>
      </c>
      <c r="R206">
        <v>5</v>
      </c>
      <c r="S206">
        <v>2</v>
      </c>
      <c r="T206">
        <v>5</v>
      </c>
      <c r="U206">
        <f>SUM(Table1[[#This Row],[Store_Purchases]]+Table1[[#This Row],[Catalog_Purchases]]+Table1[[#This Row],[Web_Purchases]]+Table1[[#This Row],[Deal_Purchases]])</f>
        <v>17</v>
      </c>
      <c r="V206">
        <v>8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>SUM(Table1[[#This Row],[Accepted_Campaign_2]]+Table1[[#This Row],[Accepted_Campaign_1]]+Table1[[#This Row],[Accepted_Campaign_5]]+Table1[[#This Row],[Accepted_Campaign_4]]+Table1[[#This Row],[Accepted_Campaign_3]])</f>
        <v>0</v>
      </c>
      <c r="AC206">
        <v>1</v>
      </c>
      <c r="AD206">
        <v>0</v>
      </c>
    </row>
    <row r="207" spans="1:30" x14ac:dyDescent="0.25">
      <c r="A207">
        <v>41255</v>
      </c>
      <c r="B207">
        <v>5621</v>
      </c>
      <c r="C207">
        <v>1969</v>
      </c>
      <c r="D207" t="s">
        <v>8</v>
      </c>
      <c r="E207" t="s">
        <v>6</v>
      </c>
      <c r="F207" t="s">
        <v>11</v>
      </c>
      <c r="G207">
        <v>48752</v>
      </c>
      <c r="H207">
        <v>2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f>SUM(Table1[[#This Row],[Gold Spending]]+Table1[[#This Row],[Sweet Spending]]+Table1[[#This Row],[Fish Spending]]+Table1[[#This Row],[Meat Spending]]+Table1[[#This Row],[Fruits Spending]]+Table1[[#This Row],[Wine Spending ]])</f>
        <v>316</v>
      </c>
      <c r="Q207">
        <v>5</v>
      </c>
      <c r="R207">
        <v>6</v>
      </c>
      <c r="S207">
        <v>1</v>
      </c>
      <c r="T207">
        <v>5</v>
      </c>
      <c r="U207">
        <f>SUM(Table1[[#This Row],[Store_Purchases]]+Table1[[#This Row],[Catalog_Purchases]]+Table1[[#This Row],[Web_Purchases]]+Table1[[#This Row],[Deal_Purchases]])</f>
        <v>17</v>
      </c>
      <c r="V207">
        <v>9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f>SUM(Table1[[#This Row],[Accepted_Campaign_2]]+Table1[[#This Row],[Accepted_Campaign_1]]+Table1[[#This Row],[Accepted_Campaign_5]]+Table1[[#This Row],[Accepted_Campaign_4]]+Table1[[#This Row],[Accepted_Campaign_3]])</f>
        <v>0</v>
      </c>
      <c r="AC207">
        <v>1</v>
      </c>
      <c r="AD207">
        <v>0</v>
      </c>
    </row>
    <row r="208" spans="1:30" x14ac:dyDescent="0.25">
      <c r="A208">
        <v>41225</v>
      </c>
      <c r="B208">
        <v>10995</v>
      </c>
      <c r="C208">
        <v>1988</v>
      </c>
      <c r="D208" t="s">
        <v>20</v>
      </c>
      <c r="E208" t="s">
        <v>15</v>
      </c>
      <c r="F208" t="s">
        <v>11</v>
      </c>
      <c r="G208">
        <v>15716</v>
      </c>
      <c r="H208">
        <v>1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f>SUM(Table1[[#This Row],[Gold Spending]]+Table1[[#This Row],[Sweet Spending]]+Table1[[#This Row],[Fish Spending]]+Table1[[#This Row],[Meat Spending]]+Table1[[#This Row],[Fruits Spending]]+Table1[[#This Row],[Wine Spending ]])</f>
        <v>92</v>
      </c>
      <c r="Q208">
        <v>3</v>
      </c>
      <c r="R208">
        <v>3</v>
      </c>
      <c r="S208">
        <v>0</v>
      </c>
      <c r="T208">
        <v>4</v>
      </c>
      <c r="U208">
        <f>SUM(Table1[[#This Row],[Store_Purchases]]+Table1[[#This Row],[Catalog_Purchases]]+Table1[[#This Row],[Web_Purchases]]+Table1[[#This Row],[Deal_Purchases]])</f>
        <v>10</v>
      </c>
      <c r="V208">
        <v>8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f>SUM(Table1[[#This Row],[Accepted_Campaign_2]]+Table1[[#This Row],[Accepted_Campaign_1]]+Table1[[#This Row],[Accepted_Campaign_5]]+Table1[[#This Row],[Accepted_Campaign_4]]+Table1[[#This Row],[Accepted_Campaign_3]])</f>
        <v>0</v>
      </c>
      <c r="AC208">
        <v>0</v>
      </c>
      <c r="AD208">
        <v>1</v>
      </c>
    </row>
    <row r="209" spans="1:30" x14ac:dyDescent="0.25">
      <c r="A209">
        <v>41211</v>
      </c>
      <c r="B209">
        <v>7373</v>
      </c>
      <c r="C209">
        <v>1952</v>
      </c>
      <c r="D209" t="s">
        <v>13</v>
      </c>
      <c r="E209" t="s">
        <v>14</v>
      </c>
      <c r="F209" t="s">
        <v>7</v>
      </c>
      <c r="G209">
        <v>46610</v>
      </c>
      <c r="H209">
        <v>2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f>SUM(Table1[[#This Row],[Gold Spending]]+Table1[[#This Row],[Sweet Spending]]+Table1[[#This Row],[Fish Spending]]+Table1[[#This Row],[Meat Spending]]+Table1[[#This Row],[Fruits Spending]]+Table1[[#This Row],[Wine Spending ]])</f>
        <v>302</v>
      </c>
      <c r="Q209">
        <v>6</v>
      </c>
      <c r="R209">
        <v>4</v>
      </c>
      <c r="S209">
        <v>1</v>
      </c>
      <c r="T209">
        <v>6</v>
      </c>
      <c r="U209">
        <f>SUM(Table1[[#This Row],[Store_Purchases]]+Table1[[#This Row],[Catalog_Purchases]]+Table1[[#This Row],[Web_Purchases]]+Table1[[#This Row],[Deal_Purchases]])</f>
        <v>17</v>
      </c>
      <c r="V209">
        <v>6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f>SUM(Table1[[#This Row],[Accepted_Campaign_2]]+Table1[[#This Row],[Accepted_Campaign_1]]+Table1[[#This Row],[Accepted_Campaign_5]]+Table1[[#This Row],[Accepted_Campaign_4]]+Table1[[#This Row],[Accepted_Campaign_3]])</f>
        <v>0</v>
      </c>
      <c r="AC209">
        <v>1</v>
      </c>
      <c r="AD209">
        <v>0</v>
      </c>
    </row>
    <row r="210" spans="1:30" x14ac:dyDescent="0.25">
      <c r="A210">
        <v>41163</v>
      </c>
      <c r="B210">
        <v>5331</v>
      </c>
      <c r="C210">
        <v>1977</v>
      </c>
      <c r="D210" t="s">
        <v>16</v>
      </c>
      <c r="E210" t="s">
        <v>6</v>
      </c>
      <c r="F210" t="s">
        <v>11</v>
      </c>
      <c r="G210">
        <v>74985</v>
      </c>
      <c r="H210">
        <v>0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f>SUM(Table1[[#This Row],[Gold Spending]]+Table1[[#This Row],[Sweet Spending]]+Table1[[#This Row],[Fish Spending]]+Table1[[#This Row],[Meat Spending]]+Table1[[#This Row],[Fruits Spending]]+Table1[[#This Row],[Wine Spending ]])</f>
        <v>1869</v>
      </c>
      <c r="Q210">
        <v>1</v>
      </c>
      <c r="R210">
        <v>3</v>
      </c>
      <c r="S210">
        <v>6</v>
      </c>
      <c r="T210">
        <v>7</v>
      </c>
      <c r="U210">
        <f>SUM(Table1[[#This Row],[Store_Purchases]]+Table1[[#This Row],[Catalog_Purchases]]+Table1[[#This Row],[Web_Purchases]]+Table1[[#This Row],[Deal_Purchases]])</f>
        <v>17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f>SUM(Table1[[#This Row],[Accepted_Campaign_2]]+Table1[[#This Row],[Accepted_Campaign_1]]+Table1[[#This Row],[Accepted_Campaign_5]]+Table1[[#This Row],[Accepted_Campaign_4]]+Table1[[#This Row],[Accepted_Campaign_3]])</f>
        <v>0</v>
      </c>
      <c r="AC210">
        <v>0</v>
      </c>
      <c r="AD210">
        <v>0</v>
      </c>
    </row>
    <row r="211" spans="1:30" x14ac:dyDescent="0.25">
      <c r="A211">
        <v>41787</v>
      </c>
      <c r="B211">
        <v>263</v>
      </c>
      <c r="C211">
        <v>1945</v>
      </c>
      <c r="D211" t="s">
        <v>8</v>
      </c>
      <c r="E211" t="s">
        <v>14</v>
      </c>
      <c r="F211" t="s">
        <v>9</v>
      </c>
      <c r="G211">
        <v>45576</v>
      </c>
      <c r="H211">
        <v>0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f>SUM(Table1[[#This Row],[Gold Spending]]+Table1[[#This Row],[Sweet Spending]]+Table1[[#This Row],[Fish Spending]]+Table1[[#This Row],[Meat Spending]]+Table1[[#This Row],[Fruits Spending]]+Table1[[#This Row],[Wine Spending ]])</f>
        <v>145</v>
      </c>
      <c r="Q211">
        <v>1</v>
      </c>
      <c r="R211">
        <v>3</v>
      </c>
      <c r="S211">
        <v>1</v>
      </c>
      <c r="T211">
        <v>3</v>
      </c>
      <c r="U211">
        <f>SUM(Table1[[#This Row],[Store_Purchases]]+Table1[[#This Row],[Catalog_Purchases]]+Table1[[#This Row],[Web_Purchases]]+Table1[[#This Row],[Deal_Purchases]])</f>
        <v>8</v>
      </c>
      <c r="V211">
        <v>8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>SUM(Table1[[#This Row],[Accepted_Campaign_2]]+Table1[[#This Row],[Accepted_Campaign_1]]+Table1[[#This Row],[Accepted_Campaign_5]]+Table1[[#This Row],[Accepted_Campaign_4]]+Table1[[#This Row],[Accepted_Campaign_3]])</f>
        <v>0</v>
      </c>
      <c r="AC211">
        <v>1</v>
      </c>
      <c r="AD211">
        <v>0</v>
      </c>
    </row>
    <row r="212" spans="1:30" x14ac:dyDescent="0.25">
      <c r="A212">
        <v>41787</v>
      </c>
      <c r="B212">
        <v>4619</v>
      </c>
      <c r="C212">
        <v>1945</v>
      </c>
      <c r="D212" t="s">
        <v>8</v>
      </c>
      <c r="E212" t="s">
        <v>14</v>
      </c>
      <c r="F212" t="s">
        <v>9</v>
      </c>
      <c r="G212">
        <v>113734</v>
      </c>
      <c r="H212">
        <v>0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f>SUM(Table1[[#This Row],[Gold Spending]]+Table1[[#This Row],[Sweet Spending]]+Table1[[#This Row],[Fish Spending]]+Table1[[#This Row],[Meat Spending]]+Table1[[#This Row],[Fruits Spending]]+Table1[[#This Row],[Wine Spending ]])</f>
        <v>277</v>
      </c>
      <c r="Q212">
        <v>0</v>
      </c>
      <c r="R212">
        <v>27</v>
      </c>
      <c r="S212">
        <v>0</v>
      </c>
      <c r="T212">
        <v>0</v>
      </c>
      <c r="U212">
        <f>SUM(Table1[[#This Row],[Store_Purchases]]+Table1[[#This Row],[Catalog_Purchases]]+Table1[[#This Row],[Web_Purchases]]+Table1[[#This Row],[Deal_Purchases]])</f>
        <v>27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f>SUM(Table1[[#This Row],[Accepted_Campaign_2]]+Table1[[#This Row],[Accepted_Campaign_1]]+Table1[[#This Row],[Accepted_Campaign_5]]+Table1[[#This Row],[Accepted_Campaign_4]]+Table1[[#This Row],[Accepted_Campaign_3]])</f>
        <v>0</v>
      </c>
      <c r="AC212">
        <v>0</v>
      </c>
      <c r="AD212">
        <v>0</v>
      </c>
    </row>
    <row r="213" spans="1:30" x14ac:dyDescent="0.25">
      <c r="A213">
        <v>41777</v>
      </c>
      <c r="B213">
        <v>940</v>
      </c>
      <c r="C213">
        <v>1987</v>
      </c>
      <c r="D213" t="s">
        <v>20</v>
      </c>
      <c r="E213" t="s">
        <v>6</v>
      </c>
      <c r="F213" t="s">
        <v>9</v>
      </c>
      <c r="G213">
        <v>57100</v>
      </c>
      <c r="H213">
        <v>1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f>SUM(Table1[[#This Row],[Gold Spending]]+Table1[[#This Row],[Sweet Spending]]+Table1[[#This Row],[Fish Spending]]+Table1[[#This Row],[Meat Spending]]+Table1[[#This Row],[Fruits Spending]]+Table1[[#This Row],[Wine Spending ]])</f>
        <v>311</v>
      </c>
      <c r="Q213">
        <v>2</v>
      </c>
      <c r="R213">
        <v>3</v>
      </c>
      <c r="S213">
        <v>2</v>
      </c>
      <c r="T213">
        <v>7</v>
      </c>
      <c r="U213">
        <f>SUM(Table1[[#This Row],[Store_Purchases]]+Table1[[#This Row],[Catalog_Purchases]]+Table1[[#This Row],[Web_Purchases]]+Table1[[#This Row],[Deal_Purchases]])</f>
        <v>14</v>
      </c>
      <c r="V213">
        <v>3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f>SUM(Table1[[#This Row],[Accepted_Campaign_2]]+Table1[[#This Row],[Accepted_Campaign_1]]+Table1[[#This Row],[Accepted_Campaign_5]]+Table1[[#This Row],[Accepted_Campaign_4]]+Table1[[#This Row],[Accepted_Campaign_3]])</f>
        <v>0</v>
      </c>
      <c r="AC213">
        <v>0</v>
      </c>
      <c r="AD213">
        <v>0</v>
      </c>
    </row>
    <row r="214" spans="1:30" x14ac:dyDescent="0.25">
      <c r="A214">
        <v>41777</v>
      </c>
      <c r="B214">
        <v>10084</v>
      </c>
      <c r="C214">
        <v>1972</v>
      </c>
      <c r="D214" t="s">
        <v>17</v>
      </c>
      <c r="E214" t="s">
        <v>6</v>
      </c>
      <c r="F214" t="s">
        <v>11</v>
      </c>
      <c r="G214">
        <v>24434</v>
      </c>
      <c r="H214">
        <v>2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f>SUM(Table1[[#This Row],[Gold Spending]]+Table1[[#This Row],[Sweet Spending]]+Table1[[#This Row],[Fish Spending]]+Table1[[#This Row],[Meat Spending]]+Table1[[#This Row],[Fruits Spending]]+Table1[[#This Row],[Wine Spending ]])</f>
        <v>50</v>
      </c>
      <c r="Q214">
        <v>2</v>
      </c>
      <c r="R214">
        <v>2</v>
      </c>
      <c r="S214">
        <v>1</v>
      </c>
      <c r="T214">
        <v>2</v>
      </c>
      <c r="U214">
        <f>SUM(Table1[[#This Row],[Store_Purchases]]+Table1[[#This Row],[Catalog_Purchases]]+Table1[[#This Row],[Web_Purchases]]+Table1[[#This Row],[Deal_Purchases]])</f>
        <v>7</v>
      </c>
      <c r="V214">
        <v>7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f>SUM(Table1[[#This Row],[Accepted_Campaign_2]]+Table1[[#This Row],[Accepted_Campaign_1]]+Table1[[#This Row],[Accepted_Campaign_5]]+Table1[[#This Row],[Accepted_Campaign_4]]+Table1[[#This Row],[Accepted_Campaign_3]])</f>
        <v>0</v>
      </c>
      <c r="AC214">
        <v>0</v>
      </c>
      <c r="AD214">
        <v>0</v>
      </c>
    </row>
    <row r="215" spans="1:30" x14ac:dyDescent="0.25">
      <c r="A215">
        <v>41728</v>
      </c>
      <c r="B215">
        <v>6019</v>
      </c>
      <c r="C215">
        <v>1971</v>
      </c>
      <c r="D215" t="s">
        <v>8</v>
      </c>
      <c r="E215" t="s">
        <v>14</v>
      </c>
      <c r="F215" t="s">
        <v>11</v>
      </c>
      <c r="G215">
        <v>37126</v>
      </c>
      <c r="H215">
        <v>1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f>SUM(Table1[[#This Row],[Gold Spending]]+Table1[[#This Row],[Sweet Spending]]+Table1[[#This Row],[Fish Spending]]+Table1[[#This Row],[Meat Spending]]+Table1[[#This Row],[Fruits Spending]]+Table1[[#This Row],[Wine Spending ]])</f>
        <v>72</v>
      </c>
      <c r="Q215">
        <v>1</v>
      </c>
      <c r="R215">
        <v>1</v>
      </c>
      <c r="S215">
        <v>2</v>
      </c>
      <c r="T215">
        <v>2</v>
      </c>
      <c r="U215">
        <f>SUM(Table1[[#This Row],[Store_Purchases]]+Table1[[#This Row],[Catalog_Purchases]]+Table1[[#This Row],[Web_Purchases]]+Table1[[#This Row],[Deal_Purchases]])</f>
        <v>6</v>
      </c>
      <c r="V215">
        <v>6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f>SUM(Table1[[#This Row],[Accepted_Campaign_2]]+Table1[[#This Row],[Accepted_Campaign_1]]+Table1[[#This Row],[Accepted_Campaign_5]]+Table1[[#This Row],[Accepted_Campaign_4]]+Table1[[#This Row],[Accepted_Campaign_3]])</f>
        <v>1</v>
      </c>
      <c r="AC215">
        <v>1</v>
      </c>
      <c r="AD215">
        <v>0</v>
      </c>
    </row>
    <row r="216" spans="1:30" x14ac:dyDescent="0.25">
      <c r="A216">
        <v>41727</v>
      </c>
      <c r="B216">
        <v>1463</v>
      </c>
      <c r="C216">
        <v>1958</v>
      </c>
      <c r="D216" t="s">
        <v>13</v>
      </c>
      <c r="E216" t="s">
        <v>6</v>
      </c>
      <c r="F216" t="s">
        <v>9</v>
      </c>
      <c r="G216">
        <v>45160</v>
      </c>
      <c r="H216">
        <v>2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f>SUM(Table1[[#This Row],[Gold Spending]]+Table1[[#This Row],[Sweet Spending]]+Table1[[#This Row],[Fish Spending]]+Table1[[#This Row],[Meat Spending]]+Table1[[#This Row],[Fruits Spending]]+Table1[[#This Row],[Wine Spending ]])</f>
        <v>21</v>
      </c>
      <c r="Q216">
        <v>1</v>
      </c>
      <c r="R216">
        <v>1</v>
      </c>
      <c r="S216">
        <v>0</v>
      </c>
      <c r="T216">
        <v>2</v>
      </c>
      <c r="U216">
        <f>SUM(Table1[[#This Row],[Store_Purchases]]+Table1[[#This Row],[Catalog_Purchases]]+Table1[[#This Row],[Web_Purchases]]+Table1[[#This Row],[Deal_Purchases]])</f>
        <v>4</v>
      </c>
      <c r="V216">
        <v>7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f>SUM(Table1[[#This Row],[Accepted_Campaign_2]]+Table1[[#This Row],[Accepted_Campaign_1]]+Table1[[#This Row],[Accepted_Campaign_5]]+Table1[[#This Row],[Accepted_Campaign_4]]+Table1[[#This Row],[Accepted_Campaign_3]])</f>
        <v>0</v>
      </c>
      <c r="AC216">
        <v>0</v>
      </c>
      <c r="AD216">
        <v>0</v>
      </c>
    </row>
    <row r="217" spans="1:30" x14ac:dyDescent="0.25">
      <c r="A217">
        <v>41669</v>
      </c>
      <c r="B217">
        <v>6424</v>
      </c>
      <c r="C217">
        <v>1977</v>
      </c>
      <c r="D217" t="s">
        <v>8</v>
      </c>
      <c r="E217" t="s">
        <v>6</v>
      </c>
      <c r="F217" t="s">
        <v>12</v>
      </c>
      <c r="G217">
        <v>33178</v>
      </c>
      <c r="H217">
        <v>1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f>SUM(Table1[[#This Row],[Gold Spending]]+Table1[[#This Row],[Sweet Spending]]+Table1[[#This Row],[Fish Spending]]+Table1[[#This Row],[Meat Spending]]+Table1[[#This Row],[Fruits Spending]]+Table1[[#This Row],[Wine Spending ]])</f>
        <v>49</v>
      </c>
      <c r="Q217">
        <v>1</v>
      </c>
      <c r="R217">
        <v>1</v>
      </c>
      <c r="S217">
        <v>0</v>
      </c>
      <c r="T217">
        <v>3</v>
      </c>
      <c r="U217">
        <f>SUM(Table1[[#This Row],[Store_Purchases]]+Table1[[#This Row],[Catalog_Purchases]]+Table1[[#This Row],[Web_Purchases]]+Table1[[#This Row],[Deal_Purchases]])</f>
        <v>5</v>
      </c>
      <c r="V217">
        <v>4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f>SUM(Table1[[#This Row],[Accepted_Campaign_2]]+Table1[[#This Row],[Accepted_Campaign_1]]+Table1[[#This Row],[Accepted_Campaign_5]]+Table1[[#This Row],[Accepted_Campaign_4]]+Table1[[#This Row],[Accepted_Campaign_3]])</f>
        <v>0</v>
      </c>
      <c r="AC217">
        <v>0</v>
      </c>
      <c r="AD217">
        <v>0</v>
      </c>
    </row>
    <row r="218" spans="1:30" x14ac:dyDescent="0.25">
      <c r="A218">
        <v>41665</v>
      </c>
      <c r="B218">
        <v>8233</v>
      </c>
      <c r="C218">
        <v>1950</v>
      </c>
      <c r="D218" t="s">
        <v>10</v>
      </c>
      <c r="E218" t="s">
        <v>18</v>
      </c>
      <c r="F218" t="s">
        <v>19</v>
      </c>
      <c r="G218">
        <v>64866</v>
      </c>
      <c r="H218">
        <v>1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f>SUM(Table1[[#This Row],[Gold Spending]]+Table1[[#This Row],[Sweet Spending]]+Table1[[#This Row],[Fish Spending]]+Table1[[#This Row],[Meat Spending]]+Table1[[#This Row],[Fruits Spending]]+Table1[[#This Row],[Wine Spending ]])</f>
        <v>556</v>
      </c>
      <c r="Q218">
        <v>4</v>
      </c>
      <c r="R218">
        <v>7</v>
      </c>
      <c r="S218">
        <v>3</v>
      </c>
      <c r="T218">
        <v>7</v>
      </c>
      <c r="U218">
        <f>SUM(Table1[[#This Row],[Store_Purchases]]+Table1[[#This Row],[Catalog_Purchases]]+Table1[[#This Row],[Web_Purchases]]+Table1[[#This Row],[Deal_Purchases]])</f>
        <v>21</v>
      </c>
      <c r="V218">
        <v>5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f>SUM(Table1[[#This Row],[Accepted_Campaign_2]]+Table1[[#This Row],[Accepted_Campaign_1]]+Table1[[#This Row],[Accepted_Campaign_5]]+Table1[[#This Row],[Accepted_Campaign_4]]+Table1[[#This Row],[Accepted_Campaign_3]])</f>
        <v>1</v>
      </c>
      <c r="AC218">
        <v>0</v>
      </c>
      <c r="AD218">
        <v>0</v>
      </c>
    </row>
    <row r="219" spans="1:30" x14ac:dyDescent="0.25">
      <c r="A219">
        <v>41661</v>
      </c>
      <c r="B219">
        <v>1515</v>
      </c>
      <c r="C219">
        <v>1975</v>
      </c>
      <c r="D219" t="s">
        <v>10</v>
      </c>
      <c r="E219" t="s">
        <v>18</v>
      </c>
      <c r="F219" t="s">
        <v>12</v>
      </c>
      <c r="G219">
        <v>34176</v>
      </c>
      <c r="H219">
        <v>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f>SUM(Table1[[#This Row],[Gold Spending]]+Table1[[#This Row],[Sweet Spending]]+Table1[[#This Row],[Fish Spending]]+Table1[[#This Row],[Meat Spending]]+Table1[[#This Row],[Fruits Spending]]+Table1[[#This Row],[Wine Spending ]])</f>
        <v>28</v>
      </c>
      <c r="Q219">
        <v>1</v>
      </c>
      <c r="R219">
        <v>1</v>
      </c>
      <c r="S219">
        <v>0</v>
      </c>
      <c r="T219">
        <v>3</v>
      </c>
      <c r="U219">
        <f>SUM(Table1[[#This Row],[Store_Purchases]]+Table1[[#This Row],[Catalog_Purchases]]+Table1[[#This Row],[Web_Purchases]]+Table1[[#This Row],[Deal_Purchases]])</f>
        <v>5</v>
      </c>
      <c r="V219">
        <v>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f>SUM(Table1[[#This Row],[Accepted_Campaign_2]]+Table1[[#This Row],[Accepted_Campaign_1]]+Table1[[#This Row],[Accepted_Campaign_5]]+Table1[[#This Row],[Accepted_Campaign_4]]+Table1[[#This Row],[Accepted_Campaign_3]])</f>
        <v>0</v>
      </c>
      <c r="AC219">
        <v>0</v>
      </c>
      <c r="AD219">
        <v>0</v>
      </c>
    </row>
    <row r="220" spans="1:30" x14ac:dyDescent="0.25">
      <c r="A220">
        <v>41661</v>
      </c>
      <c r="B220">
        <v>10855</v>
      </c>
      <c r="C220">
        <v>1968</v>
      </c>
      <c r="D220" t="s">
        <v>8</v>
      </c>
      <c r="E220" t="s">
        <v>18</v>
      </c>
      <c r="F220" t="s">
        <v>9</v>
      </c>
      <c r="G220">
        <v>50014</v>
      </c>
      <c r="H220">
        <v>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f>SUM(Table1[[#This Row],[Gold Spending]]+Table1[[#This Row],[Sweet Spending]]+Table1[[#This Row],[Fish Spending]]+Table1[[#This Row],[Meat Spending]]+Table1[[#This Row],[Fruits Spending]]+Table1[[#This Row],[Wine Spending ]])</f>
        <v>396</v>
      </c>
      <c r="Q220">
        <v>2</v>
      </c>
      <c r="R220">
        <v>4</v>
      </c>
      <c r="S220">
        <v>1</v>
      </c>
      <c r="T220">
        <v>8</v>
      </c>
      <c r="U220">
        <f>SUM(Table1[[#This Row],[Store_Purchases]]+Table1[[#This Row],[Catalog_Purchases]]+Table1[[#This Row],[Web_Purchases]]+Table1[[#This Row],[Deal_Purchases]])</f>
        <v>15</v>
      </c>
      <c r="V220">
        <v>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f>SUM(Table1[[#This Row],[Accepted_Campaign_2]]+Table1[[#This Row],[Accepted_Campaign_1]]+Table1[[#This Row],[Accepted_Campaign_5]]+Table1[[#This Row],[Accepted_Campaign_4]]+Table1[[#This Row],[Accepted_Campaign_3]])</f>
        <v>0</v>
      </c>
      <c r="AC220">
        <v>0</v>
      </c>
      <c r="AD220">
        <v>0</v>
      </c>
    </row>
    <row r="221" spans="1:30" x14ac:dyDescent="0.25">
      <c r="A221">
        <v>41654</v>
      </c>
      <c r="B221">
        <v>10909</v>
      </c>
      <c r="C221">
        <v>1948</v>
      </c>
      <c r="D221" t="s">
        <v>13</v>
      </c>
      <c r="E221" t="s">
        <v>6</v>
      </c>
      <c r="F221" t="s">
        <v>11</v>
      </c>
      <c r="G221">
        <v>92344</v>
      </c>
      <c r="H221">
        <v>0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f>SUM(Table1[[#This Row],[Gold Spending]]+Table1[[#This Row],[Sweet Spending]]+Table1[[#This Row],[Fish Spending]]+Table1[[#This Row],[Meat Spending]]+Table1[[#This Row],[Fruits Spending]]+Table1[[#This Row],[Wine Spending ]])</f>
        <v>1899</v>
      </c>
      <c r="Q221">
        <v>0</v>
      </c>
      <c r="R221">
        <v>5</v>
      </c>
      <c r="S221">
        <v>10</v>
      </c>
      <c r="T221">
        <v>5</v>
      </c>
      <c r="U221">
        <f>SUM(Table1[[#This Row],[Store_Purchases]]+Table1[[#This Row],[Catalog_Purchases]]+Table1[[#This Row],[Web_Purchases]]+Table1[[#This Row],[Deal_Purchases]])</f>
        <v>20</v>
      </c>
      <c r="V221">
        <v>1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f>SUM(Table1[[#This Row],[Accepted_Campaign_2]]+Table1[[#This Row],[Accepted_Campaign_1]]+Table1[[#This Row],[Accepted_Campaign_5]]+Table1[[#This Row],[Accepted_Campaign_4]]+Table1[[#This Row],[Accepted_Campaign_3]])</f>
        <v>2</v>
      </c>
      <c r="AC221">
        <v>0</v>
      </c>
      <c r="AD221">
        <v>0</v>
      </c>
    </row>
    <row r="222" spans="1:30" x14ac:dyDescent="0.25">
      <c r="A222">
        <v>41621</v>
      </c>
      <c r="B222">
        <v>3376</v>
      </c>
      <c r="C222">
        <v>1970</v>
      </c>
      <c r="D222" t="s">
        <v>8</v>
      </c>
      <c r="E222" t="s">
        <v>18</v>
      </c>
      <c r="F222" t="s">
        <v>7</v>
      </c>
      <c r="G222">
        <v>55282</v>
      </c>
      <c r="H222">
        <v>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f>SUM(Table1[[#This Row],[Gold Spending]]+Table1[[#This Row],[Sweet Spending]]+Table1[[#This Row],[Fish Spending]]+Table1[[#This Row],[Meat Spending]]+Table1[[#This Row],[Fruits Spending]]+Table1[[#This Row],[Wine Spending ]])</f>
        <v>235</v>
      </c>
      <c r="Q222">
        <v>1</v>
      </c>
      <c r="R222">
        <v>3</v>
      </c>
      <c r="S222">
        <v>1</v>
      </c>
      <c r="T222">
        <v>6</v>
      </c>
      <c r="U222">
        <f>SUM(Table1[[#This Row],[Store_Purchases]]+Table1[[#This Row],[Catalog_Purchases]]+Table1[[#This Row],[Web_Purchases]]+Table1[[#This Row],[Deal_Purchases]])</f>
        <v>11</v>
      </c>
      <c r="V222">
        <v>4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f>SUM(Table1[[#This Row],[Accepted_Campaign_2]]+Table1[[#This Row],[Accepted_Campaign_1]]+Table1[[#This Row],[Accepted_Campaign_5]]+Table1[[#This Row],[Accepted_Campaign_4]]+Table1[[#This Row],[Accepted_Campaign_3]])</f>
        <v>0</v>
      </c>
      <c r="AC222">
        <v>0</v>
      </c>
      <c r="AD222">
        <v>0</v>
      </c>
    </row>
    <row r="223" spans="1:30" x14ac:dyDescent="0.25">
      <c r="A223">
        <v>41583</v>
      </c>
      <c r="B223">
        <v>10232</v>
      </c>
      <c r="C223">
        <v>1963</v>
      </c>
      <c r="D223" t="s">
        <v>8</v>
      </c>
      <c r="E223" t="s">
        <v>14</v>
      </c>
      <c r="F223" t="s">
        <v>7</v>
      </c>
      <c r="G223">
        <v>48799</v>
      </c>
      <c r="H223">
        <v>1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f>SUM(Table1[[#This Row],[Gold Spending]]+Table1[[#This Row],[Sweet Spending]]+Table1[[#This Row],[Fish Spending]]+Table1[[#This Row],[Meat Spending]]+Table1[[#This Row],[Fruits Spending]]+Table1[[#This Row],[Wine Spending ]])</f>
        <v>331</v>
      </c>
      <c r="Q223">
        <v>3</v>
      </c>
      <c r="R223">
        <v>3</v>
      </c>
      <c r="S223">
        <v>2</v>
      </c>
      <c r="T223">
        <v>7</v>
      </c>
      <c r="U223">
        <f>SUM(Table1[[#This Row],[Store_Purchases]]+Table1[[#This Row],[Catalog_Purchases]]+Table1[[#This Row],[Web_Purchases]]+Table1[[#This Row],[Deal_Purchases]])</f>
        <v>15</v>
      </c>
      <c r="V223">
        <v>3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f>SUM(Table1[[#This Row],[Accepted_Campaign_2]]+Table1[[#This Row],[Accepted_Campaign_1]]+Table1[[#This Row],[Accepted_Campaign_5]]+Table1[[#This Row],[Accepted_Campaign_4]]+Table1[[#This Row],[Accepted_Campaign_3]])</f>
        <v>0</v>
      </c>
      <c r="AC223">
        <v>0</v>
      </c>
      <c r="AD223">
        <v>0</v>
      </c>
    </row>
    <row r="224" spans="1:30" x14ac:dyDescent="0.25">
      <c r="A224">
        <v>41493</v>
      </c>
      <c r="B224">
        <v>5547</v>
      </c>
      <c r="C224">
        <v>1982</v>
      </c>
      <c r="D224" t="s">
        <v>8</v>
      </c>
      <c r="E224" t="s">
        <v>14</v>
      </c>
      <c r="F224" t="s">
        <v>11</v>
      </c>
      <c r="G224">
        <v>84169</v>
      </c>
      <c r="H224">
        <v>0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f>SUM(Table1[[#This Row],[Gold Spending]]+Table1[[#This Row],[Sweet Spending]]+Table1[[#This Row],[Fish Spending]]+Table1[[#This Row],[Meat Spending]]+Table1[[#This Row],[Fruits Spending]]+Table1[[#This Row],[Wine Spending ]])</f>
        <v>1919</v>
      </c>
      <c r="Q224">
        <v>1</v>
      </c>
      <c r="R224">
        <v>7</v>
      </c>
      <c r="S224">
        <v>6</v>
      </c>
      <c r="T224">
        <v>6</v>
      </c>
      <c r="U224">
        <f>SUM(Table1[[#This Row],[Store_Purchases]]+Table1[[#This Row],[Catalog_Purchases]]+Table1[[#This Row],[Web_Purchases]]+Table1[[#This Row],[Deal_Purchases]])</f>
        <v>20</v>
      </c>
      <c r="V224">
        <v>3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f>SUM(Table1[[#This Row],[Accepted_Campaign_2]]+Table1[[#This Row],[Accepted_Campaign_1]]+Table1[[#This Row],[Accepted_Campaign_5]]+Table1[[#This Row],[Accepted_Campaign_4]]+Table1[[#This Row],[Accepted_Campaign_3]])</f>
        <v>2</v>
      </c>
      <c r="AC224">
        <v>1</v>
      </c>
      <c r="AD224">
        <v>0</v>
      </c>
    </row>
    <row r="225" spans="1:30" x14ac:dyDescent="0.25">
      <c r="A225">
        <v>41493</v>
      </c>
      <c r="B225">
        <v>8362</v>
      </c>
      <c r="C225">
        <v>1982</v>
      </c>
      <c r="D225" t="s">
        <v>20</v>
      </c>
      <c r="E225" t="s">
        <v>14</v>
      </c>
      <c r="F225" t="s">
        <v>11</v>
      </c>
      <c r="G225">
        <v>84169</v>
      </c>
      <c r="H225">
        <v>0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f>SUM(Table1[[#This Row],[Gold Spending]]+Table1[[#This Row],[Sweet Spending]]+Table1[[#This Row],[Fish Spending]]+Table1[[#This Row],[Meat Spending]]+Table1[[#This Row],[Fruits Spending]]+Table1[[#This Row],[Wine Spending ]])</f>
        <v>1919</v>
      </c>
      <c r="Q225">
        <v>1</v>
      </c>
      <c r="R225">
        <v>7</v>
      </c>
      <c r="S225">
        <v>6</v>
      </c>
      <c r="T225">
        <v>6</v>
      </c>
      <c r="U225">
        <f>SUM(Table1[[#This Row],[Store_Purchases]]+Table1[[#This Row],[Catalog_Purchases]]+Table1[[#This Row],[Web_Purchases]]+Table1[[#This Row],[Deal_Purchases]])</f>
        <v>20</v>
      </c>
      <c r="V225">
        <v>3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f>SUM(Table1[[#This Row],[Accepted_Campaign_2]]+Table1[[#This Row],[Accepted_Campaign_1]]+Table1[[#This Row],[Accepted_Campaign_5]]+Table1[[#This Row],[Accepted_Campaign_4]]+Table1[[#This Row],[Accepted_Campaign_3]])</f>
        <v>2</v>
      </c>
      <c r="AC225">
        <v>1</v>
      </c>
      <c r="AD225">
        <v>0</v>
      </c>
    </row>
    <row r="226" spans="1:30" x14ac:dyDescent="0.25">
      <c r="A226">
        <v>41490</v>
      </c>
      <c r="B226">
        <v>3524</v>
      </c>
      <c r="C226">
        <v>1971</v>
      </c>
      <c r="D226" t="s">
        <v>8</v>
      </c>
      <c r="E226" t="s">
        <v>18</v>
      </c>
      <c r="F226" t="s">
        <v>9</v>
      </c>
      <c r="G226">
        <v>39763</v>
      </c>
      <c r="H226">
        <v>1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f>SUM(Table1[[#This Row],[Gold Spending]]+Table1[[#This Row],[Sweet Spending]]+Table1[[#This Row],[Fish Spending]]+Table1[[#This Row],[Meat Spending]]+Table1[[#This Row],[Fruits Spending]]+Table1[[#This Row],[Wine Spending ]])</f>
        <v>167</v>
      </c>
      <c r="Q226">
        <v>2</v>
      </c>
      <c r="R226">
        <v>5</v>
      </c>
      <c r="S226">
        <v>1</v>
      </c>
      <c r="T226">
        <v>2</v>
      </c>
      <c r="U226">
        <f>SUM(Table1[[#This Row],[Store_Purchases]]+Table1[[#This Row],[Catalog_Purchases]]+Table1[[#This Row],[Web_Purchases]]+Table1[[#This Row],[Deal_Purchases]])</f>
        <v>10</v>
      </c>
      <c r="V226">
        <v>9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f>SUM(Table1[[#This Row],[Accepted_Campaign_2]]+Table1[[#This Row],[Accepted_Campaign_1]]+Table1[[#This Row],[Accepted_Campaign_5]]+Table1[[#This Row],[Accepted_Campaign_4]]+Table1[[#This Row],[Accepted_Campaign_3]])</f>
        <v>0</v>
      </c>
      <c r="AC226">
        <v>1</v>
      </c>
      <c r="AD226">
        <v>0</v>
      </c>
    </row>
    <row r="227" spans="1:30" x14ac:dyDescent="0.25">
      <c r="A227">
        <v>41395</v>
      </c>
      <c r="B227">
        <v>10095</v>
      </c>
      <c r="C227">
        <v>1975</v>
      </c>
      <c r="D227" t="s">
        <v>10</v>
      </c>
      <c r="E227" t="s">
        <v>14</v>
      </c>
      <c r="F227" t="s">
        <v>7</v>
      </c>
      <c r="G227">
        <v>74165</v>
      </c>
      <c r="H227">
        <v>0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f>SUM(Table1[[#This Row],[Gold Spending]]+Table1[[#This Row],[Sweet Spending]]+Table1[[#This Row],[Fish Spending]]+Table1[[#This Row],[Meat Spending]]+Table1[[#This Row],[Fruits Spending]]+Table1[[#This Row],[Wine Spending ]])</f>
        <v>1293</v>
      </c>
      <c r="Q227">
        <v>1</v>
      </c>
      <c r="R227">
        <v>5</v>
      </c>
      <c r="S227">
        <v>4</v>
      </c>
      <c r="T227">
        <v>10</v>
      </c>
      <c r="U227">
        <f>SUM(Table1[[#This Row],[Store_Purchases]]+Table1[[#This Row],[Catalog_Purchases]]+Table1[[#This Row],[Web_Purchases]]+Table1[[#This Row],[Deal_Purchases]])</f>
        <v>20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f>SUM(Table1[[#This Row],[Accepted_Campaign_2]]+Table1[[#This Row],[Accepted_Campaign_1]]+Table1[[#This Row],[Accepted_Campaign_5]]+Table1[[#This Row],[Accepted_Campaign_4]]+Table1[[#This Row],[Accepted_Campaign_3]])</f>
        <v>0</v>
      </c>
      <c r="AC227">
        <v>0</v>
      </c>
      <c r="AD227">
        <v>0</v>
      </c>
    </row>
    <row r="228" spans="1:30" x14ac:dyDescent="0.25">
      <c r="A228">
        <v>41388</v>
      </c>
      <c r="B228">
        <v>8897</v>
      </c>
      <c r="C228">
        <v>1965</v>
      </c>
      <c r="D228" t="s">
        <v>16</v>
      </c>
      <c r="E228" t="s">
        <v>6</v>
      </c>
      <c r="F228" t="s">
        <v>9</v>
      </c>
      <c r="G228">
        <v>42720</v>
      </c>
      <c r="H228">
        <v>2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f>SUM(Table1[[#This Row],[Gold Spending]]+Table1[[#This Row],[Sweet Spending]]+Table1[[#This Row],[Fish Spending]]+Table1[[#This Row],[Meat Spending]]+Table1[[#This Row],[Fruits Spending]]+Table1[[#This Row],[Wine Spending ]])</f>
        <v>654</v>
      </c>
      <c r="Q228">
        <v>8</v>
      </c>
      <c r="R228">
        <v>7</v>
      </c>
      <c r="S228">
        <v>3</v>
      </c>
      <c r="T228">
        <v>7</v>
      </c>
      <c r="U228">
        <f>SUM(Table1[[#This Row],[Store_Purchases]]+Table1[[#This Row],[Catalog_Purchases]]+Table1[[#This Row],[Web_Purchases]]+Table1[[#This Row],[Deal_Purchases]])</f>
        <v>25</v>
      </c>
      <c r="V228">
        <v>8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f>SUM(Table1[[#This Row],[Accepted_Campaign_2]]+Table1[[#This Row],[Accepted_Campaign_1]]+Table1[[#This Row],[Accepted_Campaign_5]]+Table1[[#This Row],[Accepted_Campaign_4]]+Table1[[#This Row],[Accepted_Campaign_3]])</f>
        <v>0</v>
      </c>
      <c r="AC228">
        <v>1</v>
      </c>
      <c r="AD228">
        <v>0</v>
      </c>
    </row>
    <row r="229" spans="1:30" x14ac:dyDescent="0.25">
      <c r="A229">
        <v>41367</v>
      </c>
      <c r="B229">
        <v>466</v>
      </c>
      <c r="C229">
        <v>1944</v>
      </c>
      <c r="D229" t="s">
        <v>8</v>
      </c>
      <c r="E229" t="s">
        <v>6</v>
      </c>
      <c r="F229" t="s">
        <v>11</v>
      </c>
      <c r="G229">
        <v>65275</v>
      </c>
      <c r="H229">
        <v>0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f>SUM(Table1[[#This Row],[Gold Spending]]+Table1[[#This Row],[Sweet Spending]]+Table1[[#This Row],[Fish Spending]]+Table1[[#This Row],[Meat Spending]]+Table1[[#This Row],[Fruits Spending]]+Table1[[#This Row],[Wine Spending ]])</f>
        <v>746</v>
      </c>
      <c r="Q229">
        <v>1</v>
      </c>
      <c r="R229">
        <v>4</v>
      </c>
      <c r="S229">
        <v>3</v>
      </c>
      <c r="T229">
        <v>13</v>
      </c>
      <c r="U229">
        <f>SUM(Table1[[#This Row],[Store_Purchases]]+Table1[[#This Row],[Catalog_Purchases]]+Table1[[#This Row],[Web_Purchases]]+Table1[[#This Row],[Deal_Purchases]])</f>
        <v>21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f>SUM(Table1[[#This Row],[Accepted_Campaign_2]]+Table1[[#This Row],[Accepted_Campaign_1]]+Table1[[#This Row],[Accepted_Campaign_5]]+Table1[[#This Row],[Accepted_Campaign_4]]+Table1[[#This Row],[Accepted_Campaign_3]])</f>
        <v>0</v>
      </c>
      <c r="AC229">
        <v>0</v>
      </c>
      <c r="AD229">
        <v>0</v>
      </c>
    </row>
    <row r="230" spans="1:30" x14ac:dyDescent="0.25">
      <c r="A230">
        <v>41308</v>
      </c>
      <c r="B230">
        <v>11025</v>
      </c>
      <c r="C230">
        <v>1961</v>
      </c>
      <c r="D230" t="s">
        <v>8</v>
      </c>
      <c r="E230" t="s">
        <v>6</v>
      </c>
      <c r="F230" t="s">
        <v>11</v>
      </c>
      <c r="G230">
        <v>36443</v>
      </c>
      <c r="H230">
        <v>2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f>SUM(Table1[[#This Row],[Gold Spending]]+Table1[[#This Row],[Sweet Spending]]+Table1[[#This Row],[Fish Spending]]+Table1[[#This Row],[Meat Spending]]+Table1[[#This Row],[Fruits Spending]]+Table1[[#This Row],[Wine Spending ]])</f>
        <v>138</v>
      </c>
      <c r="Q230">
        <v>4</v>
      </c>
      <c r="R230">
        <v>3</v>
      </c>
      <c r="S230">
        <v>1</v>
      </c>
      <c r="T230">
        <v>3</v>
      </c>
      <c r="U230">
        <f>SUM(Table1[[#This Row],[Store_Purchases]]+Table1[[#This Row],[Catalog_Purchases]]+Table1[[#This Row],[Web_Purchases]]+Table1[[#This Row],[Deal_Purchases]])</f>
        <v>11</v>
      </c>
      <c r="V230">
        <v>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f>SUM(Table1[[#This Row],[Accepted_Campaign_2]]+Table1[[#This Row],[Accepted_Campaign_1]]+Table1[[#This Row],[Accepted_Campaign_5]]+Table1[[#This Row],[Accepted_Campaign_4]]+Table1[[#This Row],[Accepted_Campaign_3]])</f>
        <v>0</v>
      </c>
      <c r="AC230">
        <v>0</v>
      </c>
      <c r="AD230">
        <v>0</v>
      </c>
    </row>
    <row r="231" spans="1:30" x14ac:dyDescent="0.25">
      <c r="A231">
        <v>41308</v>
      </c>
      <c r="B231">
        <v>2387</v>
      </c>
      <c r="C231">
        <v>1952</v>
      </c>
      <c r="D231" t="s">
        <v>20</v>
      </c>
      <c r="E231" t="s">
        <v>18</v>
      </c>
      <c r="F231" t="s">
        <v>12</v>
      </c>
      <c r="G231">
        <v>43776</v>
      </c>
      <c r="H231">
        <v>2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f>SUM(Table1[[#This Row],[Gold Spending]]+Table1[[#This Row],[Sweet Spending]]+Table1[[#This Row],[Fish Spending]]+Table1[[#This Row],[Meat Spending]]+Table1[[#This Row],[Fruits Spending]]+Table1[[#This Row],[Wine Spending ]])</f>
        <v>275</v>
      </c>
      <c r="Q231">
        <v>6</v>
      </c>
      <c r="R231">
        <v>5</v>
      </c>
      <c r="S231">
        <v>2</v>
      </c>
      <c r="T231">
        <v>4</v>
      </c>
      <c r="U231">
        <f>SUM(Table1[[#This Row],[Store_Purchases]]+Table1[[#This Row],[Catalog_Purchases]]+Table1[[#This Row],[Web_Purchases]]+Table1[[#This Row],[Deal_Purchases]])</f>
        <v>17</v>
      </c>
      <c r="V231">
        <v>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f>SUM(Table1[[#This Row],[Accepted_Campaign_2]]+Table1[[#This Row],[Accepted_Campaign_1]]+Table1[[#This Row],[Accepted_Campaign_5]]+Table1[[#This Row],[Accepted_Campaign_4]]+Table1[[#This Row],[Accepted_Campaign_3]])</f>
        <v>0</v>
      </c>
      <c r="AC231">
        <v>1</v>
      </c>
      <c r="AD231">
        <v>0</v>
      </c>
    </row>
    <row r="232" spans="1:30" x14ac:dyDescent="0.25">
      <c r="A232">
        <v>41276</v>
      </c>
      <c r="B232">
        <v>1618</v>
      </c>
      <c r="C232">
        <v>1965</v>
      </c>
      <c r="D232" t="s">
        <v>16</v>
      </c>
      <c r="E232" t="s">
        <v>6</v>
      </c>
      <c r="F232" t="s">
        <v>12</v>
      </c>
      <c r="G232">
        <v>56046</v>
      </c>
      <c r="H232">
        <v>0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f>SUM(Table1[[#This Row],[Gold Spending]]+Table1[[#This Row],[Sweet Spending]]+Table1[[#This Row],[Fish Spending]]+Table1[[#This Row],[Meat Spending]]+Table1[[#This Row],[Fruits Spending]]+Table1[[#This Row],[Wine Spending ]])</f>
        <v>692</v>
      </c>
      <c r="Q232">
        <v>2</v>
      </c>
      <c r="R232">
        <v>10</v>
      </c>
      <c r="S232">
        <v>1</v>
      </c>
      <c r="T232">
        <v>8</v>
      </c>
      <c r="U232">
        <f>SUM(Table1[[#This Row],[Store_Purchases]]+Table1[[#This Row],[Catalog_Purchases]]+Table1[[#This Row],[Web_Purchases]]+Table1[[#This Row],[Deal_Purchases]])</f>
        <v>21</v>
      </c>
      <c r="V232">
        <v>8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f>SUM(Table1[[#This Row],[Accepted_Campaign_2]]+Table1[[#This Row],[Accepted_Campaign_1]]+Table1[[#This Row],[Accepted_Campaign_5]]+Table1[[#This Row],[Accepted_Campaign_4]]+Table1[[#This Row],[Accepted_Campaign_3]])</f>
        <v>1</v>
      </c>
      <c r="AC232">
        <v>1</v>
      </c>
      <c r="AD232">
        <v>0</v>
      </c>
    </row>
    <row r="233" spans="1:30" x14ac:dyDescent="0.25">
      <c r="A233">
        <v>41229</v>
      </c>
      <c r="B233">
        <v>25</v>
      </c>
      <c r="C233">
        <v>1958</v>
      </c>
      <c r="D233" t="s">
        <v>10</v>
      </c>
      <c r="E233" t="s">
        <v>6</v>
      </c>
      <c r="F233" t="s">
        <v>11</v>
      </c>
      <c r="G233">
        <v>65148</v>
      </c>
      <c r="H233">
        <v>1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f>SUM(Table1[[#This Row],[Gold Spending]]+Table1[[#This Row],[Sweet Spending]]+Table1[[#This Row],[Fish Spending]]+Table1[[#This Row],[Meat Spending]]+Table1[[#This Row],[Fruits Spending]]+Table1[[#This Row],[Wine Spending ]])</f>
        <v>1115</v>
      </c>
      <c r="Q233">
        <v>2</v>
      </c>
      <c r="R233">
        <v>6</v>
      </c>
      <c r="S233">
        <v>6</v>
      </c>
      <c r="T233">
        <v>7</v>
      </c>
      <c r="U233">
        <f>SUM(Table1[[#This Row],[Store_Purchases]]+Table1[[#This Row],[Catalog_Purchases]]+Table1[[#This Row],[Web_Purchases]]+Table1[[#This Row],[Deal_Purchases]])</f>
        <v>21</v>
      </c>
      <c r="V233">
        <v>4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f>SUM(Table1[[#This Row],[Accepted_Campaign_2]]+Table1[[#This Row],[Accepted_Campaign_1]]+Table1[[#This Row],[Accepted_Campaign_5]]+Table1[[#This Row],[Accepted_Campaign_4]]+Table1[[#This Row],[Accepted_Campaign_3]])</f>
        <v>0</v>
      </c>
      <c r="AC233">
        <v>0</v>
      </c>
      <c r="AD233">
        <v>0</v>
      </c>
    </row>
    <row r="234" spans="1:30" x14ac:dyDescent="0.25">
      <c r="A234">
        <v>41124</v>
      </c>
      <c r="B234">
        <v>3277</v>
      </c>
      <c r="C234">
        <v>1955</v>
      </c>
      <c r="D234" t="s">
        <v>8</v>
      </c>
      <c r="E234" t="s">
        <v>6</v>
      </c>
      <c r="F234" t="s">
        <v>7</v>
      </c>
      <c r="G234">
        <v>49431</v>
      </c>
      <c r="H234">
        <v>1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f>SUM(Table1[[#This Row],[Gold Spending]]+Table1[[#This Row],[Sweet Spending]]+Table1[[#This Row],[Fish Spending]]+Table1[[#This Row],[Meat Spending]]+Table1[[#This Row],[Fruits Spending]]+Table1[[#This Row],[Wine Spending ]])</f>
        <v>365</v>
      </c>
      <c r="Q234">
        <v>2</v>
      </c>
      <c r="R234">
        <v>7</v>
      </c>
      <c r="S234">
        <v>1</v>
      </c>
      <c r="T234">
        <v>5</v>
      </c>
      <c r="U234">
        <f>SUM(Table1[[#This Row],[Store_Purchases]]+Table1[[#This Row],[Catalog_Purchases]]+Table1[[#This Row],[Web_Purchases]]+Table1[[#This Row],[Deal_Purchases]])</f>
        <v>15</v>
      </c>
      <c r="V234">
        <v>8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f>SUM(Table1[[#This Row],[Accepted_Campaign_2]]+Table1[[#This Row],[Accepted_Campaign_1]]+Table1[[#This Row],[Accepted_Campaign_5]]+Table1[[#This Row],[Accepted_Campaign_4]]+Table1[[#This Row],[Accepted_Campaign_3]])</f>
        <v>0</v>
      </c>
      <c r="AC234">
        <v>0</v>
      </c>
      <c r="AD234">
        <v>0</v>
      </c>
    </row>
    <row r="235" spans="1:30" x14ac:dyDescent="0.25">
      <c r="A235">
        <v>41805</v>
      </c>
      <c r="B235">
        <v>8566</v>
      </c>
      <c r="C235">
        <v>1961</v>
      </c>
      <c r="D235" t="s">
        <v>8</v>
      </c>
      <c r="E235" t="s">
        <v>14</v>
      </c>
      <c r="F235" t="s">
        <v>12</v>
      </c>
      <c r="G235">
        <v>32583</v>
      </c>
      <c r="H235">
        <v>2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f>SUM(Table1[[#This Row],[Gold Spending]]+Table1[[#This Row],[Sweet Spending]]+Table1[[#This Row],[Fish Spending]]+Table1[[#This Row],[Meat Spending]]+Table1[[#This Row],[Fruits Spending]]+Table1[[#This Row],[Wine Spending ]])</f>
        <v>9</v>
      </c>
      <c r="Q235">
        <v>1</v>
      </c>
      <c r="R235">
        <v>1</v>
      </c>
      <c r="S235">
        <v>0</v>
      </c>
      <c r="T235">
        <v>2</v>
      </c>
      <c r="U235">
        <f>SUM(Table1[[#This Row],[Store_Purchases]]+Table1[[#This Row],[Catalog_Purchases]]+Table1[[#This Row],[Web_Purchases]]+Table1[[#This Row],[Deal_Purchases]])</f>
        <v>4</v>
      </c>
      <c r="V235">
        <v>7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f>SUM(Table1[[#This Row],[Accepted_Campaign_2]]+Table1[[#This Row],[Accepted_Campaign_1]]+Table1[[#This Row],[Accepted_Campaign_5]]+Table1[[#This Row],[Accepted_Campaign_4]]+Table1[[#This Row],[Accepted_Campaign_3]])</f>
        <v>0</v>
      </c>
      <c r="AC235">
        <v>0</v>
      </c>
      <c r="AD235">
        <v>0</v>
      </c>
    </row>
    <row r="236" spans="1:30" x14ac:dyDescent="0.25">
      <c r="A236">
        <v>41747</v>
      </c>
      <c r="B236">
        <v>2634</v>
      </c>
      <c r="C236">
        <v>1979</v>
      </c>
      <c r="D236" t="s">
        <v>8</v>
      </c>
      <c r="E236" t="s">
        <v>18</v>
      </c>
      <c r="F236" t="s">
        <v>9</v>
      </c>
      <c r="G236">
        <v>16653</v>
      </c>
      <c r="H236">
        <v>1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f>SUM(Table1[[#This Row],[Gold Spending]]+Table1[[#This Row],[Sweet Spending]]+Table1[[#This Row],[Fish Spending]]+Table1[[#This Row],[Meat Spending]]+Table1[[#This Row],[Fruits Spending]]+Table1[[#This Row],[Wine Spending ]])</f>
        <v>69</v>
      </c>
      <c r="Q236">
        <v>3</v>
      </c>
      <c r="R236">
        <v>2</v>
      </c>
      <c r="S236">
        <v>1</v>
      </c>
      <c r="T236">
        <v>3</v>
      </c>
      <c r="U236">
        <f>SUM(Table1[[#This Row],[Store_Purchases]]+Table1[[#This Row],[Catalog_Purchases]]+Table1[[#This Row],[Web_Purchases]]+Table1[[#This Row],[Deal_Purchases]])</f>
        <v>9</v>
      </c>
      <c r="V236">
        <v>6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f>SUM(Table1[[#This Row],[Accepted_Campaign_2]]+Table1[[#This Row],[Accepted_Campaign_1]]+Table1[[#This Row],[Accepted_Campaign_5]]+Table1[[#This Row],[Accepted_Campaign_4]]+Table1[[#This Row],[Accepted_Campaign_3]])</f>
        <v>0</v>
      </c>
      <c r="AC236">
        <v>1</v>
      </c>
      <c r="AD236">
        <v>0</v>
      </c>
    </row>
    <row r="237" spans="1:30" x14ac:dyDescent="0.25">
      <c r="A237">
        <v>41747</v>
      </c>
      <c r="B237">
        <v>8036</v>
      </c>
      <c r="C237">
        <v>1971</v>
      </c>
      <c r="D237" t="s">
        <v>8</v>
      </c>
      <c r="E237" t="s">
        <v>15</v>
      </c>
      <c r="F237" t="s">
        <v>12</v>
      </c>
      <c r="G237">
        <v>26850</v>
      </c>
      <c r="H237">
        <v>2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f>SUM(Table1[[#This Row],[Gold Spending]]+Table1[[#This Row],[Sweet Spending]]+Table1[[#This Row],[Fish Spending]]+Table1[[#This Row],[Meat Spending]]+Table1[[#This Row],[Fruits Spending]]+Table1[[#This Row],[Wine Spending ]])</f>
        <v>63</v>
      </c>
      <c r="Q237">
        <v>4</v>
      </c>
      <c r="R237">
        <v>2</v>
      </c>
      <c r="S237">
        <v>1</v>
      </c>
      <c r="T237">
        <v>4</v>
      </c>
      <c r="U237">
        <f>SUM(Table1[[#This Row],[Store_Purchases]]+Table1[[#This Row],[Catalog_Purchases]]+Table1[[#This Row],[Web_Purchases]]+Table1[[#This Row],[Deal_Purchases]])</f>
        <v>11</v>
      </c>
      <c r="V237">
        <v>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f>SUM(Table1[[#This Row],[Accepted_Campaign_2]]+Table1[[#This Row],[Accepted_Campaign_1]]+Table1[[#This Row],[Accepted_Campaign_5]]+Table1[[#This Row],[Accepted_Campaign_4]]+Table1[[#This Row],[Accepted_Campaign_3]])</f>
        <v>0</v>
      </c>
      <c r="AC237">
        <v>0</v>
      </c>
      <c r="AD237">
        <v>0</v>
      </c>
    </row>
    <row r="238" spans="1:30" x14ac:dyDescent="0.25">
      <c r="A238">
        <v>41730</v>
      </c>
      <c r="B238">
        <v>8159</v>
      </c>
      <c r="C238">
        <v>1968</v>
      </c>
      <c r="D238" t="s">
        <v>8</v>
      </c>
      <c r="E238" t="s">
        <v>6</v>
      </c>
      <c r="F238" t="s">
        <v>11</v>
      </c>
      <c r="G238">
        <v>51287</v>
      </c>
      <c r="H238">
        <v>2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f>SUM(Table1[[#This Row],[Gold Spending]]+Table1[[#This Row],[Sweet Spending]]+Table1[[#This Row],[Fish Spending]]+Table1[[#This Row],[Meat Spending]]+Table1[[#This Row],[Fruits Spending]]+Table1[[#This Row],[Wine Spending ]])</f>
        <v>182</v>
      </c>
      <c r="Q238">
        <v>3</v>
      </c>
      <c r="R238">
        <v>4</v>
      </c>
      <c r="S238">
        <v>1</v>
      </c>
      <c r="T238">
        <v>3</v>
      </c>
      <c r="U238">
        <f>SUM(Table1[[#This Row],[Store_Purchases]]+Table1[[#This Row],[Catalog_Purchases]]+Table1[[#This Row],[Web_Purchases]]+Table1[[#This Row],[Deal_Purchases]])</f>
        <v>11</v>
      </c>
      <c r="V238">
        <v>7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f>SUM(Table1[[#This Row],[Accepted_Campaign_2]]+Table1[[#This Row],[Accepted_Campaign_1]]+Table1[[#This Row],[Accepted_Campaign_5]]+Table1[[#This Row],[Accepted_Campaign_4]]+Table1[[#This Row],[Accepted_Campaign_3]])</f>
        <v>0</v>
      </c>
      <c r="AC238">
        <v>0</v>
      </c>
      <c r="AD238">
        <v>0</v>
      </c>
    </row>
    <row r="239" spans="1:30" x14ac:dyDescent="0.25">
      <c r="A239">
        <v>41716</v>
      </c>
      <c r="B239">
        <v>7628</v>
      </c>
      <c r="C239">
        <v>1973</v>
      </c>
      <c r="D239" t="s">
        <v>8</v>
      </c>
      <c r="E239" t="s">
        <v>15</v>
      </c>
      <c r="F239" t="s">
        <v>11</v>
      </c>
      <c r="G239">
        <v>43050</v>
      </c>
      <c r="H239">
        <v>1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f>SUM(Table1[[#This Row],[Gold Spending]]+Table1[[#This Row],[Sweet Spending]]+Table1[[#This Row],[Fish Spending]]+Table1[[#This Row],[Meat Spending]]+Table1[[#This Row],[Fruits Spending]]+Table1[[#This Row],[Wine Spending ]])</f>
        <v>76</v>
      </c>
      <c r="Q239">
        <v>2</v>
      </c>
      <c r="R239">
        <v>2</v>
      </c>
      <c r="S239">
        <v>0</v>
      </c>
      <c r="T239">
        <v>4</v>
      </c>
      <c r="U239">
        <f>SUM(Table1[[#This Row],[Store_Purchases]]+Table1[[#This Row],[Catalog_Purchases]]+Table1[[#This Row],[Web_Purchases]]+Table1[[#This Row],[Deal_Purchases]])</f>
        <v>8</v>
      </c>
      <c r="V239">
        <v>5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f>SUM(Table1[[#This Row],[Accepted_Campaign_2]]+Table1[[#This Row],[Accepted_Campaign_1]]+Table1[[#This Row],[Accepted_Campaign_5]]+Table1[[#This Row],[Accepted_Campaign_4]]+Table1[[#This Row],[Accepted_Campaign_3]])</f>
        <v>0</v>
      </c>
      <c r="AC239">
        <v>0</v>
      </c>
      <c r="AD239">
        <v>0</v>
      </c>
    </row>
    <row r="240" spans="1:30" x14ac:dyDescent="0.25">
      <c r="A240">
        <v>41680</v>
      </c>
      <c r="B240">
        <v>9597</v>
      </c>
      <c r="C240">
        <v>1969</v>
      </c>
      <c r="D240" t="s">
        <v>10</v>
      </c>
      <c r="E240" t="s">
        <v>6</v>
      </c>
      <c r="F240" t="s">
        <v>11</v>
      </c>
      <c r="G240">
        <v>73448</v>
      </c>
      <c r="H240">
        <v>0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f>SUM(Table1[[#This Row],[Gold Spending]]+Table1[[#This Row],[Sweet Spending]]+Table1[[#This Row],[Fish Spending]]+Table1[[#This Row],[Meat Spending]]+Table1[[#This Row],[Fruits Spending]]+Table1[[#This Row],[Wine Spending ]])</f>
        <v>725</v>
      </c>
      <c r="Q240">
        <v>1</v>
      </c>
      <c r="R240">
        <v>7</v>
      </c>
      <c r="S240">
        <v>2</v>
      </c>
      <c r="T240">
        <v>9</v>
      </c>
      <c r="U240">
        <f>SUM(Table1[[#This Row],[Store_Purchases]]+Table1[[#This Row],[Catalog_Purchases]]+Table1[[#This Row],[Web_Purchases]]+Table1[[#This Row],[Deal_Purchases]])</f>
        <v>19</v>
      </c>
      <c r="V240">
        <v>4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>SUM(Table1[[#This Row],[Accepted_Campaign_2]]+Table1[[#This Row],[Accepted_Campaign_1]]+Table1[[#This Row],[Accepted_Campaign_5]]+Table1[[#This Row],[Accepted_Campaign_4]]+Table1[[#This Row],[Accepted_Campaign_3]])</f>
        <v>0</v>
      </c>
      <c r="AC240">
        <v>0</v>
      </c>
      <c r="AD240">
        <v>0</v>
      </c>
    </row>
    <row r="241" spans="1:30" x14ac:dyDescent="0.25">
      <c r="A241">
        <v>41601</v>
      </c>
      <c r="B241">
        <v>1384</v>
      </c>
      <c r="C241">
        <v>1992</v>
      </c>
      <c r="D241" t="s">
        <v>63</v>
      </c>
      <c r="E241" t="s">
        <v>21</v>
      </c>
      <c r="F241" t="s">
        <v>11</v>
      </c>
      <c r="G241">
        <v>17256</v>
      </c>
      <c r="H241">
        <v>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f>SUM(Table1[[#This Row],[Gold Spending]]+Table1[[#This Row],[Sweet Spending]]+Table1[[#This Row],[Fish Spending]]+Table1[[#This Row],[Meat Spending]]+Table1[[#This Row],[Fruits Spending]]+Table1[[#This Row],[Wine Spending ]])</f>
        <v>62</v>
      </c>
      <c r="Q241">
        <v>2</v>
      </c>
      <c r="R241">
        <v>2</v>
      </c>
      <c r="S241">
        <v>1</v>
      </c>
      <c r="T241">
        <v>2</v>
      </c>
      <c r="U241">
        <f>SUM(Table1[[#This Row],[Store_Purchases]]+Table1[[#This Row],[Catalog_Purchases]]+Table1[[#This Row],[Web_Purchases]]+Table1[[#This Row],[Deal_Purchases]])</f>
        <v>7</v>
      </c>
      <c r="V241">
        <v>8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f>SUM(Table1[[#This Row],[Accepted_Campaign_2]]+Table1[[#This Row],[Accepted_Campaign_1]]+Table1[[#This Row],[Accepted_Campaign_5]]+Table1[[#This Row],[Accepted_Campaign_4]]+Table1[[#This Row],[Accepted_Campaign_3]])</f>
        <v>1</v>
      </c>
      <c r="AC241">
        <v>0</v>
      </c>
      <c r="AD241">
        <v>0</v>
      </c>
    </row>
    <row r="242" spans="1:30" x14ac:dyDescent="0.25">
      <c r="A242">
        <v>41599</v>
      </c>
      <c r="B242">
        <v>10150</v>
      </c>
      <c r="C242">
        <v>1961</v>
      </c>
      <c r="D242" t="s">
        <v>20</v>
      </c>
      <c r="E242" t="s">
        <v>6</v>
      </c>
      <c r="F242" t="s">
        <v>9</v>
      </c>
      <c r="G242">
        <v>86429</v>
      </c>
      <c r="H242">
        <v>0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f>SUM(Table1[[#This Row],[Gold Spending]]+Table1[[#This Row],[Sweet Spending]]+Table1[[#This Row],[Fish Spending]]+Table1[[#This Row],[Meat Spending]]+Table1[[#This Row],[Fruits Spending]]+Table1[[#This Row],[Wine Spending ]])</f>
        <v>1449</v>
      </c>
      <c r="Q242">
        <v>0</v>
      </c>
      <c r="R242">
        <v>7</v>
      </c>
      <c r="S242">
        <v>4</v>
      </c>
      <c r="T242">
        <v>7</v>
      </c>
      <c r="U242">
        <f>SUM(Table1[[#This Row],[Store_Purchases]]+Table1[[#This Row],[Catalog_Purchases]]+Table1[[#This Row],[Web_Purchases]]+Table1[[#This Row],[Deal_Purchases]])</f>
        <v>18</v>
      </c>
      <c r="V242">
        <v>2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f>SUM(Table1[[#This Row],[Accepted_Campaign_2]]+Table1[[#This Row],[Accepted_Campaign_1]]+Table1[[#This Row],[Accepted_Campaign_5]]+Table1[[#This Row],[Accepted_Campaign_4]]+Table1[[#This Row],[Accepted_Campaign_3]])</f>
        <v>1</v>
      </c>
      <c r="AC242">
        <v>1</v>
      </c>
      <c r="AD242">
        <v>0</v>
      </c>
    </row>
    <row r="243" spans="1:30" x14ac:dyDescent="0.25">
      <c r="A243">
        <v>41563</v>
      </c>
      <c r="B243">
        <v>3885</v>
      </c>
      <c r="C243">
        <v>1983</v>
      </c>
      <c r="D243" t="s">
        <v>8</v>
      </c>
      <c r="E243" t="s">
        <v>14</v>
      </c>
      <c r="F243" t="s">
        <v>11</v>
      </c>
      <c r="G243">
        <v>33569</v>
      </c>
      <c r="H243">
        <v>1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f>SUM(Table1[[#This Row],[Gold Spending]]+Table1[[#This Row],[Sweet Spending]]+Table1[[#This Row],[Fish Spending]]+Table1[[#This Row],[Meat Spending]]+Table1[[#This Row],[Fruits Spending]]+Table1[[#This Row],[Wine Spending ]])</f>
        <v>63</v>
      </c>
      <c r="Q243">
        <v>1</v>
      </c>
      <c r="R243">
        <v>1</v>
      </c>
      <c r="S243">
        <v>1</v>
      </c>
      <c r="T243">
        <v>2</v>
      </c>
      <c r="U243">
        <f>SUM(Table1[[#This Row],[Store_Purchases]]+Table1[[#This Row],[Catalog_Purchases]]+Table1[[#This Row],[Web_Purchases]]+Table1[[#This Row],[Deal_Purchases]])</f>
        <v>5</v>
      </c>
      <c r="V243">
        <v>8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f>SUM(Table1[[#This Row],[Accepted_Campaign_2]]+Table1[[#This Row],[Accepted_Campaign_1]]+Table1[[#This Row],[Accepted_Campaign_5]]+Table1[[#This Row],[Accepted_Campaign_4]]+Table1[[#This Row],[Accepted_Campaign_3]])</f>
        <v>1</v>
      </c>
      <c r="AC243">
        <v>1</v>
      </c>
      <c r="AD243">
        <v>0</v>
      </c>
    </row>
    <row r="244" spans="1:30" x14ac:dyDescent="0.25">
      <c r="A244">
        <v>41549</v>
      </c>
      <c r="B244">
        <v>11003</v>
      </c>
      <c r="C244">
        <v>1980</v>
      </c>
      <c r="D244" t="s">
        <v>10</v>
      </c>
      <c r="E244" t="s">
        <v>15</v>
      </c>
      <c r="F244" t="s">
        <v>12</v>
      </c>
      <c r="G244">
        <v>25130</v>
      </c>
      <c r="H244">
        <v>1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f>SUM(Table1[[#This Row],[Gold Spending]]+Table1[[#This Row],[Sweet Spending]]+Table1[[#This Row],[Fish Spending]]+Table1[[#This Row],[Meat Spending]]+Table1[[#This Row],[Fruits Spending]]+Table1[[#This Row],[Wine Spending ]])</f>
        <v>50</v>
      </c>
      <c r="Q244">
        <v>2</v>
      </c>
      <c r="R244">
        <v>2</v>
      </c>
      <c r="S244">
        <v>0</v>
      </c>
      <c r="T244">
        <v>3</v>
      </c>
      <c r="U244">
        <f>SUM(Table1[[#This Row],[Store_Purchases]]+Table1[[#This Row],[Catalog_Purchases]]+Table1[[#This Row],[Web_Purchases]]+Table1[[#This Row],[Deal_Purchases]])</f>
        <v>7</v>
      </c>
      <c r="V244">
        <v>7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f>SUM(Table1[[#This Row],[Accepted_Campaign_2]]+Table1[[#This Row],[Accepted_Campaign_1]]+Table1[[#This Row],[Accepted_Campaign_5]]+Table1[[#This Row],[Accepted_Campaign_4]]+Table1[[#This Row],[Accepted_Campaign_3]])</f>
        <v>0</v>
      </c>
      <c r="AC244">
        <v>0</v>
      </c>
      <c r="AD244">
        <v>0</v>
      </c>
    </row>
    <row r="245" spans="1:30" x14ac:dyDescent="0.25">
      <c r="A245">
        <v>41547</v>
      </c>
      <c r="B245">
        <v>8026</v>
      </c>
      <c r="C245">
        <v>1952</v>
      </c>
      <c r="D245" t="s">
        <v>10</v>
      </c>
      <c r="E245" t="s">
        <v>6</v>
      </c>
      <c r="F245" t="s">
        <v>11</v>
      </c>
      <c r="G245">
        <v>62998</v>
      </c>
      <c r="H245">
        <v>1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f>SUM(Table1[[#This Row],[Gold Spending]]+Table1[[#This Row],[Sweet Spending]]+Table1[[#This Row],[Fish Spending]]+Table1[[#This Row],[Meat Spending]]+Table1[[#This Row],[Fruits Spending]]+Table1[[#This Row],[Wine Spending ]])</f>
        <v>463</v>
      </c>
      <c r="Q245">
        <v>5</v>
      </c>
      <c r="R245">
        <v>5</v>
      </c>
      <c r="S245">
        <v>4</v>
      </c>
      <c r="T245">
        <v>5</v>
      </c>
      <c r="U245">
        <f>SUM(Table1[[#This Row],[Store_Purchases]]+Table1[[#This Row],[Catalog_Purchases]]+Table1[[#This Row],[Web_Purchases]]+Table1[[#This Row],[Deal_Purchases]])</f>
        <v>19</v>
      </c>
      <c r="V245">
        <v>5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f>SUM(Table1[[#This Row],[Accepted_Campaign_2]]+Table1[[#This Row],[Accepted_Campaign_1]]+Table1[[#This Row],[Accepted_Campaign_5]]+Table1[[#This Row],[Accepted_Campaign_4]]+Table1[[#This Row],[Accepted_Campaign_3]])</f>
        <v>0</v>
      </c>
      <c r="AC245">
        <v>0</v>
      </c>
      <c r="AD245">
        <v>0</v>
      </c>
    </row>
    <row r="246" spans="1:30" x14ac:dyDescent="0.25">
      <c r="A246">
        <v>41506</v>
      </c>
      <c r="B246">
        <v>577</v>
      </c>
      <c r="C246">
        <v>1976</v>
      </c>
      <c r="D246" t="s">
        <v>8</v>
      </c>
      <c r="E246" t="s">
        <v>15</v>
      </c>
      <c r="F246" t="s">
        <v>12</v>
      </c>
      <c r="G246">
        <v>26907</v>
      </c>
      <c r="H246">
        <v>2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246">
        <v>2</v>
      </c>
      <c r="R246">
        <v>1</v>
      </c>
      <c r="S246">
        <v>0</v>
      </c>
      <c r="T246">
        <v>3</v>
      </c>
      <c r="U246">
        <f>SUM(Table1[[#This Row],[Store_Purchases]]+Table1[[#This Row],[Catalog_Purchases]]+Table1[[#This Row],[Web_Purchases]]+Table1[[#This Row],[Deal_Purchases]])</f>
        <v>6</v>
      </c>
      <c r="V246">
        <v>7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f>SUM(Table1[[#This Row],[Accepted_Campaign_2]]+Table1[[#This Row],[Accepted_Campaign_1]]+Table1[[#This Row],[Accepted_Campaign_5]]+Table1[[#This Row],[Accepted_Campaign_4]]+Table1[[#This Row],[Accepted_Campaign_3]])</f>
        <v>0</v>
      </c>
      <c r="AC246">
        <v>0</v>
      </c>
      <c r="AD246">
        <v>0</v>
      </c>
    </row>
    <row r="247" spans="1:30" x14ac:dyDescent="0.25">
      <c r="A247">
        <v>41506</v>
      </c>
      <c r="B247">
        <v>8702</v>
      </c>
      <c r="C247">
        <v>1976</v>
      </c>
      <c r="D247" t="s">
        <v>13</v>
      </c>
      <c r="E247" t="s">
        <v>15</v>
      </c>
      <c r="F247" t="s">
        <v>12</v>
      </c>
      <c r="G247">
        <v>26907</v>
      </c>
      <c r="H247">
        <v>2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247">
        <v>2</v>
      </c>
      <c r="R247">
        <v>1</v>
      </c>
      <c r="S247">
        <v>0</v>
      </c>
      <c r="T247">
        <v>3</v>
      </c>
      <c r="U247">
        <f>SUM(Table1[[#This Row],[Store_Purchases]]+Table1[[#This Row],[Catalog_Purchases]]+Table1[[#This Row],[Web_Purchases]]+Table1[[#This Row],[Deal_Purchases]])</f>
        <v>6</v>
      </c>
      <c r="V247">
        <v>7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f>SUM(Table1[[#This Row],[Accepted_Campaign_2]]+Table1[[#This Row],[Accepted_Campaign_1]]+Table1[[#This Row],[Accepted_Campaign_5]]+Table1[[#This Row],[Accepted_Campaign_4]]+Table1[[#This Row],[Accepted_Campaign_3]])</f>
        <v>0</v>
      </c>
      <c r="AC247">
        <v>0</v>
      </c>
      <c r="AD247">
        <v>0</v>
      </c>
    </row>
    <row r="248" spans="1:30" x14ac:dyDescent="0.25">
      <c r="A248">
        <v>41506</v>
      </c>
      <c r="B248">
        <v>5429</v>
      </c>
      <c r="C248">
        <v>1948</v>
      </c>
      <c r="D248" t="s">
        <v>8</v>
      </c>
      <c r="E248" t="s">
        <v>14</v>
      </c>
      <c r="F248" t="s">
        <v>11</v>
      </c>
      <c r="G248">
        <v>45579</v>
      </c>
      <c r="H248">
        <v>1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f>SUM(Table1[[#This Row],[Gold Spending]]+Table1[[#This Row],[Sweet Spending]]+Table1[[#This Row],[Fish Spending]]+Table1[[#This Row],[Meat Spending]]+Table1[[#This Row],[Fruits Spending]]+Table1[[#This Row],[Wine Spending ]])</f>
        <v>183</v>
      </c>
      <c r="Q248">
        <v>1</v>
      </c>
      <c r="R248">
        <v>4</v>
      </c>
      <c r="S248">
        <v>1</v>
      </c>
      <c r="T248">
        <v>4</v>
      </c>
      <c r="U248">
        <f>SUM(Table1[[#This Row],[Store_Purchases]]+Table1[[#This Row],[Catalog_Purchases]]+Table1[[#This Row],[Web_Purchases]]+Table1[[#This Row],[Deal_Purchases]])</f>
        <v>10</v>
      </c>
      <c r="V248">
        <v>6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f>SUM(Table1[[#This Row],[Accepted_Campaign_2]]+Table1[[#This Row],[Accepted_Campaign_1]]+Table1[[#This Row],[Accepted_Campaign_5]]+Table1[[#This Row],[Accepted_Campaign_4]]+Table1[[#This Row],[Accepted_Campaign_3]])</f>
        <v>0</v>
      </c>
      <c r="AC248">
        <v>0</v>
      </c>
      <c r="AD248">
        <v>0</v>
      </c>
    </row>
    <row r="249" spans="1:30" x14ac:dyDescent="0.25">
      <c r="A249">
        <v>41487</v>
      </c>
      <c r="B249">
        <v>977</v>
      </c>
      <c r="C249">
        <v>1957</v>
      </c>
      <c r="D249" t="s">
        <v>10</v>
      </c>
      <c r="E249" t="s">
        <v>6</v>
      </c>
      <c r="F249" t="s">
        <v>12</v>
      </c>
      <c r="G249">
        <v>47320</v>
      </c>
      <c r="H249">
        <v>1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f>SUM(Table1[[#This Row],[Gold Spending]]+Table1[[#This Row],[Sweet Spending]]+Table1[[#This Row],[Fish Spending]]+Table1[[#This Row],[Meat Spending]]+Table1[[#This Row],[Fruits Spending]]+Table1[[#This Row],[Wine Spending ]])</f>
        <v>414</v>
      </c>
      <c r="Q249">
        <v>6</v>
      </c>
      <c r="R249">
        <v>5</v>
      </c>
      <c r="S249">
        <v>1</v>
      </c>
      <c r="T249">
        <v>8</v>
      </c>
      <c r="U249">
        <f>SUM(Table1[[#This Row],[Store_Purchases]]+Table1[[#This Row],[Catalog_Purchases]]+Table1[[#This Row],[Web_Purchases]]+Table1[[#This Row],[Deal_Purchases]])</f>
        <v>20</v>
      </c>
      <c r="V249">
        <v>6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f>SUM(Table1[[#This Row],[Accepted_Campaign_2]]+Table1[[#This Row],[Accepted_Campaign_1]]+Table1[[#This Row],[Accepted_Campaign_5]]+Table1[[#This Row],[Accepted_Campaign_4]]+Table1[[#This Row],[Accepted_Campaign_3]])</f>
        <v>0</v>
      </c>
      <c r="AC249">
        <v>0</v>
      </c>
      <c r="AD249">
        <v>0</v>
      </c>
    </row>
    <row r="250" spans="1:30" x14ac:dyDescent="0.25">
      <c r="A250">
        <v>41476</v>
      </c>
      <c r="B250">
        <v>2793</v>
      </c>
      <c r="C250">
        <v>1976</v>
      </c>
      <c r="D250" t="s">
        <v>20</v>
      </c>
      <c r="E250" t="s">
        <v>14</v>
      </c>
      <c r="F250" t="s">
        <v>7</v>
      </c>
      <c r="G250">
        <v>70179</v>
      </c>
      <c r="H250">
        <v>1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f>SUM(Table1[[#This Row],[Gold Spending]]+Table1[[#This Row],[Sweet Spending]]+Table1[[#This Row],[Fish Spending]]+Table1[[#This Row],[Meat Spending]]+Table1[[#This Row],[Fruits Spending]]+Table1[[#This Row],[Wine Spending ]])</f>
        <v>1034</v>
      </c>
      <c r="Q250">
        <v>3</v>
      </c>
      <c r="R250">
        <v>7</v>
      </c>
      <c r="S250">
        <v>3</v>
      </c>
      <c r="T250">
        <v>13</v>
      </c>
      <c r="U250">
        <f>SUM(Table1[[#This Row],[Store_Purchases]]+Table1[[#This Row],[Catalog_Purchases]]+Table1[[#This Row],[Web_Purchases]]+Table1[[#This Row],[Deal_Purchases]])</f>
        <v>26</v>
      </c>
      <c r="V250">
        <v>5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f>SUM(Table1[[#This Row],[Accepted_Campaign_2]]+Table1[[#This Row],[Accepted_Campaign_1]]+Table1[[#This Row],[Accepted_Campaign_5]]+Table1[[#This Row],[Accepted_Campaign_4]]+Table1[[#This Row],[Accepted_Campaign_3]])</f>
        <v>0</v>
      </c>
      <c r="AC250">
        <v>0</v>
      </c>
      <c r="AD250">
        <v>0</v>
      </c>
    </row>
    <row r="251" spans="1:30" x14ac:dyDescent="0.25">
      <c r="A251">
        <v>41476</v>
      </c>
      <c r="B251">
        <v>1071</v>
      </c>
      <c r="C251">
        <v>1976</v>
      </c>
      <c r="D251" t="s">
        <v>63</v>
      </c>
      <c r="E251" t="s">
        <v>14</v>
      </c>
      <c r="F251" t="s">
        <v>7</v>
      </c>
      <c r="G251">
        <v>70179</v>
      </c>
      <c r="H251">
        <v>1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f>SUM(Table1[[#This Row],[Gold Spending]]+Table1[[#This Row],[Sweet Spending]]+Table1[[#This Row],[Fish Spending]]+Table1[[#This Row],[Meat Spending]]+Table1[[#This Row],[Fruits Spending]]+Table1[[#This Row],[Wine Spending ]])</f>
        <v>1034</v>
      </c>
      <c r="Q251">
        <v>3</v>
      </c>
      <c r="R251">
        <v>7</v>
      </c>
      <c r="S251">
        <v>3</v>
      </c>
      <c r="T251">
        <v>13</v>
      </c>
      <c r="U251">
        <f>SUM(Table1[[#This Row],[Store_Purchases]]+Table1[[#This Row],[Catalog_Purchases]]+Table1[[#This Row],[Web_Purchases]]+Table1[[#This Row],[Deal_Purchases]])</f>
        <v>26</v>
      </c>
      <c r="V251">
        <v>5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f>SUM(Table1[[#This Row],[Accepted_Campaign_2]]+Table1[[#This Row],[Accepted_Campaign_1]]+Table1[[#This Row],[Accepted_Campaign_5]]+Table1[[#This Row],[Accepted_Campaign_4]]+Table1[[#This Row],[Accepted_Campaign_3]])</f>
        <v>0</v>
      </c>
      <c r="AC251">
        <v>0</v>
      </c>
      <c r="AD251">
        <v>0</v>
      </c>
    </row>
    <row r="252" spans="1:30" x14ac:dyDescent="0.25">
      <c r="A252">
        <v>41463</v>
      </c>
      <c r="B252">
        <v>5074</v>
      </c>
      <c r="C252">
        <v>1986</v>
      </c>
      <c r="D252" t="s">
        <v>10</v>
      </c>
      <c r="E252" t="s">
        <v>18</v>
      </c>
      <c r="F252" t="s">
        <v>11</v>
      </c>
      <c r="G252">
        <v>28072</v>
      </c>
      <c r="H252">
        <v>1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f>SUM(Table1[[#This Row],[Gold Spending]]+Table1[[#This Row],[Sweet Spending]]+Table1[[#This Row],[Fish Spending]]+Table1[[#This Row],[Meat Spending]]+Table1[[#This Row],[Fruits Spending]]+Table1[[#This Row],[Wine Spending ]])</f>
        <v>47</v>
      </c>
      <c r="Q252">
        <v>1</v>
      </c>
      <c r="R252">
        <v>1</v>
      </c>
      <c r="S252">
        <v>0</v>
      </c>
      <c r="T252">
        <v>3</v>
      </c>
      <c r="U252">
        <f>SUM(Table1[[#This Row],[Store_Purchases]]+Table1[[#This Row],[Catalog_Purchases]]+Table1[[#This Row],[Web_Purchases]]+Table1[[#This Row],[Deal_Purchases]])</f>
        <v>5</v>
      </c>
      <c r="V252">
        <v>7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f>SUM(Table1[[#This Row],[Accepted_Campaign_2]]+Table1[[#This Row],[Accepted_Campaign_1]]+Table1[[#This Row],[Accepted_Campaign_5]]+Table1[[#This Row],[Accepted_Campaign_4]]+Table1[[#This Row],[Accepted_Campaign_3]])</f>
        <v>0</v>
      </c>
      <c r="AC252">
        <v>0</v>
      </c>
      <c r="AD252">
        <v>0</v>
      </c>
    </row>
    <row r="253" spans="1:30" x14ac:dyDescent="0.25">
      <c r="A253">
        <v>41443</v>
      </c>
      <c r="B253">
        <v>2632</v>
      </c>
      <c r="C253">
        <v>1954</v>
      </c>
      <c r="D253" t="s">
        <v>17</v>
      </c>
      <c r="E253" t="s">
        <v>6</v>
      </c>
      <c r="F253" t="s">
        <v>11</v>
      </c>
      <c r="G253">
        <v>50501</v>
      </c>
      <c r="H253">
        <v>2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f>SUM(Table1[[#This Row],[Gold Spending]]+Table1[[#This Row],[Sweet Spending]]+Table1[[#This Row],[Fish Spending]]+Table1[[#This Row],[Meat Spending]]+Table1[[#This Row],[Fruits Spending]]+Table1[[#This Row],[Wine Spending ]])</f>
        <v>500</v>
      </c>
      <c r="Q253">
        <v>7</v>
      </c>
      <c r="R253">
        <v>5</v>
      </c>
      <c r="S253">
        <v>4</v>
      </c>
      <c r="T253">
        <v>4</v>
      </c>
      <c r="U253">
        <f>SUM(Table1[[#This Row],[Store_Purchases]]+Table1[[#This Row],[Catalog_Purchases]]+Table1[[#This Row],[Web_Purchases]]+Table1[[#This Row],[Deal_Purchases]])</f>
        <v>20</v>
      </c>
      <c r="V253">
        <v>6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f>SUM(Table1[[#This Row],[Accepted_Campaign_2]]+Table1[[#This Row],[Accepted_Campaign_1]]+Table1[[#This Row],[Accepted_Campaign_5]]+Table1[[#This Row],[Accepted_Campaign_4]]+Table1[[#This Row],[Accepted_Campaign_3]])</f>
        <v>1</v>
      </c>
      <c r="AC253">
        <v>1</v>
      </c>
      <c r="AD253">
        <v>0</v>
      </c>
    </row>
    <row r="254" spans="1:30" x14ac:dyDescent="0.25">
      <c r="A254">
        <v>41357</v>
      </c>
      <c r="B254">
        <v>6404</v>
      </c>
      <c r="C254">
        <v>1969</v>
      </c>
      <c r="D254" t="s">
        <v>20</v>
      </c>
      <c r="E254" t="s">
        <v>6</v>
      </c>
      <c r="F254" t="s">
        <v>12</v>
      </c>
      <c r="G254">
        <v>58917</v>
      </c>
      <c r="H254">
        <v>3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f>SUM(Table1[[#This Row],[Gold Spending]]+Table1[[#This Row],[Sweet Spending]]+Table1[[#This Row],[Fish Spending]]+Table1[[#This Row],[Meat Spending]]+Table1[[#This Row],[Fruits Spending]]+Table1[[#This Row],[Wine Spending ]])</f>
        <v>282</v>
      </c>
      <c r="Q254">
        <v>5</v>
      </c>
      <c r="R254">
        <v>4</v>
      </c>
      <c r="S254">
        <v>1</v>
      </c>
      <c r="T254">
        <v>6</v>
      </c>
      <c r="U254">
        <f>SUM(Table1[[#This Row],[Store_Purchases]]+Table1[[#This Row],[Catalog_Purchases]]+Table1[[#This Row],[Web_Purchases]]+Table1[[#This Row],[Deal_Purchases]])</f>
        <v>16</v>
      </c>
      <c r="V254">
        <v>5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f>SUM(Table1[[#This Row],[Accepted_Campaign_2]]+Table1[[#This Row],[Accepted_Campaign_1]]+Table1[[#This Row],[Accepted_Campaign_5]]+Table1[[#This Row],[Accepted_Campaign_4]]+Table1[[#This Row],[Accepted_Campaign_3]])</f>
        <v>0</v>
      </c>
      <c r="AC254">
        <v>0</v>
      </c>
      <c r="AD254">
        <v>0</v>
      </c>
    </row>
    <row r="255" spans="1:30" x14ac:dyDescent="0.25">
      <c r="A255">
        <v>41324</v>
      </c>
      <c r="B255">
        <v>10240</v>
      </c>
      <c r="C255">
        <v>1949</v>
      </c>
      <c r="D255" t="s">
        <v>10</v>
      </c>
      <c r="E255" t="s">
        <v>6</v>
      </c>
      <c r="F255" t="s">
        <v>12</v>
      </c>
      <c r="G255">
        <v>69372</v>
      </c>
      <c r="H255">
        <v>0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f>SUM(Table1[[#This Row],[Gold Spending]]+Table1[[#This Row],[Sweet Spending]]+Table1[[#This Row],[Fish Spending]]+Table1[[#This Row],[Meat Spending]]+Table1[[#This Row],[Fruits Spending]]+Table1[[#This Row],[Wine Spending ]])</f>
        <v>1381</v>
      </c>
      <c r="Q255">
        <v>1</v>
      </c>
      <c r="R255">
        <v>10</v>
      </c>
      <c r="S255">
        <v>4</v>
      </c>
      <c r="T255">
        <v>6</v>
      </c>
      <c r="U255">
        <f>SUM(Table1[[#This Row],[Store_Purchases]]+Table1[[#This Row],[Catalog_Purchases]]+Table1[[#This Row],[Web_Purchases]]+Table1[[#This Row],[Deal_Purchases]])</f>
        <v>21</v>
      </c>
      <c r="V255">
        <v>4</v>
      </c>
      <c r="W255">
        <v>0</v>
      </c>
      <c r="X255">
        <v>1</v>
      </c>
      <c r="Y255">
        <v>1</v>
      </c>
      <c r="Z255">
        <v>0</v>
      </c>
      <c r="AA255">
        <v>0</v>
      </c>
      <c r="AB255">
        <f>SUM(Table1[[#This Row],[Accepted_Campaign_2]]+Table1[[#This Row],[Accepted_Campaign_1]]+Table1[[#This Row],[Accepted_Campaign_5]]+Table1[[#This Row],[Accepted_Campaign_4]]+Table1[[#This Row],[Accepted_Campaign_3]])</f>
        <v>2</v>
      </c>
      <c r="AC255">
        <v>1</v>
      </c>
      <c r="AD255">
        <v>0</v>
      </c>
    </row>
    <row r="256" spans="1:30" x14ac:dyDescent="0.25">
      <c r="A256">
        <v>41284</v>
      </c>
      <c r="B256">
        <v>2521</v>
      </c>
      <c r="C256">
        <v>1971</v>
      </c>
      <c r="D256" t="s">
        <v>8</v>
      </c>
      <c r="E256" t="s">
        <v>18</v>
      </c>
      <c r="F256" t="s">
        <v>11</v>
      </c>
      <c r="G256">
        <v>35178</v>
      </c>
      <c r="H256">
        <v>1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f>SUM(Table1[[#This Row],[Gold Spending]]+Table1[[#This Row],[Sweet Spending]]+Table1[[#This Row],[Fish Spending]]+Table1[[#This Row],[Meat Spending]]+Table1[[#This Row],[Fruits Spending]]+Table1[[#This Row],[Wine Spending ]])</f>
        <v>59</v>
      </c>
      <c r="Q256">
        <v>1</v>
      </c>
      <c r="R256">
        <v>1</v>
      </c>
      <c r="S256">
        <v>1</v>
      </c>
      <c r="T256">
        <v>2</v>
      </c>
      <c r="U256">
        <f>SUM(Table1[[#This Row],[Store_Purchases]]+Table1[[#This Row],[Catalog_Purchases]]+Table1[[#This Row],[Web_Purchases]]+Table1[[#This Row],[Deal_Purchases]])</f>
        <v>5</v>
      </c>
      <c r="V256">
        <v>7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f>SUM(Table1[[#This Row],[Accepted_Campaign_2]]+Table1[[#This Row],[Accepted_Campaign_1]]+Table1[[#This Row],[Accepted_Campaign_5]]+Table1[[#This Row],[Accepted_Campaign_4]]+Table1[[#This Row],[Accepted_Campaign_3]])</f>
        <v>1</v>
      </c>
      <c r="AC256">
        <v>1</v>
      </c>
      <c r="AD256">
        <v>0</v>
      </c>
    </row>
    <row r="257" spans="1:30" x14ac:dyDescent="0.25">
      <c r="A257">
        <v>41284</v>
      </c>
      <c r="B257">
        <v>4301</v>
      </c>
      <c r="C257">
        <v>1971</v>
      </c>
      <c r="D257" t="s">
        <v>13</v>
      </c>
      <c r="E257" t="s">
        <v>18</v>
      </c>
      <c r="F257" t="s">
        <v>11</v>
      </c>
      <c r="G257">
        <v>35178</v>
      </c>
      <c r="H257">
        <v>1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f>SUM(Table1[[#This Row],[Gold Spending]]+Table1[[#This Row],[Sweet Spending]]+Table1[[#This Row],[Fish Spending]]+Table1[[#This Row],[Meat Spending]]+Table1[[#This Row],[Fruits Spending]]+Table1[[#This Row],[Wine Spending ]])</f>
        <v>59</v>
      </c>
      <c r="Q257">
        <v>1</v>
      </c>
      <c r="R257">
        <v>1</v>
      </c>
      <c r="S257">
        <v>1</v>
      </c>
      <c r="T257">
        <v>2</v>
      </c>
      <c r="U257">
        <f>SUM(Table1[[#This Row],[Store_Purchases]]+Table1[[#This Row],[Catalog_Purchases]]+Table1[[#This Row],[Web_Purchases]]+Table1[[#This Row],[Deal_Purchases]])</f>
        <v>5</v>
      </c>
      <c r="V257">
        <v>7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f>SUM(Table1[[#This Row],[Accepted_Campaign_2]]+Table1[[#This Row],[Accepted_Campaign_1]]+Table1[[#This Row],[Accepted_Campaign_5]]+Table1[[#This Row],[Accepted_Campaign_4]]+Table1[[#This Row],[Accepted_Campaign_3]])</f>
        <v>1</v>
      </c>
      <c r="AC257">
        <v>1</v>
      </c>
      <c r="AD257">
        <v>0</v>
      </c>
    </row>
    <row r="258" spans="1:30" x14ac:dyDescent="0.25">
      <c r="A258">
        <v>41249</v>
      </c>
      <c r="B258">
        <v>7381</v>
      </c>
      <c r="C258">
        <v>1968</v>
      </c>
      <c r="D258" t="s">
        <v>8</v>
      </c>
      <c r="E258" t="s">
        <v>6</v>
      </c>
      <c r="F258" t="s">
        <v>7</v>
      </c>
      <c r="G258">
        <v>75693</v>
      </c>
      <c r="H258">
        <v>0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f>SUM(Table1[[#This Row],[Gold Spending]]+Table1[[#This Row],[Sweet Spending]]+Table1[[#This Row],[Fish Spending]]+Table1[[#This Row],[Meat Spending]]+Table1[[#This Row],[Fruits Spending]]+Table1[[#This Row],[Wine Spending ]])</f>
        <v>1442</v>
      </c>
      <c r="Q258">
        <v>1</v>
      </c>
      <c r="R258">
        <v>11</v>
      </c>
      <c r="S258">
        <v>4</v>
      </c>
      <c r="T258">
        <v>6</v>
      </c>
      <c r="U258">
        <f>SUM(Table1[[#This Row],[Store_Purchases]]+Table1[[#This Row],[Catalog_Purchases]]+Table1[[#This Row],[Web_Purchases]]+Table1[[#This Row],[Deal_Purchases]])</f>
        <v>22</v>
      </c>
      <c r="V258">
        <v>4</v>
      </c>
      <c r="W258">
        <v>0</v>
      </c>
      <c r="X258">
        <v>1</v>
      </c>
      <c r="Y258">
        <v>1</v>
      </c>
      <c r="Z258">
        <v>1</v>
      </c>
      <c r="AA258">
        <v>0</v>
      </c>
      <c r="AB258">
        <f>SUM(Table1[[#This Row],[Accepted_Campaign_2]]+Table1[[#This Row],[Accepted_Campaign_1]]+Table1[[#This Row],[Accepted_Campaign_5]]+Table1[[#This Row],[Accepted_Campaign_4]]+Table1[[#This Row],[Accepted_Campaign_3]])</f>
        <v>3</v>
      </c>
      <c r="AC258">
        <v>1</v>
      </c>
      <c r="AD258">
        <v>0</v>
      </c>
    </row>
    <row r="259" spans="1:30" x14ac:dyDescent="0.25">
      <c r="A259">
        <v>41222</v>
      </c>
      <c r="B259">
        <v>2407</v>
      </c>
      <c r="C259">
        <v>1982</v>
      </c>
      <c r="D259" t="s">
        <v>63</v>
      </c>
      <c r="E259" t="s">
        <v>6</v>
      </c>
      <c r="F259" t="s">
        <v>11</v>
      </c>
      <c r="G259">
        <v>69109</v>
      </c>
      <c r="H259">
        <v>0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f>SUM(Table1[[#This Row],[Gold Spending]]+Table1[[#This Row],[Sweet Spending]]+Table1[[#This Row],[Fish Spending]]+Table1[[#This Row],[Meat Spending]]+Table1[[#This Row],[Fruits Spending]]+Table1[[#This Row],[Wine Spending ]])</f>
        <v>1555</v>
      </c>
      <c r="Q259">
        <v>1</v>
      </c>
      <c r="R259">
        <v>6</v>
      </c>
      <c r="S259">
        <v>6</v>
      </c>
      <c r="T259">
        <v>7</v>
      </c>
      <c r="U259">
        <f>SUM(Table1[[#This Row],[Store_Purchases]]+Table1[[#This Row],[Catalog_Purchases]]+Table1[[#This Row],[Web_Purchases]]+Table1[[#This Row],[Deal_Purchases]])</f>
        <v>20</v>
      </c>
      <c r="V259">
        <v>4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f>SUM(Table1[[#This Row],[Accepted_Campaign_2]]+Table1[[#This Row],[Accepted_Campaign_1]]+Table1[[#This Row],[Accepted_Campaign_5]]+Table1[[#This Row],[Accepted_Campaign_4]]+Table1[[#This Row],[Accepted_Campaign_3]])</f>
        <v>1</v>
      </c>
      <c r="AC259">
        <v>1</v>
      </c>
      <c r="AD259">
        <v>0</v>
      </c>
    </row>
    <row r="260" spans="1:30" x14ac:dyDescent="0.25">
      <c r="A260">
        <v>41222</v>
      </c>
      <c r="B260">
        <v>9064</v>
      </c>
      <c r="C260">
        <v>1982</v>
      </c>
      <c r="D260" t="s">
        <v>8</v>
      </c>
      <c r="E260" t="s">
        <v>6</v>
      </c>
      <c r="F260" t="s">
        <v>11</v>
      </c>
      <c r="G260">
        <v>69109</v>
      </c>
      <c r="H260">
        <v>0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f>SUM(Table1[[#This Row],[Gold Spending]]+Table1[[#This Row],[Sweet Spending]]+Table1[[#This Row],[Fish Spending]]+Table1[[#This Row],[Meat Spending]]+Table1[[#This Row],[Fruits Spending]]+Table1[[#This Row],[Wine Spending ]])</f>
        <v>1555</v>
      </c>
      <c r="Q260">
        <v>1</v>
      </c>
      <c r="R260">
        <v>6</v>
      </c>
      <c r="S260">
        <v>6</v>
      </c>
      <c r="T260">
        <v>7</v>
      </c>
      <c r="U260">
        <f>SUM(Table1[[#This Row],[Store_Purchases]]+Table1[[#This Row],[Catalog_Purchases]]+Table1[[#This Row],[Web_Purchases]]+Table1[[#This Row],[Deal_Purchases]])</f>
        <v>20</v>
      </c>
      <c r="V260">
        <v>4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f>SUM(Table1[[#This Row],[Accepted_Campaign_2]]+Table1[[#This Row],[Accepted_Campaign_1]]+Table1[[#This Row],[Accepted_Campaign_5]]+Table1[[#This Row],[Accepted_Campaign_4]]+Table1[[#This Row],[Accepted_Campaign_3]])</f>
        <v>1</v>
      </c>
      <c r="AC260">
        <v>1</v>
      </c>
      <c r="AD260">
        <v>0</v>
      </c>
    </row>
    <row r="261" spans="1:30" x14ac:dyDescent="0.25">
      <c r="A261">
        <v>41684</v>
      </c>
      <c r="B261">
        <v>5067</v>
      </c>
      <c r="C261">
        <v>1994</v>
      </c>
      <c r="D261" t="s">
        <v>8</v>
      </c>
      <c r="E261" t="s">
        <v>6</v>
      </c>
      <c r="F261" t="s">
        <v>12</v>
      </c>
      <c r="G261">
        <v>80134</v>
      </c>
      <c r="H261">
        <v>0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f>SUM(Table1[[#This Row],[Gold Spending]]+Table1[[#This Row],[Sweet Spending]]+Table1[[#This Row],[Fish Spending]]+Table1[[#This Row],[Meat Spending]]+Table1[[#This Row],[Fruits Spending]]+Table1[[#This Row],[Wine Spending ]])</f>
        <v>1378</v>
      </c>
      <c r="Q261">
        <v>1</v>
      </c>
      <c r="R261">
        <v>2</v>
      </c>
      <c r="S261">
        <v>7</v>
      </c>
      <c r="T261">
        <v>11</v>
      </c>
      <c r="U261">
        <f>SUM(Table1[[#This Row],[Store_Purchases]]+Table1[[#This Row],[Catalog_Purchases]]+Table1[[#This Row],[Web_Purchases]]+Table1[[#This Row],[Deal_Purchases]])</f>
        <v>21</v>
      </c>
      <c r="V261">
        <v>5</v>
      </c>
      <c r="W261">
        <v>0</v>
      </c>
      <c r="X261">
        <v>1</v>
      </c>
      <c r="Y261">
        <v>1</v>
      </c>
      <c r="Z261">
        <v>1</v>
      </c>
      <c r="AA261">
        <v>1</v>
      </c>
      <c r="AB261">
        <f>SUM(Table1[[#This Row],[Accepted_Campaign_2]]+Table1[[#This Row],[Accepted_Campaign_1]]+Table1[[#This Row],[Accepted_Campaign_5]]+Table1[[#This Row],[Accepted_Campaign_4]]+Table1[[#This Row],[Accepted_Campaign_3]])</f>
        <v>4</v>
      </c>
      <c r="AC261">
        <v>0</v>
      </c>
      <c r="AD261">
        <v>0</v>
      </c>
    </row>
    <row r="262" spans="1:30" x14ac:dyDescent="0.25">
      <c r="A262">
        <v>41677</v>
      </c>
      <c r="B262">
        <v>10281</v>
      </c>
      <c r="C262">
        <v>1970</v>
      </c>
      <c r="D262" t="s">
        <v>13</v>
      </c>
      <c r="E262" t="s">
        <v>6</v>
      </c>
      <c r="F262" t="s">
        <v>7</v>
      </c>
      <c r="G262">
        <v>64713</v>
      </c>
      <c r="H262">
        <v>1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f>SUM(Table1[[#This Row],[Gold Spending]]+Table1[[#This Row],[Sweet Spending]]+Table1[[#This Row],[Fish Spending]]+Table1[[#This Row],[Meat Spending]]+Table1[[#This Row],[Fruits Spending]]+Table1[[#This Row],[Wine Spending ]])</f>
        <v>602</v>
      </c>
      <c r="Q262">
        <v>2</v>
      </c>
      <c r="R262">
        <v>5</v>
      </c>
      <c r="S262">
        <v>5</v>
      </c>
      <c r="T262">
        <v>7</v>
      </c>
      <c r="U262">
        <f>SUM(Table1[[#This Row],[Store_Purchases]]+Table1[[#This Row],[Catalog_Purchases]]+Table1[[#This Row],[Web_Purchases]]+Table1[[#This Row],[Deal_Purchases]])</f>
        <v>19</v>
      </c>
      <c r="V262">
        <v>4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>SUM(Table1[[#This Row],[Accepted_Campaign_2]]+Table1[[#This Row],[Accepted_Campaign_1]]+Table1[[#This Row],[Accepted_Campaign_5]]+Table1[[#This Row],[Accepted_Campaign_4]]+Table1[[#This Row],[Accepted_Campaign_3]])</f>
        <v>0</v>
      </c>
      <c r="AC262">
        <v>1</v>
      </c>
      <c r="AD262">
        <v>0</v>
      </c>
    </row>
    <row r="263" spans="1:30" x14ac:dyDescent="0.25">
      <c r="A263">
        <v>41615</v>
      </c>
      <c r="B263">
        <v>11191</v>
      </c>
      <c r="C263">
        <v>1986</v>
      </c>
      <c r="D263" t="s">
        <v>8</v>
      </c>
      <c r="E263" t="s">
        <v>6</v>
      </c>
      <c r="F263" t="s">
        <v>7</v>
      </c>
      <c r="G263">
        <v>41411</v>
      </c>
      <c r="H263">
        <v>0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f>SUM(Table1[[#This Row],[Gold Spending]]+Table1[[#This Row],[Sweet Spending]]+Table1[[#This Row],[Fish Spending]]+Table1[[#This Row],[Meat Spending]]+Table1[[#This Row],[Fruits Spending]]+Table1[[#This Row],[Wine Spending ]])</f>
        <v>139</v>
      </c>
      <c r="Q263">
        <v>1</v>
      </c>
      <c r="R263">
        <v>2</v>
      </c>
      <c r="S263">
        <v>1</v>
      </c>
      <c r="T263">
        <v>4</v>
      </c>
      <c r="U263">
        <f>SUM(Table1[[#This Row],[Store_Purchases]]+Table1[[#This Row],[Catalog_Purchases]]+Table1[[#This Row],[Web_Purchases]]+Table1[[#This Row],[Deal_Purchases]])</f>
        <v>8</v>
      </c>
      <c r="V263">
        <v>6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f>SUM(Table1[[#This Row],[Accepted_Campaign_2]]+Table1[[#This Row],[Accepted_Campaign_1]]+Table1[[#This Row],[Accepted_Campaign_5]]+Table1[[#This Row],[Accepted_Campaign_4]]+Table1[[#This Row],[Accepted_Campaign_3]])</f>
        <v>0</v>
      </c>
      <c r="AC263">
        <v>0</v>
      </c>
      <c r="AD263">
        <v>0</v>
      </c>
    </row>
    <row r="264" spans="1:30" x14ac:dyDescent="0.25">
      <c r="A264">
        <v>41593</v>
      </c>
      <c r="B264">
        <v>1994</v>
      </c>
      <c r="C264">
        <v>1983</v>
      </c>
      <c r="D264" t="s">
        <v>63</v>
      </c>
      <c r="E264" t="s">
        <v>6</v>
      </c>
      <c r="F264" t="s">
        <v>11</v>
      </c>
      <c r="G264">
        <v>53790.45</v>
      </c>
      <c r="H264">
        <v>1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f>SUM(Table1[[#This Row],[Gold Spending]]+Table1[[#This Row],[Sweet Spending]]+Table1[[#This Row],[Fish Spending]]+Table1[[#This Row],[Meat Spending]]+Table1[[#This Row],[Fruits Spending]]+Table1[[#This Row],[Wine Spending ]])</f>
        <v>19</v>
      </c>
      <c r="Q264">
        <v>1</v>
      </c>
      <c r="R264">
        <v>1</v>
      </c>
      <c r="S264">
        <v>0</v>
      </c>
      <c r="T264">
        <v>2</v>
      </c>
      <c r="U264">
        <f>SUM(Table1[[#This Row],[Store_Purchases]]+Table1[[#This Row],[Catalog_Purchases]]+Table1[[#This Row],[Web_Purchases]]+Table1[[#This Row],[Deal_Purchases]])</f>
        <v>4</v>
      </c>
      <c r="V264">
        <v>7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>SUM(Table1[[#This Row],[Accepted_Campaign_2]]+Table1[[#This Row],[Accepted_Campaign_1]]+Table1[[#This Row],[Accepted_Campaign_5]]+Table1[[#This Row],[Accepted_Campaign_4]]+Table1[[#This Row],[Accepted_Campaign_3]])</f>
        <v>0</v>
      </c>
      <c r="AC264">
        <v>0</v>
      </c>
      <c r="AD264">
        <v>0</v>
      </c>
    </row>
    <row r="265" spans="1:30" x14ac:dyDescent="0.25">
      <c r="A265">
        <v>41569</v>
      </c>
      <c r="B265">
        <v>2552</v>
      </c>
      <c r="C265">
        <v>1955</v>
      </c>
      <c r="D265" t="s">
        <v>8</v>
      </c>
      <c r="E265" t="s">
        <v>14</v>
      </c>
      <c r="F265" t="s">
        <v>9</v>
      </c>
      <c r="G265">
        <v>55521</v>
      </c>
      <c r="H265">
        <v>3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f>SUM(Table1[[#This Row],[Gold Spending]]+Table1[[#This Row],[Sweet Spending]]+Table1[[#This Row],[Fish Spending]]+Table1[[#This Row],[Meat Spending]]+Table1[[#This Row],[Fruits Spending]]+Table1[[#This Row],[Wine Spending ]])</f>
        <v>446</v>
      </c>
      <c r="Q265">
        <v>9</v>
      </c>
      <c r="R265">
        <v>6</v>
      </c>
      <c r="S265">
        <v>3</v>
      </c>
      <c r="T265">
        <v>6</v>
      </c>
      <c r="U265">
        <f>SUM(Table1[[#This Row],[Store_Purchases]]+Table1[[#This Row],[Catalog_Purchases]]+Table1[[#This Row],[Web_Purchases]]+Table1[[#This Row],[Deal_Purchases]])</f>
        <v>24</v>
      </c>
      <c r="V265">
        <v>7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f>SUM(Table1[[#This Row],[Accepted_Campaign_2]]+Table1[[#This Row],[Accepted_Campaign_1]]+Table1[[#This Row],[Accepted_Campaign_5]]+Table1[[#This Row],[Accepted_Campaign_4]]+Table1[[#This Row],[Accepted_Campaign_3]])</f>
        <v>1</v>
      </c>
      <c r="AC265">
        <v>1</v>
      </c>
      <c r="AD265">
        <v>0</v>
      </c>
    </row>
    <row r="266" spans="1:30" x14ac:dyDescent="0.25">
      <c r="A266">
        <v>41563</v>
      </c>
      <c r="B266">
        <v>6720</v>
      </c>
      <c r="C266">
        <v>1968</v>
      </c>
      <c r="D266" t="s">
        <v>8</v>
      </c>
      <c r="E266" t="s">
        <v>18</v>
      </c>
      <c r="F266" t="s">
        <v>12</v>
      </c>
      <c r="G266">
        <v>43795</v>
      </c>
      <c r="H266">
        <v>1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f>SUM(Table1[[#This Row],[Gold Spending]]+Table1[[#This Row],[Sweet Spending]]+Table1[[#This Row],[Fish Spending]]+Table1[[#This Row],[Meat Spending]]+Table1[[#This Row],[Fruits Spending]]+Table1[[#This Row],[Wine Spending ]])</f>
        <v>492</v>
      </c>
      <c r="Q266">
        <v>3</v>
      </c>
      <c r="R266">
        <v>7</v>
      </c>
      <c r="S266">
        <v>3</v>
      </c>
      <c r="T266">
        <v>4</v>
      </c>
      <c r="U266">
        <f>SUM(Table1[[#This Row],[Store_Purchases]]+Table1[[#This Row],[Catalog_Purchases]]+Table1[[#This Row],[Web_Purchases]]+Table1[[#This Row],[Deal_Purchases]])</f>
        <v>17</v>
      </c>
      <c r="V266">
        <v>7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f>SUM(Table1[[#This Row],[Accepted_Campaign_2]]+Table1[[#This Row],[Accepted_Campaign_1]]+Table1[[#This Row],[Accepted_Campaign_5]]+Table1[[#This Row],[Accepted_Campaign_4]]+Table1[[#This Row],[Accepted_Campaign_3]])</f>
        <v>1</v>
      </c>
      <c r="AC266">
        <v>1</v>
      </c>
      <c r="AD266">
        <v>0</v>
      </c>
    </row>
    <row r="267" spans="1:30" x14ac:dyDescent="0.25">
      <c r="A267">
        <v>41551</v>
      </c>
      <c r="B267">
        <v>4557</v>
      </c>
      <c r="C267">
        <v>1970</v>
      </c>
      <c r="D267" t="s">
        <v>20</v>
      </c>
      <c r="E267" t="s">
        <v>6</v>
      </c>
      <c r="F267" t="s">
        <v>12</v>
      </c>
      <c r="G267">
        <v>22070</v>
      </c>
      <c r="H267">
        <v>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f>SUM(Table1[[#This Row],[Gold Spending]]+Table1[[#This Row],[Sweet Spending]]+Table1[[#This Row],[Fish Spending]]+Table1[[#This Row],[Meat Spending]]+Table1[[#This Row],[Fruits Spending]]+Table1[[#This Row],[Wine Spending ]])</f>
        <v>67</v>
      </c>
      <c r="Q267">
        <v>2</v>
      </c>
      <c r="R267">
        <v>2</v>
      </c>
      <c r="S267">
        <v>2</v>
      </c>
      <c r="T267">
        <v>2</v>
      </c>
      <c r="U267">
        <f>SUM(Table1[[#This Row],[Store_Purchases]]+Table1[[#This Row],[Catalog_Purchases]]+Table1[[#This Row],[Web_Purchases]]+Table1[[#This Row],[Deal_Purchases]])</f>
        <v>8</v>
      </c>
      <c r="V267">
        <v>6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>SUM(Table1[[#This Row],[Accepted_Campaign_2]]+Table1[[#This Row],[Accepted_Campaign_1]]+Table1[[#This Row],[Accepted_Campaign_5]]+Table1[[#This Row],[Accepted_Campaign_4]]+Table1[[#This Row],[Accepted_Campaign_3]])</f>
        <v>0</v>
      </c>
      <c r="AC267">
        <v>0</v>
      </c>
      <c r="AD267">
        <v>0</v>
      </c>
    </row>
    <row r="268" spans="1:30" x14ac:dyDescent="0.25">
      <c r="A268">
        <v>41538</v>
      </c>
      <c r="B268">
        <v>1183</v>
      </c>
      <c r="C268">
        <v>1949</v>
      </c>
      <c r="D268" t="s">
        <v>16</v>
      </c>
      <c r="E268" t="s">
        <v>18</v>
      </c>
      <c r="F268" t="s">
        <v>11</v>
      </c>
      <c r="G268">
        <v>36408</v>
      </c>
      <c r="H268">
        <v>2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268">
        <v>1</v>
      </c>
      <c r="R268">
        <v>1</v>
      </c>
      <c r="S268">
        <v>0</v>
      </c>
      <c r="T268">
        <v>2</v>
      </c>
      <c r="U268">
        <f>SUM(Table1[[#This Row],[Store_Purchases]]+Table1[[#This Row],[Catalog_Purchases]]+Table1[[#This Row],[Web_Purchases]]+Table1[[#This Row],[Deal_Purchases]])</f>
        <v>4</v>
      </c>
      <c r="V268">
        <v>6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f>SUM(Table1[[#This Row],[Accepted_Campaign_2]]+Table1[[#This Row],[Accepted_Campaign_1]]+Table1[[#This Row],[Accepted_Campaign_5]]+Table1[[#This Row],[Accepted_Campaign_4]]+Table1[[#This Row],[Accepted_Campaign_3]])</f>
        <v>0</v>
      </c>
      <c r="AC268">
        <v>0</v>
      </c>
      <c r="AD268">
        <v>0</v>
      </c>
    </row>
    <row r="269" spans="1:30" x14ac:dyDescent="0.25">
      <c r="A269">
        <v>41491</v>
      </c>
      <c r="B269">
        <v>4186</v>
      </c>
      <c r="C269">
        <v>1950</v>
      </c>
      <c r="D269" t="s">
        <v>10</v>
      </c>
      <c r="E269" t="s">
        <v>6</v>
      </c>
      <c r="F269" t="s">
        <v>12</v>
      </c>
      <c r="G269">
        <v>34026</v>
      </c>
      <c r="H269">
        <v>2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f>SUM(Table1[[#This Row],[Gold Spending]]+Table1[[#This Row],[Sweet Spending]]+Table1[[#This Row],[Fish Spending]]+Table1[[#This Row],[Meat Spending]]+Table1[[#This Row],[Fruits Spending]]+Table1[[#This Row],[Wine Spending ]])</f>
        <v>76</v>
      </c>
      <c r="Q269">
        <v>3</v>
      </c>
      <c r="R269">
        <v>2</v>
      </c>
      <c r="S269">
        <v>1</v>
      </c>
      <c r="T269">
        <v>3</v>
      </c>
      <c r="U269">
        <f>SUM(Table1[[#This Row],[Store_Purchases]]+Table1[[#This Row],[Catalog_Purchases]]+Table1[[#This Row],[Web_Purchases]]+Table1[[#This Row],[Deal_Purchases]])</f>
        <v>9</v>
      </c>
      <c r="V269">
        <v>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f>SUM(Table1[[#This Row],[Accepted_Campaign_2]]+Table1[[#This Row],[Accepted_Campaign_1]]+Table1[[#This Row],[Accepted_Campaign_5]]+Table1[[#This Row],[Accepted_Campaign_4]]+Table1[[#This Row],[Accepted_Campaign_3]])</f>
        <v>0</v>
      </c>
      <c r="AC269">
        <v>0</v>
      </c>
      <c r="AD269">
        <v>0</v>
      </c>
    </row>
    <row r="270" spans="1:30" x14ac:dyDescent="0.25">
      <c r="A270">
        <v>41491</v>
      </c>
      <c r="B270">
        <v>1419</v>
      </c>
      <c r="C270">
        <v>1950</v>
      </c>
      <c r="D270" t="s">
        <v>8</v>
      </c>
      <c r="E270" t="s">
        <v>6</v>
      </c>
      <c r="F270" t="s">
        <v>12</v>
      </c>
      <c r="G270">
        <v>34026</v>
      </c>
      <c r="H270">
        <v>2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f>SUM(Table1[[#This Row],[Gold Spending]]+Table1[[#This Row],[Sweet Spending]]+Table1[[#This Row],[Fish Spending]]+Table1[[#This Row],[Meat Spending]]+Table1[[#This Row],[Fruits Spending]]+Table1[[#This Row],[Wine Spending ]])</f>
        <v>76</v>
      </c>
      <c r="Q270">
        <v>3</v>
      </c>
      <c r="R270">
        <v>2</v>
      </c>
      <c r="S270">
        <v>1</v>
      </c>
      <c r="T270">
        <v>3</v>
      </c>
      <c r="U270">
        <f>SUM(Table1[[#This Row],[Store_Purchases]]+Table1[[#This Row],[Catalog_Purchases]]+Table1[[#This Row],[Web_Purchases]]+Table1[[#This Row],[Deal_Purchases]])</f>
        <v>9</v>
      </c>
      <c r="V270">
        <v>5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f>SUM(Table1[[#This Row],[Accepted_Campaign_2]]+Table1[[#This Row],[Accepted_Campaign_1]]+Table1[[#This Row],[Accepted_Campaign_5]]+Table1[[#This Row],[Accepted_Campaign_4]]+Table1[[#This Row],[Accepted_Campaign_3]])</f>
        <v>0</v>
      </c>
      <c r="AC270">
        <v>0</v>
      </c>
      <c r="AD270">
        <v>0</v>
      </c>
    </row>
    <row r="271" spans="1:30" x14ac:dyDescent="0.25">
      <c r="A271">
        <v>41476</v>
      </c>
      <c r="B271">
        <v>967</v>
      </c>
      <c r="C271">
        <v>1976</v>
      </c>
      <c r="D271" t="s">
        <v>8</v>
      </c>
      <c r="E271" t="s">
        <v>6</v>
      </c>
      <c r="F271" t="s">
        <v>11</v>
      </c>
      <c r="G271">
        <v>46049</v>
      </c>
      <c r="H271">
        <v>2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f>SUM(Table1[[#This Row],[Gold Spending]]+Table1[[#This Row],[Sweet Spending]]+Table1[[#This Row],[Fish Spending]]+Table1[[#This Row],[Meat Spending]]+Table1[[#This Row],[Fruits Spending]]+Table1[[#This Row],[Wine Spending ]])</f>
        <v>515</v>
      </c>
      <c r="Q271">
        <v>10</v>
      </c>
      <c r="R271">
        <v>5</v>
      </c>
      <c r="S271">
        <v>2</v>
      </c>
      <c r="T271">
        <v>9</v>
      </c>
      <c r="U271">
        <f>SUM(Table1[[#This Row],[Store_Purchases]]+Table1[[#This Row],[Catalog_Purchases]]+Table1[[#This Row],[Web_Purchases]]+Table1[[#This Row],[Deal_Purchases]])</f>
        <v>26</v>
      </c>
      <c r="V271">
        <v>7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f>SUM(Table1[[#This Row],[Accepted_Campaign_2]]+Table1[[#This Row],[Accepted_Campaign_1]]+Table1[[#This Row],[Accepted_Campaign_5]]+Table1[[#This Row],[Accepted_Campaign_4]]+Table1[[#This Row],[Accepted_Campaign_3]])</f>
        <v>0</v>
      </c>
      <c r="AC271">
        <v>1</v>
      </c>
      <c r="AD271">
        <v>0</v>
      </c>
    </row>
    <row r="272" spans="1:30" x14ac:dyDescent="0.25">
      <c r="A272">
        <v>41469</v>
      </c>
      <c r="B272">
        <v>1048</v>
      </c>
      <c r="C272">
        <v>1972</v>
      </c>
      <c r="D272" t="s">
        <v>20</v>
      </c>
      <c r="E272" t="s">
        <v>18</v>
      </c>
      <c r="F272" t="s">
        <v>11</v>
      </c>
      <c r="G272">
        <v>35641</v>
      </c>
      <c r="H272">
        <v>1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f>SUM(Table1[[#This Row],[Gold Spending]]+Table1[[#This Row],[Sweet Spending]]+Table1[[#This Row],[Fish Spending]]+Table1[[#This Row],[Meat Spending]]+Table1[[#This Row],[Fruits Spending]]+Table1[[#This Row],[Wine Spending ]])</f>
        <v>178</v>
      </c>
      <c r="Q272">
        <v>2</v>
      </c>
      <c r="R272">
        <v>3</v>
      </c>
      <c r="S272">
        <v>1</v>
      </c>
      <c r="T272">
        <v>4</v>
      </c>
      <c r="U272">
        <f>SUM(Table1[[#This Row],[Store_Purchases]]+Table1[[#This Row],[Catalog_Purchases]]+Table1[[#This Row],[Web_Purchases]]+Table1[[#This Row],[Deal_Purchases]])</f>
        <v>10</v>
      </c>
      <c r="V272">
        <v>7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f>SUM(Table1[[#This Row],[Accepted_Campaign_2]]+Table1[[#This Row],[Accepted_Campaign_1]]+Table1[[#This Row],[Accepted_Campaign_5]]+Table1[[#This Row],[Accepted_Campaign_4]]+Table1[[#This Row],[Accepted_Campaign_3]])</f>
        <v>0</v>
      </c>
      <c r="AC272">
        <v>1</v>
      </c>
      <c r="AD272">
        <v>0</v>
      </c>
    </row>
    <row r="273" spans="1:30" x14ac:dyDescent="0.25">
      <c r="A273">
        <v>41459</v>
      </c>
      <c r="B273">
        <v>9262</v>
      </c>
      <c r="C273">
        <v>1984</v>
      </c>
      <c r="D273" t="s">
        <v>20</v>
      </c>
      <c r="E273" t="s">
        <v>15</v>
      </c>
      <c r="F273" t="s">
        <v>12</v>
      </c>
      <c r="G273">
        <v>32414</v>
      </c>
      <c r="H273">
        <v>0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f>SUM(Table1[[#This Row],[Gold Spending]]+Table1[[#This Row],[Sweet Spending]]+Table1[[#This Row],[Fish Spending]]+Table1[[#This Row],[Meat Spending]]+Table1[[#This Row],[Fruits Spending]]+Table1[[#This Row],[Wine Spending ]])</f>
        <v>52</v>
      </c>
      <c r="Q273">
        <v>1</v>
      </c>
      <c r="R273">
        <v>1</v>
      </c>
      <c r="S273">
        <v>0</v>
      </c>
      <c r="T273">
        <v>3</v>
      </c>
      <c r="U273">
        <f>SUM(Table1[[#This Row],[Store_Purchases]]+Table1[[#This Row],[Catalog_Purchases]]+Table1[[#This Row],[Web_Purchases]]+Table1[[#This Row],[Deal_Purchases]])</f>
        <v>5</v>
      </c>
      <c r="V273">
        <v>7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f>SUM(Table1[[#This Row],[Accepted_Campaign_2]]+Table1[[#This Row],[Accepted_Campaign_1]]+Table1[[#This Row],[Accepted_Campaign_5]]+Table1[[#This Row],[Accepted_Campaign_4]]+Table1[[#This Row],[Accepted_Campaign_3]])</f>
        <v>1</v>
      </c>
      <c r="AC273">
        <v>0</v>
      </c>
      <c r="AD273">
        <v>0</v>
      </c>
    </row>
    <row r="274" spans="1:30" x14ac:dyDescent="0.25">
      <c r="A274">
        <v>41376</v>
      </c>
      <c r="B274">
        <v>3427</v>
      </c>
      <c r="C274">
        <v>1955</v>
      </c>
      <c r="D274" t="s">
        <v>20</v>
      </c>
      <c r="E274" t="s">
        <v>14</v>
      </c>
      <c r="F274" t="s">
        <v>11</v>
      </c>
      <c r="G274">
        <v>59821</v>
      </c>
      <c r="H274">
        <v>1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f>SUM(Table1[[#This Row],[Gold Spending]]+Table1[[#This Row],[Sweet Spending]]+Table1[[#This Row],[Fish Spending]]+Table1[[#This Row],[Meat Spending]]+Table1[[#This Row],[Fruits Spending]]+Table1[[#This Row],[Wine Spending ]])</f>
        <v>734</v>
      </c>
      <c r="Q274">
        <v>6</v>
      </c>
      <c r="R274">
        <v>11</v>
      </c>
      <c r="S274">
        <v>2</v>
      </c>
      <c r="T274">
        <v>7</v>
      </c>
      <c r="U274">
        <f>SUM(Table1[[#This Row],[Store_Purchases]]+Table1[[#This Row],[Catalog_Purchases]]+Table1[[#This Row],[Web_Purchases]]+Table1[[#This Row],[Deal_Purchases]])</f>
        <v>26</v>
      </c>
      <c r="V274">
        <v>8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f>SUM(Table1[[#This Row],[Accepted_Campaign_2]]+Table1[[#This Row],[Accepted_Campaign_1]]+Table1[[#This Row],[Accepted_Campaign_5]]+Table1[[#This Row],[Accepted_Campaign_4]]+Table1[[#This Row],[Accepted_Campaign_3]])</f>
        <v>0</v>
      </c>
      <c r="AC274">
        <v>0</v>
      </c>
      <c r="AD274">
        <v>0</v>
      </c>
    </row>
    <row r="275" spans="1:30" x14ac:dyDescent="0.25">
      <c r="A275">
        <v>41374</v>
      </c>
      <c r="B275">
        <v>5892</v>
      </c>
      <c r="C275">
        <v>1980</v>
      </c>
      <c r="D275" t="s">
        <v>20</v>
      </c>
      <c r="E275" t="s">
        <v>6</v>
      </c>
      <c r="F275" t="s">
        <v>11</v>
      </c>
      <c r="G275">
        <v>34968</v>
      </c>
      <c r="H275">
        <v>1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f>SUM(Table1[[#This Row],[Gold Spending]]+Table1[[#This Row],[Sweet Spending]]+Table1[[#This Row],[Fish Spending]]+Table1[[#This Row],[Meat Spending]]+Table1[[#This Row],[Fruits Spending]]+Table1[[#This Row],[Wine Spending ]])</f>
        <v>221</v>
      </c>
      <c r="Q275">
        <v>7</v>
      </c>
      <c r="R275">
        <v>3</v>
      </c>
      <c r="S275">
        <v>2</v>
      </c>
      <c r="T275">
        <v>5</v>
      </c>
      <c r="U275">
        <f>SUM(Table1[[#This Row],[Store_Purchases]]+Table1[[#This Row],[Catalog_Purchases]]+Table1[[#This Row],[Web_Purchases]]+Table1[[#This Row],[Deal_Purchases]])</f>
        <v>17</v>
      </c>
      <c r="V275">
        <v>7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f>SUM(Table1[[#This Row],[Accepted_Campaign_2]]+Table1[[#This Row],[Accepted_Campaign_1]]+Table1[[#This Row],[Accepted_Campaign_5]]+Table1[[#This Row],[Accepted_Campaign_4]]+Table1[[#This Row],[Accepted_Campaign_3]])</f>
        <v>0</v>
      </c>
      <c r="AC275">
        <v>0</v>
      </c>
      <c r="AD275">
        <v>0</v>
      </c>
    </row>
    <row r="276" spans="1:30" x14ac:dyDescent="0.25">
      <c r="A276">
        <v>41372</v>
      </c>
      <c r="B276">
        <v>8911</v>
      </c>
      <c r="C276">
        <v>1967</v>
      </c>
      <c r="D276" t="s">
        <v>8</v>
      </c>
      <c r="E276" t="s">
        <v>14</v>
      </c>
      <c r="F276" t="s">
        <v>11</v>
      </c>
      <c r="G276">
        <v>56320</v>
      </c>
      <c r="H276">
        <v>1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f>SUM(Table1[[#This Row],[Gold Spending]]+Table1[[#This Row],[Sweet Spending]]+Table1[[#This Row],[Fish Spending]]+Table1[[#This Row],[Meat Spending]]+Table1[[#This Row],[Fruits Spending]]+Table1[[#This Row],[Wine Spending ]])</f>
        <v>702</v>
      </c>
      <c r="Q276">
        <v>3</v>
      </c>
      <c r="R276">
        <v>5</v>
      </c>
      <c r="S276">
        <v>4</v>
      </c>
      <c r="T276">
        <v>9</v>
      </c>
      <c r="U276">
        <f>SUM(Table1[[#This Row],[Store_Purchases]]+Table1[[#This Row],[Catalog_Purchases]]+Table1[[#This Row],[Web_Purchases]]+Table1[[#This Row],[Deal_Purchases]])</f>
        <v>21</v>
      </c>
      <c r="V276">
        <v>4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f>SUM(Table1[[#This Row],[Accepted_Campaign_2]]+Table1[[#This Row],[Accepted_Campaign_1]]+Table1[[#This Row],[Accepted_Campaign_5]]+Table1[[#This Row],[Accepted_Campaign_4]]+Table1[[#This Row],[Accepted_Campaign_3]])</f>
        <v>0</v>
      </c>
      <c r="AC276">
        <v>0</v>
      </c>
      <c r="AD276">
        <v>0</v>
      </c>
    </row>
    <row r="277" spans="1:30" x14ac:dyDescent="0.25">
      <c r="A277">
        <v>41364</v>
      </c>
      <c r="B277">
        <v>6606</v>
      </c>
      <c r="C277">
        <v>1969</v>
      </c>
      <c r="D277" t="s">
        <v>8</v>
      </c>
      <c r="E277" t="s">
        <v>18</v>
      </c>
      <c r="F277" t="s">
        <v>11</v>
      </c>
      <c r="G277">
        <v>70091</v>
      </c>
      <c r="H277">
        <v>1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f>SUM(Table1[[#This Row],[Gold Spending]]+Table1[[#This Row],[Sweet Spending]]+Table1[[#This Row],[Fish Spending]]+Table1[[#This Row],[Meat Spending]]+Table1[[#This Row],[Fruits Spending]]+Table1[[#This Row],[Wine Spending ]])</f>
        <v>1161</v>
      </c>
      <c r="Q277">
        <v>2</v>
      </c>
      <c r="R277">
        <v>5</v>
      </c>
      <c r="S277">
        <v>2</v>
      </c>
      <c r="T277">
        <v>10</v>
      </c>
      <c r="U277">
        <f>SUM(Table1[[#This Row],[Store_Purchases]]+Table1[[#This Row],[Catalog_Purchases]]+Table1[[#This Row],[Web_Purchases]]+Table1[[#This Row],[Deal_Purchases]])</f>
        <v>19</v>
      </c>
      <c r="V277">
        <v>8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f>SUM(Table1[[#This Row],[Accepted_Campaign_2]]+Table1[[#This Row],[Accepted_Campaign_1]]+Table1[[#This Row],[Accepted_Campaign_5]]+Table1[[#This Row],[Accepted_Campaign_4]]+Table1[[#This Row],[Accepted_Campaign_3]])</f>
        <v>1</v>
      </c>
      <c r="AC277">
        <v>0</v>
      </c>
      <c r="AD277">
        <v>0</v>
      </c>
    </row>
    <row r="278" spans="1:30" x14ac:dyDescent="0.25">
      <c r="A278">
        <v>41364</v>
      </c>
      <c r="B278">
        <v>2677</v>
      </c>
      <c r="C278">
        <v>1956</v>
      </c>
      <c r="D278" t="s">
        <v>20</v>
      </c>
      <c r="E278" t="s">
        <v>6</v>
      </c>
      <c r="F278" t="s">
        <v>12</v>
      </c>
      <c r="G278">
        <v>46097</v>
      </c>
      <c r="H278">
        <v>1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f>SUM(Table1[[#This Row],[Gold Spending]]+Table1[[#This Row],[Sweet Spending]]+Table1[[#This Row],[Fish Spending]]+Table1[[#This Row],[Meat Spending]]+Table1[[#This Row],[Fruits Spending]]+Table1[[#This Row],[Wine Spending ]])</f>
        <v>241</v>
      </c>
      <c r="Q278">
        <v>5</v>
      </c>
      <c r="R278">
        <v>3</v>
      </c>
      <c r="S278">
        <v>1</v>
      </c>
      <c r="T278">
        <v>6</v>
      </c>
      <c r="U278">
        <f>SUM(Table1[[#This Row],[Store_Purchases]]+Table1[[#This Row],[Catalog_Purchases]]+Table1[[#This Row],[Web_Purchases]]+Table1[[#This Row],[Deal_Purchases]])</f>
        <v>15</v>
      </c>
      <c r="V278">
        <v>4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f>SUM(Table1[[#This Row],[Accepted_Campaign_2]]+Table1[[#This Row],[Accepted_Campaign_1]]+Table1[[#This Row],[Accepted_Campaign_5]]+Table1[[#This Row],[Accepted_Campaign_4]]+Table1[[#This Row],[Accepted_Campaign_3]])</f>
        <v>0</v>
      </c>
      <c r="AC278">
        <v>0</v>
      </c>
      <c r="AD278">
        <v>0</v>
      </c>
    </row>
    <row r="279" spans="1:30" x14ac:dyDescent="0.25">
      <c r="A279">
        <v>41350</v>
      </c>
      <c r="B279">
        <v>252</v>
      </c>
      <c r="C279">
        <v>1963</v>
      </c>
      <c r="D279" t="s">
        <v>20</v>
      </c>
      <c r="E279" t="s">
        <v>14</v>
      </c>
      <c r="F279" t="s">
        <v>7</v>
      </c>
      <c r="G279">
        <v>41003</v>
      </c>
      <c r="H279">
        <v>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f>SUM(Table1[[#This Row],[Gold Spending]]+Table1[[#This Row],[Sweet Spending]]+Table1[[#This Row],[Fish Spending]]+Table1[[#This Row],[Meat Spending]]+Table1[[#This Row],[Fruits Spending]]+Table1[[#This Row],[Wine Spending ]])</f>
        <v>601</v>
      </c>
      <c r="Q279">
        <v>1</v>
      </c>
      <c r="R279">
        <v>6</v>
      </c>
      <c r="S279">
        <v>2</v>
      </c>
      <c r="T279">
        <v>8</v>
      </c>
      <c r="U279">
        <f>SUM(Table1[[#This Row],[Store_Purchases]]+Table1[[#This Row],[Catalog_Purchases]]+Table1[[#This Row],[Web_Purchases]]+Table1[[#This Row],[Deal_Purchases]])</f>
        <v>17</v>
      </c>
      <c r="V279">
        <v>6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>SUM(Table1[[#This Row],[Accepted_Campaign_2]]+Table1[[#This Row],[Accepted_Campaign_1]]+Table1[[#This Row],[Accepted_Campaign_5]]+Table1[[#This Row],[Accepted_Campaign_4]]+Table1[[#This Row],[Accepted_Campaign_3]])</f>
        <v>0</v>
      </c>
      <c r="AC279">
        <v>0</v>
      </c>
      <c r="AD279">
        <v>0</v>
      </c>
    </row>
    <row r="280" spans="1:30" x14ac:dyDescent="0.25">
      <c r="A280">
        <v>41348</v>
      </c>
      <c r="B280">
        <v>9860</v>
      </c>
      <c r="C280">
        <v>1959</v>
      </c>
      <c r="D280" t="s">
        <v>8</v>
      </c>
      <c r="E280" t="s">
        <v>6</v>
      </c>
      <c r="F280" t="s">
        <v>12</v>
      </c>
      <c r="G280">
        <v>44911</v>
      </c>
      <c r="H280">
        <v>1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f>SUM(Table1[[#This Row],[Gold Spending]]+Table1[[#This Row],[Sweet Spending]]+Table1[[#This Row],[Fish Spending]]+Table1[[#This Row],[Meat Spending]]+Table1[[#This Row],[Fruits Spending]]+Table1[[#This Row],[Wine Spending ]])</f>
        <v>215</v>
      </c>
      <c r="Q280">
        <v>3</v>
      </c>
      <c r="R280">
        <v>4</v>
      </c>
      <c r="S280">
        <v>1</v>
      </c>
      <c r="T280">
        <v>4</v>
      </c>
      <c r="U280">
        <f>SUM(Table1[[#This Row],[Store_Purchases]]+Table1[[#This Row],[Catalog_Purchases]]+Table1[[#This Row],[Web_Purchases]]+Table1[[#This Row],[Deal_Purchases]])</f>
        <v>12</v>
      </c>
      <c r="V280">
        <v>7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>SUM(Table1[[#This Row],[Accepted_Campaign_2]]+Table1[[#This Row],[Accepted_Campaign_1]]+Table1[[#This Row],[Accepted_Campaign_5]]+Table1[[#This Row],[Accepted_Campaign_4]]+Table1[[#This Row],[Accepted_Campaign_3]])</f>
        <v>0</v>
      </c>
      <c r="AC280">
        <v>0</v>
      </c>
      <c r="AD280">
        <v>0</v>
      </c>
    </row>
    <row r="281" spans="1:30" x14ac:dyDescent="0.25">
      <c r="A281">
        <v>41325</v>
      </c>
      <c r="B281">
        <v>1388</v>
      </c>
      <c r="C281">
        <v>1975</v>
      </c>
      <c r="D281" t="s">
        <v>13</v>
      </c>
      <c r="E281" t="s">
        <v>6</v>
      </c>
      <c r="F281" t="s">
        <v>9</v>
      </c>
      <c r="G281">
        <v>33249</v>
      </c>
      <c r="H281">
        <v>1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f>SUM(Table1[[#This Row],[Gold Spending]]+Table1[[#This Row],[Sweet Spending]]+Table1[[#This Row],[Fish Spending]]+Table1[[#This Row],[Meat Spending]]+Table1[[#This Row],[Fruits Spending]]+Table1[[#This Row],[Wine Spending ]])</f>
        <v>112</v>
      </c>
      <c r="Q281">
        <v>2</v>
      </c>
      <c r="R281">
        <v>2</v>
      </c>
      <c r="S281">
        <v>1</v>
      </c>
      <c r="T281">
        <v>3</v>
      </c>
      <c r="U281">
        <f>SUM(Table1[[#This Row],[Store_Purchases]]+Table1[[#This Row],[Catalog_Purchases]]+Table1[[#This Row],[Web_Purchases]]+Table1[[#This Row],[Deal_Purchases]])</f>
        <v>8</v>
      </c>
      <c r="V281">
        <v>6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f>SUM(Table1[[#This Row],[Accepted_Campaign_2]]+Table1[[#This Row],[Accepted_Campaign_1]]+Table1[[#This Row],[Accepted_Campaign_5]]+Table1[[#This Row],[Accepted_Campaign_4]]+Table1[[#This Row],[Accepted_Campaign_3]])</f>
        <v>0</v>
      </c>
      <c r="AC281">
        <v>0</v>
      </c>
      <c r="AD281">
        <v>0</v>
      </c>
    </row>
    <row r="282" spans="1:30" x14ac:dyDescent="0.25">
      <c r="A282">
        <v>41325</v>
      </c>
      <c r="B282">
        <v>979</v>
      </c>
      <c r="C282">
        <v>1975</v>
      </c>
      <c r="D282" t="s">
        <v>8</v>
      </c>
      <c r="E282" t="s">
        <v>6</v>
      </c>
      <c r="F282" t="s">
        <v>9</v>
      </c>
      <c r="G282">
        <v>33249</v>
      </c>
      <c r="H282">
        <v>1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f>SUM(Table1[[#This Row],[Gold Spending]]+Table1[[#This Row],[Sweet Spending]]+Table1[[#This Row],[Fish Spending]]+Table1[[#This Row],[Meat Spending]]+Table1[[#This Row],[Fruits Spending]]+Table1[[#This Row],[Wine Spending ]])</f>
        <v>112</v>
      </c>
      <c r="Q282">
        <v>2</v>
      </c>
      <c r="R282">
        <v>2</v>
      </c>
      <c r="S282">
        <v>1</v>
      </c>
      <c r="T282">
        <v>3</v>
      </c>
      <c r="U282">
        <f>SUM(Table1[[#This Row],[Store_Purchases]]+Table1[[#This Row],[Catalog_Purchases]]+Table1[[#This Row],[Web_Purchases]]+Table1[[#This Row],[Deal_Purchases]])</f>
        <v>8</v>
      </c>
      <c r="V282">
        <v>6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>SUM(Table1[[#This Row],[Accepted_Campaign_2]]+Table1[[#This Row],[Accepted_Campaign_1]]+Table1[[#This Row],[Accepted_Campaign_5]]+Table1[[#This Row],[Accepted_Campaign_4]]+Table1[[#This Row],[Accepted_Campaign_3]])</f>
        <v>0</v>
      </c>
      <c r="AC282">
        <v>0</v>
      </c>
      <c r="AD282">
        <v>0</v>
      </c>
    </row>
    <row r="283" spans="1:30" x14ac:dyDescent="0.25">
      <c r="A283">
        <v>41295</v>
      </c>
      <c r="B283">
        <v>7494</v>
      </c>
      <c r="C283">
        <v>1950</v>
      </c>
      <c r="D283" t="s">
        <v>10</v>
      </c>
      <c r="E283" t="s">
        <v>14</v>
      </c>
      <c r="F283" t="s">
        <v>7</v>
      </c>
      <c r="G283">
        <v>42873</v>
      </c>
      <c r="H283">
        <v>2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f>SUM(Table1[[#This Row],[Gold Spending]]+Table1[[#This Row],[Sweet Spending]]+Table1[[#This Row],[Fish Spending]]+Table1[[#This Row],[Meat Spending]]+Table1[[#This Row],[Fruits Spending]]+Table1[[#This Row],[Wine Spending ]])</f>
        <v>269</v>
      </c>
      <c r="Q283">
        <v>4</v>
      </c>
      <c r="R283">
        <v>6</v>
      </c>
      <c r="S283">
        <v>1</v>
      </c>
      <c r="T283">
        <v>4</v>
      </c>
      <c r="U283">
        <f>SUM(Table1[[#This Row],[Store_Purchases]]+Table1[[#This Row],[Catalog_Purchases]]+Table1[[#This Row],[Web_Purchases]]+Table1[[#This Row],[Deal_Purchases]])</f>
        <v>15</v>
      </c>
      <c r="V283">
        <v>8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>SUM(Table1[[#This Row],[Accepted_Campaign_2]]+Table1[[#This Row],[Accepted_Campaign_1]]+Table1[[#This Row],[Accepted_Campaign_5]]+Table1[[#This Row],[Accepted_Campaign_4]]+Table1[[#This Row],[Accepted_Campaign_3]])</f>
        <v>0</v>
      </c>
      <c r="AC283">
        <v>0</v>
      </c>
      <c r="AD283">
        <v>0</v>
      </c>
    </row>
    <row r="284" spans="1:30" x14ac:dyDescent="0.25">
      <c r="A284">
        <v>41253</v>
      </c>
      <c r="B284">
        <v>10490</v>
      </c>
      <c r="C284">
        <v>1969</v>
      </c>
      <c r="D284" t="s">
        <v>13</v>
      </c>
      <c r="E284" t="s">
        <v>14</v>
      </c>
      <c r="F284" t="s">
        <v>11</v>
      </c>
      <c r="G284">
        <v>51039</v>
      </c>
      <c r="H284">
        <v>2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f>SUM(Table1[[#This Row],[Gold Spending]]+Table1[[#This Row],[Sweet Spending]]+Table1[[#This Row],[Fish Spending]]+Table1[[#This Row],[Meat Spending]]+Table1[[#This Row],[Fruits Spending]]+Table1[[#This Row],[Wine Spending ]])</f>
        <v>417</v>
      </c>
      <c r="Q284">
        <v>2</v>
      </c>
      <c r="R284">
        <v>6</v>
      </c>
      <c r="S284">
        <v>2</v>
      </c>
      <c r="T284">
        <v>4</v>
      </c>
      <c r="U284">
        <f>SUM(Table1[[#This Row],[Store_Purchases]]+Table1[[#This Row],[Catalog_Purchases]]+Table1[[#This Row],[Web_Purchases]]+Table1[[#This Row],[Deal_Purchases]])</f>
        <v>14</v>
      </c>
      <c r="V284">
        <v>7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f>SUM(Table1[[#This Row],[Accepted_Campaign_2]]+Table1[[#This Row],[Accepted_Campaign_1]]+Table1[[#This Row],[Accepted_Campaign_5]]+Table1[[#This Row],[Accepted_Campaign_4]]+Table1[[#This Row],[Accepted_Campaign_3]])</f>
        <v>0</v>
      </c>
      <c r="AC284">
        <v>0</v>
      </c>
      <c r="AD284">
        <v>0</v>
      </c>
    </row>
    <row r="285" spans="1:30" x14ac:dyDescent="0.25">
      <c r="A285">
        <v>41176</v>
      </c>
      <c r="B285">
        <v>3403</v>
      </c>
      <c r="C285">
        <v>1958</v>
      </c>
      <c r="D285" t="s">
        <v>8</v>
      </c>
      <c r="E285" t="s">
        <v>14</v>
      </c>
      <c r="F285" t="s">
        <v>12</v>
      </c>
      <c r="G285">
        <v>78952</v>
      </c>
      <c r="H285">
        <v>1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f>SUM(Table1[[#This Row],[Gold Spending]]+Table1[[#This Row],[Sweet Spending]]+Table1[[#This Row],[Fish Spending]]+Table1[[#This Row],[Meat Spending]]+Table1[[#This Row],[Fruits Spending]]+Table1[[#This Row],[Wine Spending ]])</f>
        <v>2092</v>
      </c>
      <c r="Q285">
        <v>2</v>
      </c>
      <c r="R285">
        <v>2</v>
      </c>
      <c r="S285">
        <v>5</v>
      </c>
      <c r="T285">
        <v>12</v>
      </c>
      <c r="U285">
        <f>SUM(Table1[[#This Row],[Store_Purchases]]+Table1[[#This Row],[Catalog_Purchases]]+Table1[[#This Row],[Web_Purchases]]+Table1[[#This Row],[Deal_Purchases]])</f>
        <v>21</v>
      </c>
      <c r="V285">
        <v>6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>SUM(Table1[[#This Row],[Accepted_Campaign_2]]+Table1[[#This Row],[Accepted_Campaign_1]]+Table1[[#This Row],[Accepted_Campaign_5]]+Table1[[#This Row],[Accepted_Campaign_4]]+Table1[[#This Row],[Accepted_Campaign_3]])</f>
        <v>0</v>
      </c>
      <c r="AC285">
        <v>0</v>
      </c>
      <c r="AD285">
        <v>0</v>
      </c>
    </row>
    <row r="286" spans="1:30" x14ac:dyDescent="0.25">
      <c r="A286">
        <v>41127</v>
      </c>
      <c r="B286">
        <v>2715</v>
      </c>
      <c r="C286">
        <v>1966</v>
      </c>
      <c r="D286" t="s">
        <v>10</v>
      </c>
      <c r="E286" t="s">
        <v>18</v>
      </c>
      <c r="F286" t="s">
        <v>7</v>
      </c>
      <c r="G286">
        <v>29435</v>
      </c>
      <c r="H286">
        <v>2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f>SUM(Table1[[#This Row],[Gold Spending]]+Table1[[#This Row],[Sweet Spending]]+Table1[[#This Row],[Fish Spending]]+Table1[[#This Row],[Meat Spending]]+Table1[[#This Row],[Fruits Spending]]+Table1[[#This Row],[Wine Spending ]])</f>
        <v>180</v>
      </c>
      <c r="Q286">
        <v>4</v>
      </c>
      <c r="R286">
        <v>3</v>
      </c>
      <c r="S286">
        <v>2</v>
      </c>
      <c r="T286">
        <v>2</v>
      </c>
      <c r="U286">
        <f>SUM(Table1[[#This Row],[Store_Purchases]]+Table1[[#This Row],[Catalog_Purchases]]+Table1[[#This Row],[Web_Purchases]]+Table1[[#This Row],[Deal_Purchases]])</f>
        <v>11</v>
      </c>
      <c r="V286">
        <v>9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f>SUM(Table1[[#This Row],[Accepted_Campaign_2]]+Table1[[#This Row],[Accepted_Campaign_1]]+Table1[[#This Row],[Accepted_Campaign_5]]+Table1[[#This Row],[Accepted_Campaign_4]]+Table1[[#This Row],[Accepted_Campaign_3]])</f>
        <v>0</v>
      </c>
      <c r="AC286">
        <v>1</v>
      </c>
      <c r="AD286">
        <v>0</v>
      </c>
    </row>
    <row r="287" spans="1:30" x14ac:dyDescent="0.25">
      <c r="A287">
        <v>41808</v>
      </c>
      <c r="B287">
        <v>4828</v>
      </c>
      <c r="C287">
        <v>1954</v>
      </c>
      <c r="D287" t="s">
        <v>20</v>
      </c>
      <c r="E287" t="s">
        <v>6</v>
      </c>
      <c r="F287" t="s">
        <v>7</v>
      </c>
      <c r="G287">
        <v>79865</v>
      </c>
      <c r="H287">
        <v>1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f>SUM(Table1[[#This Row],[Gold Spending]]+Table1[[#This Row],[Sweet Spending]]+Table1[[#This Row],[Fish Spending]]+Table1[[#This Row],[Meat Spending]]+Table1[[#This Row],[Fruits Spending]]+Table1[[#This Row],[Wine Spending ]])</f>
        <v>792</v>
      </c>
      <c r="Q287">
        <v>1</v>
      </c>
      <c r="R287">
        <v>5</v>
      </c>
      <c r="S287">
        <v>10</v>
      </c>
      <c r="T287">
        <v>5</v>
      </c>
      <c r="U287">
        <f>SUM(Table1[[#This Row],[Store_Purchases]]+Table1[[#This Row],[Catalog_Purchases]]+Table1[[#This Row],[Web_Purchases]]+Table1[[#This Row],[Deal_Purchases]])</f>
        <v>21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>SUM(Table1[[#This Row],[Accepted_Campaign_2]]+Table1[[#This Row],[Accepted_Campaign_1]]+Table1[[#This Row],[Accepted_Campaign_5]]+Table1[[#This Row],[Accepted_Campaign_4]]+Table1[[#This Row],[Accepted_Campaign_3]])</f>
        <v>0</v>
      </c>
      <c r="AC287">
        <v>0</v>
      </c>
      <c r="AD287">
        <v>0</v>
      </c>
    </row>
    <row r="288" spans="1:30" x14ac:dyDescent="0.25">
      <c r="A288">
        <v>41771</v>
      </c>
      <c r="B288">
        <v>92</v>
      </c>
      <c r="C288">
        <v>1988</v>
      </c>
      <c r="D288" t="s">
        <v>10</v>
      </c>
      <c r="E288" t="s">
        <v>6</v>
      </c>
      <c r="F288" t="s">
        <v>9</v>
      </c>
      <c r="G288">
        <v>34176</v>
      </c>
      <c r="H288">
        <v>1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f>SUM(Table1[[#This Row],[Gold Spending]]+Table1[[#This Row],[Sweet Spending]]+Table1[[#This Row],[Fish Spending]]+Table1[[#This Row],[Meat Spending]]+Table1[[#This Row],[Fruits Spending]]+Table1[[#This Row],[Wine Spending ]])</f>
        <v>89</v>
      </c>
      <c r="Q288">
        <v>4</v>
      </c>
      <c r="R288">
        <v>3</v>
      </c>
      <c r="S288">
        <v>0</v>
      </c>
      <c r="T288">
        <v>4</v>
      </c>
      <c r="U288">
        <f>SUM(Table1[[#This Row],[Store_Purchases]]+Table1[[#This Row],[Catalog_Purchases]]+Table1[[#This Row],[Web_Purchases]]+Table1[[#This Row],[Deal_Purchases]])</f>
        <v>11</v>
      </c>
      <c r="V288">
        <v>6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>SUM(Table1[[#This Row],[Accepted_Campaign_2]]+Table1[[#This Row],[Accepted_Campaign_1]]+Table1[[#This Row],[Accepted_Campaign_5]]+Table1[[#This Row],[Accepted_Campaign_4]]+Table1[[#This Row],[Accepted_Campaign_3]])</f>
        <v>0</v>
      </c>
      <c r="AC288">
        <v>0</v>
      </c>
      <c r="AD288">
        <v>0</v>
      </c>
    </row>
    <row r="289" spans="1:30" x14ac:dyDescent="0.25">
      <c r="A289">
        <v>41771</v>
      </c>
      <c r="B289">
        <v>3312</v>
      </c>
      <c r="C289">
        <v>1988</v>
      </c>
      <c r="D289" t="s">
        <v>17</v>
      </c>
      <c r="E289" t="s">
        <v>6</v>
      </c>
      <c r="F289" t="s">
        <v>9</v>
      </c>
      <c r="G289">
        <v>34176</v>
      </c>
      <c r="H289">
        <v>1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f>SUM(Table1[[#This Row],[Gold Spending]]+Table1[[#This Row],[Sweet Spending]]+Table1[[#This Row],[Fish Spending]]+Table1[[#This Row],[Meat Spending]]+Table1[[#This Row],[Fruits Spending]]+Table1[[#This Row],[Wine Spending ]])</f>
        <v>89</v>
      </c>
      <c r="Q289">
        <v>4</v>
      </c>
      <c r="R289">
        <v>3</v>
      </c>
      <c r="S289">
        <v>0</v>
      </c>
      <c r="T289">
        <v>4</v>
      </c>
      <c r="U289">
        <f>SUM(Table1[[#This Row],[Store_Purchases]]+Table1[[#This Row],[Catalog_Purchases]]+Table1[[#This Row],[Web_Purchases]]+Table1[[#This Row],[Deal_Purchases]])</f>
        <v>11</v>
      </c>
      <c r="V289">
        <v>6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>SUM(Table1[[#This Row],[Accepted_Campaign_2]]+Table1[[#This Row],[Accepted_Campaign_1]]+Table1[[#This Row],[Accepted_Campaign_5]]+Table1[[#This Row],[Accepted_Campaign_4]]+Table1[[#This Row],[Accepted_Campaign_3]])</f>
        <v>0</v>
      </c>
      <c r="AC289">
        <v>0</v>
      </c>
      <c r="AD289">
        <v>0</v>
      </c>
    </row>
    <row r="290" spans="1:30" x14ac:dyDescent="0.25">
      <c r="A290">
        <v>41771</v>
      </c>
      <c r="B290">
        <v>11176</v>
      </c>
      <c r="C290">
        <v>1970</v>
      </c>
      <c r="D290" t="s">
        <v>10</v>
      </c>
      <c r="E290" t="s">
        <v>14</v>
      </c>
      <c r="F290" t="s">
        <v>12</v>
      </c>
      <c r="G290">
        <v>65968</v>
      </c>
      <c r="H290">
        <v>1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f>SUM(Table1[[#This Row],[Gold Spending]]+Table1[[#This Row],[Sweet Spending]]+Table1[[#This Row],[Fish Spending]]+Table1[[#This Row],[Meat Spending]]+Table1[[#This Row],[Fruits Spending]]+Table1[[#This Row],[Wine Spending ]])</f>
        <v>495</v>
      </c>
      <c r="Q290">
        <v>2</v>
      </c>
      <c r="R290">
        <v>5</v>
      </c>
      <c r="S290">
        <v>4</v>
      </c>
      <c r="T290">
        <v>7</v>
      </c>
      <c r="U290">
        <f>SUM(Table1[[#This Row],[Store_Purchases]]+Table1[[#This Row],[Catalog_Purchases]]+Table1[[#This Row],[Web_Purchases]]+Table1[[#This Row],[Deal_Purchases]])</f>
        <v>18</v>
      </c>
      <c r="V290">
        <v>3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f>SUM(Table1[[#This Row],[Accepted_Campaign_2]]+Table1[[#This Row],[Accepted_Campaign_1]]+Table1[[#This Row],[Accepted_Campaign_5]]+Table1[[#This Row],[Accepted_Campaign_4]]+Table1[[#This Row],[Accepted_Campaign_3]])</f>
        <v>0</v>
      </c>
      <c r="AC290">
        <v>0</v>
      </c>
      <c r="AD290">
        <v>0</v>
      </c>
    </row>
    <row r="291" spans="1:30" x14ac:dyDescent="0.25">
      <c r="A291">
        <v>41734</v>
      </c>
      <c r="B291">
        <v>1446</v>
      </c>
      <c r="C291">
        <v>1956</v>
      </c>
      <c r="D291" t="s">
        <v>20</v>
      </c>
      <c r="E291" t="s">
        <v>18</v>
      </c>
      <c r="F291" t="s">
        <v>9</v>
      </c>
      <c r="G291">
        <v>86424</v>
      </c>
      <c r="H291">
        <v>0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f>SUM(Table1[[#This Row],[Gold Spending]]+Table1[[#This Row],[Sweet Spending]]+Table1[[#This Row],[Fish Spending]]+Table1[[#This Row],[Meat Spending]]+Table1[[#This Row],[Fruits Spending]]+Table1[[#This Row],[Wine Spending ]])</f>
        <v>1226</v>
      </c>
      <c r="Q291">
        <v>1</v>
      </c>
      <c r="R291">
        <v>6</v>
      </c>
      <c r="S291">
        <v>9</v>
      </c>
      <c r="T291">
        <v>12</v>
      </c>
      <c r="U291">
        <f>SUM(Table1[[#This Row],[Store_Purchases]]+Table1[[#This Row],[Catalog_Purchases]]+Table1[[#This Row],[Web_Purchases]]+Table1[[#This Row],[Deal_Purchases]])</f>
        <v>28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>SUM(Table1[[#This Row],[Accepted_Campaign_2]]+Table1[[#This Row],[Accepted_Campaign_1]]+Table1[[#This Row],[Accepted_Campaign_5]]+Table1[[#This Row],[Accepted_Campaign_4]]+Table1[[#This Row],[Accepted_Campaign_3]])</f>
        <v>0</v>
      </c>
      <c r="AC291">
        <v>0</v>
      </c>
      <c r="AD291">
        <v>0</v>
      </c>
    </row>
    <row r="292" spans="1:30" x14ac:dyDescent="0.25">
      <c r="A292">
        <v>41629</v>
      </c>
      <c r="B292">
        <v>9699</v>
      </c>
      <c r="C292">
        <v>1966</v>
      </c>
      <c r="D292" t="s">
        <v>8</v>
      </c>
      <c r="E292" t="s">
        <v>6</v>
      </c>
      <c r="F292" t="s">
        <v>7</v>
      </c>
      <c r="G292">
        <v>67272</v>
      </c>
      <c r="H292">
        <v>1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f>SUM(Table1[[#This Row],[Gold Spending]]+Table1[[#This Row],[Sweet Spending]]+Table1[[#This Row],[Fish Spending]]+Table1[[#This Row],[Meat Spending]]+Table1[[#This Row],[Fruits Spending]]+Table1[[#This Row],[Wine Spending ]])</f>
        <v>733</v>
      </c>
      <c r="Q292">
        <v>3</v>
      </c>
      <c r="R292">
        <v>6</v>
      </c>
      <c r="S292">
        <v>2</v>
      </c>
      <c r="T292">
        <v>12</v>
      </c>
      <c r="U292">
        <f>SUM(Table1[[#This Row],[Store_Purchases]]+Table1[[#This Row],[Catalog_Purchases]]+Table1[[#This Row],[Web_Purchases]]+Table1[[#This Row],[Deal_Purchases]])</f>
        <v>23</v>
      </c>
      <c r="V292">
        <v>5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>SUM(Table1[[#This Row],[Accepted_Campaign_2]]+Table1[[#This Row],[Accepted_Campaign_1]]+Table1[[#This Row],[Accepted_Campaign_5]]+Table1[[#This Row],[Accepted_Campaign_4]]+Table1[[#This Row],[Accepted_Campaign_3]])</f>
        <v>0</v>
      </c>
      <c r="AC292">
        <v>0</v>
      </c>
      <c r="AD292">
        <v>0</v>
      </c>
    </row>
    <row r="293" spans="1:30" x14ac:dyDescent="0.25">
      <c r="A293">
        <v>41601</v>
      </c>
      <c r="B293">
        <v>9790</v>
      </c>
      <c r="C293">
        <v>1957</v>
      </c>
      <c r="D293" t="s">
        <v>10</v>
      </c>
      <c r="E293" t="s">
        <v>6</v>
      </c>
      <c r="F293" t="s">
        <v>9</v>
      </c>
      <c r="G293">
        <v>78499</v>
      </c>
      <c r="H293">
        <v>0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f>SUM(Table1[[#This Row],[Gold Spending]]+Table1[[#This Row],[Sweet Spending]]+Table1[[#This Row],[Fish Spending]]+Table1[[#This Row],[Meat Spending]]+Table1[[#This Row],[Fruits Spending]]+Table1[[#This Row],[Wine Spending ]])</f>
        <v>1334</v>
      </c>
      <c r="Q293">
        <v>1</v>
      </c>
      <c r="R293">
        <v>11</v>
      </c>
      <c r="S293">
        <v>3</v>
      </c>
      <c r="T293">
        <v>4</v>
      </c>
      <c r="U293">
        <f>SUM(Table1[[#This Row],[Store_Purchases]]+Table1[[#This Row],[Catalog_Purchases]]+Table1[[#This Row],[Web_Purchases]]+Table1[[#This Row],[Deal_Purchases]])</f>
        <v>19</v>
      </c>
      <c r="V293">
        <v>4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f>SUM(Table1[[#This Row],[Accepted_Campaign_2]]+Table1[[#This Row],[Accepted_Campaign_1]]+Table1[[#This Row],[Accepted_Campaign_5]]+Table1[[#This Row],[Accepted_Campaign_4]]+Table1[[#This Row],[Accepted_Campaign_3]])</f>
        <v>1</v>
      </c>
      <c r="AC293">
        <v>1</v>
      </c>
      <c r="AD293">
        <v>0</v>
      </c>
    </row>
    <row r="294" spans="1:30" x14ac:dyDescent="0.25">
      <c r="A294">
        <v>41574</v>
      </c>
      <c r="B294">
        <v>2324</v>
      </c>
      <c r="C294">
        <v>1972</v>
      </c>
      <c r="D294" t="s">
        <v>8</v>
      </c>
      <c r="E294" t="s">
        <v>6</v>
      </c>
      <c r="F294" t="s">
        <v>12</v>
      </c>
      <c r="G294">
        <v>77044</v>
      </c>
      <c r="H294">
        <v>1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f>SUM(Table1[[#This Row],[Gold Spending]]+Table1[[#This Row],[Sweet Spending]]+Table1[[#This Row],[Fish Spending]]+Table1[[#This Row],[Meat Spending]]+Table1[[#This Row],[Fruits Spending]]+Table1[[#This Row],[Wine Spending ]])</f>
        <v>1065</v>
      </c>
      <c r="Q294">
        <v>2</v>
      </c>
      <c r="R294">
        <v>7</v>
      </c>
      <c r="S294">
        <v>11</v>
      </c>
      <c r="T294">
        <v>11</v>
      </c>
      <c r="U294">
        <f>SUM(Table1[[#This Row],[Store_Purchases]]+Table1[[#This Row],[Catalog_Purchases]]+Table1[[#This Row],[Web_Purchases]]+Table1[[#This Row],[Deal_Purchases]])</f>
        <v>31</v>
      </c>
      <c r="V294">
        <v>4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f>SUM(Table1[[#This Row],[Accepted_Campaign_2]]+Table1[[#This Row],[Accepted_Campaign_1]]+Table1[[#This Row],[Accepted_Campaign_5]]+Table1[[#This Row],[Accepted_Campaign_4]]+Table1[[#This Row],[Accepted_Campaign_3]])</f>
        <v>1</v>
      </c>
      <c r="AC294">
        <v>0</v>
      </c>
      <c r="AD294">
        <v>0</v>
      </c>
    </row>
    <row r="295" spans="1:30" x14ac:dyDescent="0.25">
      <c r="A295">
        <v>41568</v>
      </c>
      <c r="B295">
        <v>5080</v>
      </c>
      <c r="C295">
        <v>1993</v>
      </c>
      <c r="D295" t="s">
        <v>22</v>
      </c>
      <c r="E295" t="s">
        <v>6</v>
      </c>
      <c r="F295" t="s">
        <v>9</v>
      </c>
      <c r="G295">
        <v>70515</v>
      </c>
      <c r="H295">
        <v>0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f>SUM(Table1[[#This Row],[Gold Spending]]+Table1[[#This Row],[Sweet Spending]]+Table1[[#This Row],[Fish Spending]]+Table1[[#This Row],[Meat Spending]]+Table1[[#This Row],[Fruits Spending]]+Table1[[#This Row],[Wine Spending ]])</f>
        <v>1258</v>
      </c>
      <c r="Q295">
        <v>1</v>
      </c>
      <c r="R295">
        <v>6</v>
      </c>
      <c r="S295">
        <v>6</v>
      </c>
      <c r="T295">
        <v>4</v>
      </c>
      <c r="U295">
        <f>SUM(Table1[[#This Row],[Store_Purchases]]+Table1[[#This Row],[Catalog_Purchases]]+Table1[[#This Row],[Web_Purchases]]+Table1[[#This Row],[Deal_Purchases]])</f>
        <v>17</v>
      </c>
      <c r="V295">
        <v>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>SUM(Table1[[#This Row],[Accepted_Campaign_2]]+Table1[[#This Row],[Accepted_Campaign_1]]+Table1[[#This Row],[Accepted_Campaign_5]]+Table1[[#This Row],[Accepted_Campaign_4]]+Table1[[#This Row],[Accepted_Campaign_3]])</f>
        <v>0</v>
      </c>
      <c r="AC295">
        <v>1</v>
      </c>
      <c r="AD295">
        <v>0</v>
      </c>
    </row>
    <row r="296" spans="1:30" x14ac:dyDescent="0.25">
      <c r="A296">
        <v>41536</v>
      </c>
      <c r="B296">
        <v>4992</v>
      </c>
      <c r="C296">
        <v>1975</v>
      </c>
      <c r="D296" t="s">
        <v>8</v>
      </c>
      <c r="E296" t="s">
        <v>18</v>
      </c>
      <c r="F296" t="s">
        <v>12</v>
      </c>
      <c r="G296">
        <v>17459</v>
      </c>
      <c r="H296">
        <v>1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f>SUM(Table1[[#This Row],[Gold Spending]]+Table1[[#This Row],[Sweet Spending]]+Table1[[#This Row],[Fish Spending]]+Table1[[#This Row],[Meat Spending]]+Table1[[#This Row],[Fruits Spending]]+Table1[[#This Row],[Wine Spending ]])</f>
        <v>69</v>
      </c>
      <c r="Q296">
        <v>3</v>
      </c>
      <c r="R296">
        <v>3</v>
      </c>
      <c r="S296">
        <v>1</v>
      </c>
      <c r="T296">
        <v>2</v>
      </c>
      <c r="U296">
        <f>SUM(Table1[[#This Row],[Store_Purchases]]+Table1[[#This Row],[Catalog_Purchases]]+Table1[[#This Row],[Web_Purchases]]+Table1[[#This Row],[Deal_Purchases]])</f>
        <v>9</v>
      </c>
      <c r="V296">
        <v>7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f>SUM(Table1[[#This Row],[Accepted_Campaign_2]]+Table1[[#This Row],[Accepted_Campaign_1]]+Table1[[#This Row],[Accepted_Campaign_5]]+Table1[[#This Row],[Accepted_Campaign_4]]+Table1[[#This Row],[Accepted_Campaign_3]])</f>
        <v>0</v>
      </c>
      <c r="AC296">
        <v>1</v>
      </c>
      <c r="AD296">
        <v>0</v>
      </c>
    </row>
    <row r="297" spans="1:30" x14ac:dyDescent="0.25">
      <c r="A297">
        <v>41526</v>
      </c>
      <c r="B297">
        <v>7849</v>
      </c>
      <c r="C297">
        <v>1970</v>
      </c>
      <c r="D297" t="s">
        <v>8</v>
      </c>
      <c r="E297" t="s">
        <v>14</v>
      </c>
      <c r="F297" t="s">
        <v>11</v>
      </c>
      <c r="G297">
        <v>80336</v>
      </c>
      <c r="H297">
        <v>0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f>SUM(Table1[[#This Row],[Gold Spending]]+Table1[[#This Row],[Sweet Spending]]+Table1[[#This Row],[Fish Spending]]+Table1[[#This Row],[Meat Spending]]+Table1[[#This Row],[Fruits Spending]]+Table1[[#This Row],[Wine Spending ]])</f>
        <v>1052</v>
      </c>
      <c r="Q297">
        <v>1</v>
      </c>
      <c r="R297">
        <v>2</v>
      </c>
      <c r="S297">
        <v>9</v>
      </c>
      <c r="T297">
        <v>13</v>
      </c>
      <c r="U297">
        <f>SUM(Table1[[#This Row],[Store_Purchases]]+Table1[[#This Row],[Catalog_Purchases]]+Table1[[#This Row],[Web_Purchases]]+Table1[[#This Row],[Deal_Purchases]])</f>
        <v>25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>SUM(Table1[[#This Row],[Accepted_Campaign_2]]+Table1[[#This Row],[Accepted_Campaign_1]]+Table1[[#This Row],[Accepted_Campaign_5]]+Table1[[#This Row],[Accepted_Campaign_4]]+Table1[[#This Row],[Accepted_Campaign_3]])</f>
        <v>0</v>
      </c>
      <c r="AC297">
        <v>0</v>
      </c>
      <c r="AD297">
        <v>0</v>
      </c>
    </row>
    <row r="298" spans="1:30" x14ac:dyDescent="0.25">
      <c r="A298">
        <v>41522</v>
      </c>
      <c r="B298">
        <v>4808</v>
      </c>
      <c r="C298">
        <v>1956</v>
      </c>
      <c r="D298" t="s">
        <v>8</v>
      </c>
      <c r="E298" t="s">
        <v>6</v>
      </c>
      <c r="F298" t="s">
        <v>11</v>
      </c>
      <c r="G298">
        <v>15759</v>
      </c>
      <c r="H298">
        <v>0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f>SUM(Table1[[#This Row],[Gold Spending]]+Table1[[#This Row],[Sweet Spending]]+Table1[[#This Row],[Fish Spending]]+Table1[[#This Row],[Meat Spending]]+Table1[[#This Row],[Fruits Spending]]+Table1[[#This Row],[Wine Spending ]])</f>
        <v>17</v>
      </c>
      <c r="Q298">
        <v>1</v>
      </c>
      <c r="R298">
        <v>1</v>
      </c>
      <c r="S298">
        <v>0</v>
      </c>
      <c r="T298">
        <v>2</v>
      </c>
      <c r="U298">
        <f>SUM(Table1[[#This Row],[Store_Purchases]]+Table1[[#This Row],[Catalog_Purchases]]+Table1[[#This Row],[Web_Purchases]]+Table1[[#This Row],[Deal_Purchases]])</f>
        <v>4</v>
      </c>
      <c r="V298">
        <v>7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>SUM(Table1[[#This Row],[Accepted_Campaign_2]]+Table1[[#This Row],[Accepted_Campaign_1]]+Table1[[#This Row],[Accepted_Campaign_5]]+Table1[[#This Row],[Accepted_Campaign_4]]+Table1[[#This Row],[Accepted_Campaign_3]])</f>
        <v>0</v>
      </c>
      <c r="AC298">
        <v>0</v>
      </c>
      <c r="AD298">
        <v>0</v>
      </c>
    </row>
    <row r="299" spans="1:30" x14ac:dyDescent="0.25">
      <c r="A299">
        <v>41521</v>
      </c>
      <c r="B299">
        <v>10401</v>
      </c>
      <c r="C299">
        <v>1976</v>
      </c>
      <c r="D299" t="s">
        <v>16</v>
      </c>
      <c r="E299" t="s">
        <v>15</v>
      </c>
      <c r="F299" t="s">
        <v>12</v>
      </c>
      <c r="G299">
        <v>26326</v>
      </c>
      <c r="H299">
        <v>0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f>SUM(Table1[[#This Row],[Gold Spending]]+Table1[[#This Row],[Sweet Spending]]+Table1[[#This Row],[Fish Spending]]+Table1[[#This Row],[Meat Spending]]+Table1[[#This Row],[Fruits Spending]]+Table1[[#This Row],[Wine Spending ]])</f>
        <v>18</v>
      </c>
      <c r="Q299">
        <v>1</v>
      </c>
      <c r="R299">
        <v>0</v>
      </c>
      <c r="S299">
        <v>0</v>
      </c>
      <c r="T299">
        <v>3</v>
      </c>
      <c r="U299">
        <f>SUM(Table1[[#This Row],[Store_Purchases]]+Table1[[#This Row],[Catalog_Purchases]]+Table1[[#This Row],[Web_Purchases]]+Table1[[#This Row],[Deal_Purchases]])</f>
        <v>4</v>
      </c>
      <c r="V299">
        <v>3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>SUM(Table1[[#This Row],[Accepted_Campaign_2]]+Table1[[#This Row],[Accepted_Campaign_1]]+Table1[[#This Row],[Accepted_Campaign_5]]+Table1[[#This Row],[Accepted_Campaign_4]]+Table1[[#This Row],[Accepted_Campaign_3]])</f>
        <v>0</v>
      </c>
      <c r="AC299">
        <v>0</v>
      </c>
      <c r="AD299">
        <v>1</v>
      </c>
    </row>
    <row r="300" spans="1:30" x14ac:dyDescent="0.25">
      <c r="A300">
        <v>41517</v>
      </c>
      <c r="B300">
        <v>7793</v>
      </c>
      <c r="C300">
        <v>1976</v>
      </c>
      <c r="D300" t="s">
        <v>8</v>
      </c>
      <c r="E300" t="s">
        <v>6</v>
      </c>
      <c r="F300" t="s">
        <v>12</v>
      </c>
      <c r="G300">
        <v>62061</v>
      </c>
      <c r="H300">
        <v>1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f>SUM(Table1[[#This Row],[Gold Spending]]+Table1[[#This Row],[Sweet Spending]]+Table1[[#This Row],[Fish Spending]]+Table1[[#This Row],[Meat Spending]]+Table1[[#This Row],[Fruits Spending]]+Table1[[#This Row],[Wine Spending ]])</f>
        <v>800</v>
      </c>
      <c r="Q300">
        <v>3</v>
      </c>
      <c r="R300">
        <v>10</v>
      </c>
      <c r="S300">
        <v>4</v>
      </c>
      <c r="T300">
        <v>7</v>
      </c>
      <c r="U300">
        <f>SUM(Table1[[#This Row],[Store_Purchases]]+Table1[[#This Row],[Catalog_Purchases]]+Table1[[#This Row],[Web_Purchases]]+Table1[[#This Row],[Deal_Purchases]])</f>
        <v>24</v>
      </c>
      <c r="V300">
        <v>6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f>SUM(Table1[[#This Row],[Accepted_Campaign_2]]+Table1[[#This Row],[Accepted_Campaign_1]]+Table1[[#This Row],[Accepted_Campaign_5]]+Table1[[#This Row],[Accepted_Campaign_4]]+Table1[[#This Row],[Accepted_Campaign_3]])</f>
        <v>1</v>
      </c>
      <c r="AC300">
        <v>0</v>
      </c>
      <c r="AD300">
        <v>0</v>
      </c>
    </row>
    <row r="301" spans="1:30" x14ac:dyDescent="0.25">
      <c r="A301">
        <v>41485</v>
      </c>
      <c r="B301">
        <v>9303</v>
      </c>
      <c r="C301">
        <v>1976</v>
      </c>
      <c r="D301" t="s">
        <v>17</v>
      </c>
      <c r="E301" t="s">
        <v>6</v>
      </c>
      <c r="F301" t="s">
        <v>11</v>
      </c>
      <c r="G301">
        <v>5305</v>
      </c>
      <c r="H301">
        <v>1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f>SUM(Table1[[#This Row],[Gold Spending]]+Table1[[#This Row],[Sweet Spending]]+Table1[[#This Row],[Fish Spending]]+Table1[[#This Row],[Meat Spending]]+Table1[[#This Row],[Fruits Spending]]+Table1[[#This Row],[Wine Spending ]])</f>
        <v>32</v>
      </c>
      <c r="Q301">
        <v>0</v>
      </c>
      <c r="R301">
        <v>1</v>
      </c>
      <c r="S301">
        <v>0</v>
      </c>
      <c r="T301">
        <v>0</v>
      </c>
      <c r="U301">
        <f>SUM(Table1[[#This Row],[Store_Purchases]]+Table1[[#This Row],[Catalog_Purchases]]+Table1[[#This Row],[Web_Purchases]]+Table1[[#This Row],[Deal_Purchases]])</f>
        <v>1</v>
      </c>
      <c r="V301">
        <v>13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f>SUM(Table1[[#This Row],[Accepted_Campaign_2]]+Table1[[#This Row],[Accepted_Campaign_1]]+Table1[[#This Row],[Accepted_Campaign_5]]+Table1[[#This Row],[Accepted_Campaign_4]]+Table1[[#This Row],[Accepted_Campaign_3]])</f>
        <v>0</v>
      </c>
      <c r="AC301">
        <v>0</v>
      </c>
      <c r="AD301">
        <v>0</v>
      </c>
    </row>
    <row r="302" spans="1:30" x14ac:dyDescent="0.25">
      <c r="A302">
        <v>41459</v>
      </c>
      <c r="B302">
        <v>6853</v>
      </c>
      <c r="C302">
        <v>1982</v>
      </c>
      <c r="D302" t="s">
        <v>13</v>
      </c>
      <c r="E302" t="s">
        <v>18</v>
      </c>
      <c r="F302" t="s">
        <v>9</v>
      </c>
      <c r="G302">
        <v>75777</v>
      </c>
      <c r="H302">
        <v>0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f>SUM(Table1[[#This Row],[Gold Spending]]+Table1[[#This Row],[Sweet Spending]]+Table1[[#This Row],[Fish Spending]]+Table1[[#This Row],[Meat Spending]]+Table1[[#This Row],[Fruits Spending]]+Table1[[#This Row],[Wine Spending ]])</f>
        <v>1438</v>
      </c>
      <c r="Q302">
        <v>1</v>
      </c>
      <c r="R302">
        <v>3</v>
      </c>
      <c r="S302">
        <v>6</v>
      </c>
      <c r="T302">
        <v>11</v>
      </c>
      <c r="U302">
        <f>SUM(Table1[[#This Row],[Store_Purchases]]+Table1[[#This Row],[Catalog_Purchases]]+Table1[[#This Row],[Web_Purchases]]+Table1[[#This Row],[Deal_Purchases]])</f>
        <v>21</v>
      </c>
      <c r="V302">
        <v>1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f>SUM(Table1[[#This Row],[Accepted_Campaign_2]]+Table1[[#This Row],[Accepted_Campaign_1]]+Table1[[#This Row],[Accepted_Campaign_5]]+Table1[[#This Row],[Accepted_Campaign_4]]+Table1[[#This Row],[Accepted_Campaign_3]])</f>
        <v>2</v>
      </c>
      <c r="AC302">
        <v>1</v>
      </c>
      <c r="AD302">
        <v>0</v>
      </c>
    </row>
    <row r="303" spans="1:30" x14ac:dyDescent="0.25">
      <c r="A303">
        <v>41459</v>
      </c>
      <c r="B303">
        <v>7366</v>
      </c>
      <c r="C303">
        <v>1982</v>
      </c>
      <c r="D303" t="s">
        <v>17</v>
      </c>
      <c r="E303" t="s">
        <v>18</v>
      </c>
      <c r="F303" t="s">
        <v>9</v>
      </c>
      <c r="G303">
        <v>75777</v>
      </c>
      <c r="H303">
        <v>0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f>SUM(Table1[[#This Row],[Gold Spending]]+Table1[[#This Row],[Sweet Spending]]+Table1[[#This Row],[Fish Spending]]+Table1[[#This Row],[Meat Spending]]+Table1[[#This Row],[Fruits Spending]]+Table1[[#This Row],[Wine Spending ]])</f>
        <v>1438</v>
      </c>
      <c r="Q303">
        <v>1</v>
      </c>
      <c r="R303">
        <v>3</v>
      </c>
      <c r="S303">
        <v>6</v>
      </c>
      <c r="T303">
        <v>11</v>
      </c>
      <c r="U303">
        <f>SUM(Table1[[#This Row],[Store_Purchases]]+Table1[[#This Row],[Catalog_Purchases]]+Table1[[#This Row],[Web_Purchases]]+Table1[[#This Row],[Deal_Purchases]])</f>
        <v>21</v>
      </c>
      <c r="V303">
        <v>1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f>SUM(Table1[[#This Row],[Accepted_Campaign_2]]+Table1[[#This Row],[Accepted_Campaign_1]]+Table1[[#This Row],[Accepted_Campaign_5]]+Table1[[#This Row],[Accepted_Campaign_4]]+Table1[[#This Row],[Accepted_Campaign_3]])</f>
        <v>2</v>
      </c>
      <c r="AC303">
        <v>1</v>
      </c>
      <c r="AD303">
        <v>0</v>
      </c>
    </row>
    <row r="304" spans="1:30" x14ac:dyDescent="0.25">
      <c r="A304">
        <v>41450</v>
      </c>
      <c r="B304">
        <v>9780</v>
      </c>
      <c r="C304">
        <v>1971</v>
      </c>
      <c r="D304" t="s">
        <v>8</v>
      </c>
      <c r="E304" t="s">
        <v>18</v>
      </c>
      <c r="F304" t="s">
        <v>12</v>
      </c>
      <c r="G304">
        <v>71499</v>
      </c>
      <c r="H304">
        <v>1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f>SUM(Table1[[#This Row],[Gold Spending]]+Table1[[#This Row],[Sweet Spending]]+Table1[[#This Row],[Fish Spending]]+Table1[[#This Row],[Meat Spending]]+Table1[[#This Row],[Fruits Spending]]+Table1[[#This Row],[Wine Spending ]])</f>
        <v>795</v>
      </c>
      <c r="Q304">
        <v>2</v>
      </c>
      <c r="R304">
        <v>8</v>
      </c>
      <c r="S304">
        <v>3</v>
      </c>
      <c r="T304">
        <v>13</v>
      </c>
      <c r="U304">
        <f>SUM(Table1[[#This Row],[Store_Purchases]]+Table1[[#This Row],[Catalog_Purchases]]+Table1[[#This Row],[Web_Purchases]]+Table1[[#This Row],[Deal_Purchases]])</f>
        <v>26</v>
      </c>
      <c r="V304">
        <v>4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>SUM(Table1[[#This Row],[Accepted_Campaign_2]]+Table1[[#This Row],[Accepted_Campaign_1]]+Table1[[#This Row],[Accepted_Campaign_5]]+Table1[[#This Row],[Accepted_Campaign_4]]+Table1[[#This Row],[Accepted_Campaign_3]])</f>
        <v>0</v>
      </c>
      <c r="AC304">
        <v>0</v>
      </c>
      <c r="AD304">
        <v>0</v>
      </c>
    </row>
    <row r="305" spans="1:30" x14ac:dyDescent="0.25">
      <c r="A305">
        <v>41404</v>
      </c>
      <c r="B305">
        <v>7573</v>
      </c>
      <c r="C305">
        <v>1978</v>
      </c>
      <c r="D305" t="s">
        <v>16</v>
      </c>
      <c r="E305" t="s">
        <v>14</v>
      </c>
      <c r="F305" t="s">
        <v>9</v>
      </c>
      <c r="G305">
        <v>31626</v>
      </c>
      <c r="H305">
        <v>1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f>SUM(Table1[[#This Row],[Gold Spending]]+Table1[[#This Row],[Sweet Spending]]+Table1[[#This Row],[Fish Spending]]+Table1[[#This Row],[Meat Spending]]+Table1[[#This Row],[Fruits Spending]]+Table1[[#This Row],[Wine Spending ]])</f>
        <v>86</v>
      </c>
      <c r="Q305">
        <v>1</v>
      </c>
      <c r="R305">
        <v>2</v>
      </c>
      <c r="S305">
        <v>1</v>
      </c>
      <c r="T305">
        <v>2</v>
      </c>
      <c r="U305">
        <f>SUM(Table1[[#This Row],[Store_Purchases]]+Table1[[#This Row],[Catalog_Purchases]]+Table1[[#This Row],[Web_Purchases]]+Table1[[#This Row],[Deal_Purchases]])</f>
        <v>6</v>
      </c>
      <c r="V305">
        <v>7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f>SUM(Table1[[#This Row],[Accepted_Campaign_2]]+Table1[[#This Row],[Accepted_Campaign_1]]+Table1[[#This Row],[Accepted_Campaign_5]]+Table1[[#This Row],[Accepted_Campaign_4]]+Table1[[#This Row],[Accepted_Campaign_3]])</f>
        <v>1</v>
      </c>
      <c r="AC305">
        <v>1</v>
      </c>
      <c r="AD305">
        <v>0</v>
      </c>
    </row>
    <row r="306" spans="1:30" x14ac:dyDescent="0.25">
      <c r="A306">
        <v>41391</v>
      </c>
      <c r="B306">
        <v>1379</v>
      </c>
      <c r="C306">
        <v>1992</v>
      </c>
      <c r="D306" t="s">
        <v>20</v>
      </c>
      <c r="E306" t="s">
        <v>18</v>
      </c>
      <c r="F306" t="s">
        <v>12</v>
      </c>
      <c r="G306">
        <v>42670</v>
      </c>
      <c r="H306">
        <v>0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f>SUM(Table1[[#This Row],[Gold Spending]]+Table1[[#This Row],[Sweet Spending]]+Table1[[#This Row],[Fish Spending]]+Table1[[#This Row],[Meat Spending]]+Table1[[#This Row],[Fruits Spending]]+Table1[[#This Row],[Wine Spending ]])</f>
        <v>241</v>
      </c>
      <c r="Q306">
        <v>1</v>
      </c>
      <c r="R306">
        <v>4</v>
      </c>
      <c r="S306">
        <v>2</v>
      </c>
      <c r="T306">
        <v>4</v>
      </c>
      <c r="U306">
        <f>SUM(Table1[[#This Row],[Store_Purchases]]+Table1[[#This Row],[Catalog_Purchases]]+Table1[[#This Row],[Web_Purchases]]+Table1[[#This Row],[Deal_Purchases]])</f>
        <v>11</v>
      </c>
      <c r="V306">
        <v>4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>SUM(Table1[[#This Row],[Accepted_Campaign_2]]+Table1[[#This Row],[Accepted_Campaign_1]]+Table1[[#This Row],[Accepted_Campaign_5]]+Table1[[#This Row],[Accepted_Campaign_4]]+Table1[[#This Row],[Accepted_Campaign_3]])</f>
        <v>0</v>
      </c>
      <c r="AC306">
        <v>0</v>
      </c>
      <c r="AD306">
        <v>0</v>
      </c>
    </row>
    <row r="307" spans="1:30" x14ac:dyDescent="0.25">
      <c r="A307">
        <v>41382</v>
      </c>
      <c r="B307">
        <v>8923</v>
      </c>
      <c r="C307">
        <v>1973</v>
      </c>
      <c r="D307" t="s">
        <v>8</v>
      </c>
      <c r="E307" t="s">
        <v>6</v>
      </c>
      <c r="F307" t="s">
        <v>9</v>
      </c>
      <c r="G307">
        <v>83917</v>
      </c>
      <c r="H307">
        <v>0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f>SUM(Table1[[#This Row],[Gold Spending]]+Table1[[#This Row],[Sweet Spending]]+Table1[[#This Row],[Fish Spending]]+Table1[[#This Row],[Meat Spending]]+Table1[[#This Row],[Fruits Spending]]+Table1[[#This Row],[Wine Spending ]])</f>
        <v>1587</v>
      </c>
      <c r="Q307">
        <v>1</v>
      </c>
      <c r="R307">
        <v>6</v>
      </c>
      <c r="S307">
        <v>7</v>
      </c>
      <c r="T307">
        <v>7</v>
      </c>
      <c r="U307">
        <f>SUM(Table1[[#This Row],[Store_Purchases]]+Table1[[#This Row],[Catalog_Purchases]]+Table1[[#This Row],[Web_Purchases]]+Table1[[#This Row],[Deal_Purchases]])</f>
        <v>21</v>
      </c>
      <c r="V307">
        <v>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>SUM(Table1[[#This Row],[Accepted_Campaign_2]]+Table1[[#This Row],[Accepted_Campaign_1]]+Table1[[#This Row],[Accepted_Campaign_5]]+Table1[[#This Row],[Accepted_Campaign_4]]+Table1[[#This Row],[Accepted_Campaign_3]])</f>
        <v>0</v>
      </c>
      <c r="AC307">
        <v>1</v>
      </c>
      <c r="AD307">
        <v>0</v>
      </c>
    </row>
    <row r="308" spans="1:30" x14ac:dyDescent="0.25">
      <c r="A308">
        <v>41273</v>
      </c>
      <c r="B308">
        <v>3547</v>
      </c>
      <c r="C308">
        <v>1969</v>
      </c>
      <c r="D308" t="s">
        <v>20</v>
      </c>
      <c r="E308" t="s">
        <v>18</v>
      </c>
      <c r="F308" t="s">
        <v>12</v>
      </c>
      <c r="G308">
        <v>41021</v>
      </c>
      <c r="H308">
        <v>1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f>SUM(Table1[[#This Row],[Gold Spending]]+Table1[[#This Row],[Sweet Spending]]+Table1[[#This Row],[Fish Spending]]+Table1[[#This Row],[Meat Spending]]+Table1[[#This Row],[Fruits Spending]]+Table1[[#This Row],[Wine Spending ]])</f>
        <v>64</v>
      </c>
      <c r="Q308">
        <v>2</v>
      </c>
      <c r="R308">
        <v>2</v>
      </c>
      <c r="S308">
        <v>0</v>
      </c>
      <c r="T308">
        <v>3</v>
      </c>
      <c r="U308">
        <f>SUM(Table1[[#This Row],[Store_Purchases]]+Table1[[#This Row],[Catalog_Purchases]]+Table1[[#This Row],[Web_Purchases]]+Table1[[#This Row],[Deal_Purchases]])</f>
        <v>7</v>
      </c>
      <c r="V308">
        <v>6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>SUM(Table1[[#This Row],[Accepted_Campaign_2]]+Table1[[#This Row],[Accepted_Campaign_1]]+Table1[[#This Row],[Accepted_Campaign_5]]+Table1[[#This Row],[Accepted_Campaign_4]]+Table1[[#This Row],[Accepted_Campaign_3]])</f>
        <v>0</v>
      </c>
      <c r="AC308">
        <v>1</v>
      </c>
      <c r="AD308">
        <v>0</v>
      </c>
    </row>
    <row r="309" spans="1:30" x14ac:dyDescent="0.25">
      <c r="A309">
        <v>41143</v>
      </c>
      <c r="B309">
        <v>8707</v>
      </c>
      <c r="C309">
        <v>1956</v>
      </c>
      <c r="D309" t="s">
        <v>8</v>
      </c>
      <c r="E309" t="s">
        <v>6</v>
      </c>
      <c r="F309" t="s">
        <v>11</v>
      </c>
      <c r="G309">
        <v>79456</v>
      </c>
      <c r="H309">
        <v>0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f>SUM(Table1[[#This Row],[Gold Spending]]+Table1[[#This Row],[Sweet Spending]]+Table1[[#This Row],[Fish Spending]]+Table1[[#This Row],[Meat Spending]]+Table1[[#This Row],[Fruits Spending]]+Table1[[#This Row],[Wine Spending ]])</f>
        <v>1401</v>
      </c>
      <c r="Q309">
        <v>1</v>
      </c>
      <c r="R309">
        <v>5</v>
      </c>
      <c r="S309">
        <v>6</v>
      </c>
      <c r="T309">
        <v>4</v>
      </c>
      <c r="U309">
        <f>SUM(Table1[[#This Row],[Store_Purchases]]+Table1[[#This Row],[Catalog_Purchases]]+Table1[[#This Row],[Web_Purchases]]+Table1[[#This Row],[Deal_Purchases]])</f>
        <v>16</v>
      </c>
      <c r="V309">
        <v>3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>SUM(Table1[[#This Row],[Accepted_Campaign_2]]+Table1[[#This Row],[Accepted_Campaign_1]]+Table1[[#This Row],[Accepted_Campaign_5]]+Table1[[#This Row],[Accepted_Campaign_4]]+Table1[[#This Row],[Accepted_Campaign_3]])</f>
        <v>0</v>
      </c>
      <c r="AC309">
        <v>1</v>
      </c>
      <c r="AD309">
        <v>0</v>
      </c>
    </row>
    <row r="310" spans="1:30" x14ac:dyDescent="0.25">
      <c r="A310">
        <v>41129</v>
      </c>
      <c r="B310">
        <v>1891</v>
      </c>
      <c r="C310">
        <v>1980</v>
      </c>
      <c r="D310" t="s">
        <v>8</v>
      </c>
      <c r="E310" t="s">
        <v>18</v>
      </c>
      <c r="F310" t="s">
        <v>7</v>
      </c>
      <c r="G310">
        <v>78789</v>
      </c>
      <c r="H310">
        <v>0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f>SUM(Table1[[#This Row],[Gold Spending]]+Table1[[#This Row],[Sweet Spending]]+Table1[[#This Row],[Fish Spending]]+Table1[[#This Row],[Meat Spending]]+Table1[[#This Row],[Fruits Spending]]+Table1[[#This Row],[Wine Spending ]])</f>
        <v>1754</v>
      </c>
      <c r="Q310">
        <v>1</v>
      </c>
      <c r="R310">
        <v>4</v>
      </c>
      <c r="S310">
        <v>6</v>
      </c>
      <c r="T310">
        <v>5</v>
      </c>
      <c r="U310">
        <f>SUM(Table1[[#This Row],[Store_Purchases]]+Table1[[#This Row],[Catalog_Purchases]]+Table1[[#This Row],[Web_Purchases]]+Table1[[#This Row],[Deal_Purchases]])</f>
        <v>16</v>
      </c>
      <c r="V310">
        <v>2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>SUM(Table1[[#This Row],[Accepted_Campaign_2]]+Table1[[#This Row],[Accepted_Campaign_1]]+Table1[[#This Row],[Accepted_Campaign_5]]+Table1[[#This Row],[Accepted_Campaign_4]]+Table1[[#This Row],[Accepted_Campaign_3]])</f>
        <v>0</v>
      </c>
      <c r="AC310">
        <v>1</v>
      </c>
      <c r="AD310">
        <v>0</v>
      </c>
    </row>
    <row r="311" spans="1:30" x14ac:dyDescent="0.25">
      <c r="A311">
        <v>41809</v>
      </c>
      <c r="B311">
        <v>6271</v>
      </c>
      <c r="C311">
        <v>1952</v>
      </c>
      <c r="D311" t="s">
        <v>8</v>
      </c>
      <c r="E311" t="s">
        <v>14</v>
      </c>
      <c r="F311" t="s">
        <v>11</v>
      </c>
      <c r="G311">
        <v>50870</v>
      </c>
      <c r="H311">
        <v>1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f>SUM(Table1[[#This Row],[Gold Spending]]+Table1[[#This Row],[Sweet Spending]]+Table1[[#This Row],[Fish Spending]]+Table1[[#This Row],[Meat Spending]]+Table1[[#This Row],[Fruits Spending]]+Table1[[#This Row],[Wine Spending ]])</f>
        <v>63</v>
      </c>
      <c r="Q311">
        <v>1</v>
      </c>
      <c r="R311">
        <v>2</v>
      </c>
      <c r="S311">
        <v>0</v>
      </c>
      <c r="T311">
        <v>3</v>
      </c>
      <c r="U311">
        <f>SUM(Table1[[#This Row],[Store_Purchases]]+Table1[[#This Row],[Catalog_Purchases]]+Table1[[#This Row],[Web_Purchases]]+Table1[[#This Row],[Deal_Purchases]])</f>
        <v>6</v>
      </c>
      <c r="V311">
        <v>5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>SUM(Table1[[#This Row],[Accepted_Campaign_2]]+Table1[[#This Row],[Accepted_Campaign_1]]+Table1[[#This Row],[Accepted_Campaign_5]]+Table1[[#This Row],[Accepted_Campaign_4]]+Table1[[#This Row],[Accepted_Campaign_3]])</f>
        <v>0</v>
      </c>
      <c r="AC311">
        <v>0</v>
      </c>
      <c r="AD311">
        <v>0</v>
      </c>
    </row>
    <row r="312" spans="1:30" x14ac:dyDescent="0.25">
      <c r="A312">
        <v>41749</v>
      </c>
      <c r="B312">
        <v>9635</v>
      </c>
      <c r="C312">
        <v>1983</v>
      </c>
      <c r="D312" t="s">
        <v>8</v>
      </c>
      <c r="E312" t="s">
        <v>18</v>
      </c>
      <c r="F312" t="s">
        <v>11</v>
      </c>
      <c r="G312">
        <v>35876</v>
      </c>
      <c r="H312">
        <v>0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f>SUM(Table1[[#This Row],[Gold Spending]]+Table1[[#This Row],[Sweet Spending]]+Table1[[#This Row],[Fish Spending]]+Table1[[#This Row],[Meat Spending]]+Table1[[#This Row],[Fruits Spending]]+Table1[[#This Row],[Wine Spending ]])</f>
        <v>129</v>
      </c>
      <c r="Q312">
        <v>1</v>
      </c>
      <c r="R312">
        <v>3</v>
      </c>
      <c r="S312">
        <v>1</v>
      </c>
      <c r="T312">
        <v>3</v>
      </c>
      <c r="U312">
        <f>SUM(Table1[[#This Row],[Store_Purchases]]+Table1[[#This Row],[Catalog_Purchases]]+Table1[[#This Row],[Web_Purchases]]+Table1[[#This Row],[Deal_Purchases]])</f>
        <v>8</v>
      </c>
      <c r="V312">
        <v>6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>SUM(Table1[[#This Row],[Accepted_Campaign_2]]+Table1[[#This Row],[Accepted_Campaign_1]]+Table1[[#This Row],[Accepted_Campaign_5]]+Table1[[#This Row],[Accepted_Campaign_4]]+Table1[[#This Row],[Accepted_Campaign_3]])</f>
        <v>0</v>
      </c>
      <c r="AC312">
        <v>0</v>
      </c>
      <c r="AD312">
        <v>0</v>
      </c>
    </row>
    <row r="313" spans="1:30" x14ac:dyDescent="0.25">
      <c r="A313">
        <v>41698</v>
      </c>
      <c r="B313">
        <v>9727</v>
      </c>
      <c r="C313">
        <v>1957</v>
      </c>
      <c r="D313" t="s">
        <v>10</v>
      </c>
      <c r="E313" t="s">
        <v>6</v>
      </c>
      <c r="F313" t="s">
        <v>11</v>
      </c>
      <c r="G313">
        <v>23539</v>
      </c>
      <c r="H313">
        <v>0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f>SUM(Table1[[#This Row],[Gold Spending]]+Table1[[#This Row],[Sweet Spending]]+Table1[[#This Row],[Fish Spending]]+Table1[[#This Row],[Meat Spending]]+Table1[[#This Row],[Fruits Spending]]+Table1[[#This Row],[Wine Spending ]])</f>
        <v>81</v>
      </c>
      <c r="Q313">
        <v>1</v>
      </c>
      <c r="R313">
        <v>2</v>
      </c>
      <c r="S313">
        <v>0</v>
      </c>
      <c r="T313">
        <v>4</v>
      </c>
      <c r="U313">
        <f>SUM(Table1[[#This Row],[Store_Purchases]]+Table1[[#This Row],[Catalog_Purchases]]+Table1[[#This Row],[Web_Purchases]]+Table1[[#This Row],[Deal_Purchases]])</f>
        <v>7</v>
      </c>
      <c r="V313">
        <v>6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>SUM(Table1[[#This Row],[Accepted_Campaign_2]]+Table1[[#This Row],[Accepted_Campaign_1]]+Table1[[#This Row],[Accepted_Campaign_5]]+Table1[[#This Row],[Accepted_Campaign_4]]+Table1[[#This Row],[Accepted_Campaign_3]])</f>
        <v>0</v>
      </c>
      <c r="AC313">
        <v>0</v>
      </c>
      <c r="AD313">
        <v>0</v>
      </c>
    </row>
    <row r="314" spans="1:30" x14ac:dyDescent="0.25">
      <c r="A314">
        <v>41694</v>
      </c>
      <c r="B314">
        <v>6205</v>
      </c>
      <c r="C314">
        <v>1967</v>
      </c>
      <c r="D314" t="s">
        <v>10</v>
      </c>
      <c r="E314" t="s">
        <v>18</v>
      </c>
      <c r="F314" t="s">
        <v>9</v>
      </c>
      <c r="G314">
        <v>32557</v>
      </c>
      <c r="H314">
        <v>1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f>SUM(Table1[[#This Row],[Gold Spending]]+Table1[[#This Row],[Sweet Spending]]+Table1[[#This Row],[Fish Spending]]+Table1[[#This Row],[Meat Spending]]+Table1[[#This Row],[Fruits Spending]]+Table1[[#This Row],[Wine Spending ]])</f>
        <v>80</v>
      </c>
      <c r="Q314">
        <v>3</v>
      </c>
      <c r="R314">
        <v>2</v>
      </c>
      <c r="S314">
        <v>1</v>
      </c>
      <c r="T314">
        <v>3</v>
      </c>
      <c r="U314">
        <f>SUM(Table1[[#This Row],[Store_Purchases]]+Table1[[#This Row],[Catalog_Purchases]]+Table1[[#This Row],[Web_Purchases]]+Table1[[#This Row],[Deal_Purchases]])</f>
        <v>9</v>
      </c>
      <c r="V314">
        <v>5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>SUM(Table1[[#This Row],[Accepted_Campaign_2]]+Table1[[#This Row],[Accepted_Campaign_1]]+Table1[[#This Row],[Accepted_Campaign_5]]+Table1[[#This Row],[Accepted_Campaign_4]]+Table1[[#This Row],[Accepted_Campaign_3]])</f>
        <v>0</v>
      </c>
      <c r="AC314">
        <v>1</v>
      </c>
      <c r="AD314">
        <v>0</v>
      </c>
    </row>
    <row r="315" spans="1:30" x14ac:dyDescent="0.25">
      <c r="A315">
        <v>41654</v>
      </c>
      <c r="B315">
        <v>10681</v>
      </c>
      <c r="C315">
        <v>1970</v>
      </c>
      <c r="D315" t="s">
        <v>8</v>
      </c>
      <c r="E315" t="s">
        <v>15</v>
      </c>
      <c r="F315" t="s">
        <v>11</v>
      </c>
      <c r="G315">
        <v>62466</v>
      </c>
      <c r="H315">
        <v>1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f>SUM(Table1[[#This Row],[Gold Spending]]+Table1[[#This Row],[Sweet Spending]]+Table1[[#This Row],[Fish Spending]]+Table1[[#This Row],[Meat Spending]]+Table1[[#This Row],[Fruits Spending]]+Table1[[#This Row],[Wine Spending ]])</f>
        <v>889</v>
      </c>
      <c r="Q315">
        <v>5</v>
      </c>
      <c r="R315">
        <v>6</v>
      </c>
      <c r="S315">
        <v>3</v>
      </c>
      <c r="T315">
        <v>12</v>
      </c>
      <c r="U315">
        <f>SUM(Table1[[#This Row],[Store_Purchases]]+Table1[[#This Row],[Catalog_Purchases]]+Table1[[#This Row],[Web_Purchases]]+Table1[[#This Row],[Deal_Purchases]])</f>
        <v>26</v>
      </c>
      <c r="V315">
        <v>4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f>SUM(Table1[[#This Row],[Accepted_Campaign_2]]+Table1[[#This Row],[Accepted_Campaign_1]]+Table1[[#This Row],[Accepted_Campaign_5]]+Table1[[#This Row],[Accepted_Campaign_4]]+Table1[[#This Row],[Accepted_Campaign_3]])</f>
        <v>0</v>
      </c>
      <c r="AC315">
        <v>0</v>
      </c>
      <c r="AD315">
        <v>0</v>
      </c>
    </row>
    <row r="316" spans="1:30" x14ac:dyDescent="0.25">
      <c r="A316">
        <v>41654</v>
      </c>
      <c r="B316">
        <v>5156</v>
      </c>
      <c r="C316">
        <v>1970</v>
      </c>
      <c r="D316" t="s">
        <v>8</v>
      </c>
      <c r="E316" t="s">
        <v>15</v>
      </c>
      <c r="F316" t="s">
        <v>11</v>
      </c>
      <c r="G316">
        <v>62466</v>
      </c>
      <c r="H316">
        <v>1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f>SUM(Table1[[#This Row],[Gold Spending]]+Table1[[#This Row],[Sweet Spending]]+Table1[[#This Row],[Fish Spending]]+Table1[[#This Row],[Meat Spending]]+Table1[[#This Row],[Fruits Spending]]+Table1[[#This Row],[Wine Spending ]])</f>
        <v>889</v>
      </c>
      <c r="Q316">
        <v>5</v>
      </c>
      <c r="R316">
        <v>6</v>
      </c>
      <c r="S316">
        <v>3</v>
      </c>
      <c r="T316">
        <v>12</v>
      </c>
      <c r="U316">
        <f>SUM(Table1[[#This Row],[Store_Purchases]]+Table1[[#This Row],[Catalog_Purchases]]+Table1[[#This Row],[Web_Purchases]]+Table1[[#This Row],[Deal_Purchases]])</f>
        <v>26</v>
      </c>
      <c r="V316">
        <v>4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f>SUM(Table1[[#This Row],[Accepted_Campaign_2]]+Table1[[#This Row],[Accepted_Campaign_1]]+Table1[[#This Row],[Accepted_Campaign_5]]+Table1[[#This Row],[Accepted_Campaign_4]]+Table1[[#This Row],[Accepted_Campaign_3]])</f>
        <v>0</v>
      </c>
      <c r="AC316">
        <v>0</v>
      </c>
      <c r="AD316">
        <v>0</v>
      </c>
    </row>
    <row r="317" spans="1:30" x14ac:dyDescent="0.25">
      <c r="A317">
        <v>41625</v>
      </c>
      <c r="B317">
        <v>3050</v>
      </c>
      <c r="C317">
        <v>1966</v>
      </c>
      <c r="D317" t="s">
        <v>8</v>
      </c>
      <c r="E317" t="s">
        <v>6</v>
      </c>
      <c r="F317" t="s">
        <v>11</v>
      </c>
      <c r="G317">
        <v>54198</v>
      </c>
      <c r="H317">
        <v>2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f>SUM(Table1[[#This Row],[Gold Spending]]+Table1[[#This Row],[Sweet Spending]]+Table1[[#This Row],[Fish Spending]]+Table1[[#This Row],[Meat Spending]]+Table1[[#This Row],[Fruits Spending]]+Table1[[#This Row],[Wine Spending ]])</f>
        <v>235</v>
      </c>
      <c r="Q317">
        <v>6</v>
      </c>
      <c r="R317">
        <v>3</v>
      </c>
      <c r="S317">
        <v>1</v>
      </c>
      <c r="T317">
        <v>6</v>
      </c>
      <c r="U317">
        <f>SUM(Table1[[#This Row],[Store_Purchases]]+Table1[[#This Row],[Catalog_Purchases]]+Table1[[#This Row],[Web_Purchases]]+Table1[[#This Row],[Deal_Purchases]])</f>
        <v>16</v>
      </c>
      <c r="V317">
        <v>4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f>SUM(Table1[[#This Row],[Accepted_Campaign_2]]+Table1[[#This Row],[Accepted_Campaign_1]]+Table1[[#This Row],[Accepted_Campaign_5]]+Table1[[#This Row],[Accepted_Campaign_4]]+Table1[[#This Row],[Accepted_Campaign_3]])</f>
        <v>0</v>
      </c>
      <c r="AC317">
        <v>0</v>
      </c>
      <c r="AD317">
        <v>0</v>
      </c>
    </row>
    <row r="318" spans="1:30" x14ac:dyDescent="0.25">
      <c r="A318">
        <v>41603</v>
      </c>
      <c r="B318">
        <v>8164</v>
      </c>
      <c r="C318">
        <v>1978</v>
      </c>
      <c r="D318" t="s">
        <v>20</v>
      </c>
      <c r="E318" t="s">
        <v>14</v>
      </c>
      <c r="F318" t="s">
        <v>11</v>
      </c>
      <c r="G318">
        <v>82170</v>
      </c>
      <c r="H318">
        <v>0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f>SUM(Table1[[#This Row],[Gold Spending]]+Table1[[#This Row],[Sweet Spending]]+Table1[[#This Row],[Fish Spending]]+Table1[[#This Row],[Meat Spending]]+Table1[[#This Row],[Fruits Spending]]+Table1[[#This Row],[Wine Spending ]])</f>
        <v>1908</v>
      </c>
      <c r="Q318">
        <v>1</v>
      </c>
      <c r="R318">
        <v>5</v>
      </c>
      <c r="S318">
        <v>6</v>
      </c>
      <c r="T318">
        <v>7</v>
      </c>
      <c r="U318">
        <f>SUM(Table1[[#This Row],[Store_Purchases]]+Table1[[#This Row],[Catalog_Purchases]]+Table1[[#This Row],[Web_Purchases]]+Table1[[#This Row],[Deal_Purchases]])</f>
        <v>19</v>
      </c>
      <c r="V318">
        <v>2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f>SUM(Table1[[#This Row],[Accepted_Campaign_2]]+Table1[[#This Row],[Accepted_Campaign_1]]+Table1[[#This Row],[Accepted_Campaign_5]]+Table1[[#This Row],[Accepted_Campaign_4]]+Table1[[#This Row],[Accepted_Campaign_3]])</f>
        <v>0</v>
      </c>
      <c r="AC318">
        <v>0</v>
      </c>
      <c r="AD318">
        <v>0</v>
      </c>
    </row>
    <row r="319" spans="1:30" x14ac:dyDescent="0.25">
      <c r="A319">
        <v>41601</v>
      </c>
      <c r="B319">
        <v>5626</v>
      </c>
      <c r="C319">
        <v>1964</v>
      </c>
      <c r="D319" t="s">
        <v>8</v>
      </c>
      <c r="E319" t="s">
        <v>14</v>
      </c>
      <c r="F319" t="s">
        <v>9</v>
      </c>
      <c r="G319">
        <v>61798</v>
      </c>
      <c r="H319">
        <v>0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f>SUM(Table1[[#This Row],[Gold Spending]]+Table1[[#This Row],[Sweet Spending]]+Table1[[#This Row],[Fish Spending]]+Table1[[#This Row],[Meat Spending]]+Table1[[#This Row],[Fruits Spending]]+Table1[[#This Row],[Wine Spending ]])</f>
        <v>463</v>
      </c>
      <c r="Q319">
        <v>1</v>
      </c>
      <c r="R319">
        <v>4</v>
      </c>
      <c r="S319">
        <v>2</v>
      </c>
      <c r="T319">
        <v>9</v>
      </c>
      <c r="U319">
        <f>SUM(Table1[[#This Row],[Store_Purchases]]+Table1[[#This Row],[Catalog_Purchases]]+Table1[[#This Row],[Web_Purchases]]+Table1[[#This Row],[Deal_Purchases]])</f>
        <v>16</v>
      </c>
      <c r="V319">
        <v>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f>SUM(Table1[[#This Row],[Accepted_Campaign_2]]+Table1[[#This Row],[Accepted_Campaign_1]]+Table1[[#This Row],[Accepted_Campaign_5]]+Table1[[#This Row],[Accepted_Campaign_4]]+Table1[[#This Row],[Accepted_Campaign_3]])</f>
        <v>0</v>
      </c>
      <c r="AC319">
        <v>0</v>
      </c>
      <c r="AD319">
        <v>0</v>
      </c>
    </row>
    <row r="320" spans="1:30" x14ac:dyDescent="0.25">
      <c r="A320">
        <v>41575</v>
      </c>
      <c r="B320">
        <v>7600</v>
      </c>
      <c r="C320">
        <v>1992</v>
      </c>
      <c r="D320" t="s">
        <v>10</v>
      </c>
      <c r="E320" t="s">
        <v>21</v>
      </c>
      <c r="F320" t="s">
        <v>9</v>
      </c>
      <c r="G320">
        <v>15253</v>
      </c>
      <c r="H320">
        <v>1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f>SUM(Table1[[#This Row],[Gold Spending]]+Table1[[#This Row],[Sweet Spending]]+Table1[[#This Row],[Fish Spending]]+Table1[[#This Row],[Meat Spending]]+Table1[[#This Row],[Fruits Spending]]+Table1[[#This Row],[Wine Spending ]])</f>
        <v>29</v>
      </c>
      <c r="Q320">
        <v>2</v>
      </c>
      <c r="R320">
        <v>1</v>
      </c>
      <c r="S320">
        <v>0</v>
      </c>
      <c r="T320">
        <v>3</v>
      </c>
      <c r="U320">
        <f>SUM(Table1[[#This Row],[Store_Purchases]]+Table1[[#This Row],[Catalog_Purchases]]+Table1[[#This Row],[Web_Purchases]]+Table1[[#This Row],[Deal_Purchases]])</f>
        <v>6</v>
      </c>
      <c r="V320">
        <v>7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f>SUM(Table1[[#This Row],[Accepted_Campaign_2]]+Table1[[#This Row],[Accepted_Campaign_1]]+Table1[[#This Row],[Accepted_Campaign_5]]+Table1[[#This Row],[Accepted_Campaign_4]]+Table1[[#This Row],[Accepted_Campaign_3]])</f>
        <v>0</v>
      </c>
      <c r="AC320">
        <v>0</v>
      </c>
      <c r="AD320">
        <v>0</v>
      </c>
    </row>
    <row r="321" spans="1:30" x14ac:dyDescent="0.25">
      <c r="A321">
        <v>41575</v>
      </c>
      <c r="B321">
        <v>6406</v>
      </c>
      <c r="C321">
        <v>1988</v>
      </c>
      <c r="D321" t="s">
        <v>16</v>
      </c>
      <c r="E321" t="s">
        <v>18</v>
      </c>
      <c r="F321" t="s">
        <v>11</v>
      </c>
      <c r="G321">
        <v>78285</v>
      </c>
      <c r="H321">
        <v>0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f>SUM(Table1[[#This Row],[Gold Spending]]+Table1[[#This Row],[Sweet Spending]]+Table1[[#This Row],[Fish Spending]]+Table1[[#This Row],[Meat Spending]]+Table1[[#This Row],[Fruits Spending]]+Table1[[#This Row],[Wine Spending ]])</f>
        <v>1427</v>
      </c>
      <c r="Q321">
        <v>1</v>
      </c>
      <c r="R321">
        <v>6</v>
      </c>
      <c r="S321">
        <v>4</v>
      </c>
      <c r="T321">
        <v>10</v>
      </c>
      <c r="U321">
        <f>SUM(Table1[[#This Row],[Store_Purchases]]+Table1[[#This Row],[Catalog_Purchases]]+Table1[[#This Row],[Web_Purchases]]+Table1[[#This Row],[Deal_Purchases]])</f>
        <v>21</v>
      </c>
      <c r="V321">
        <v>3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f>SUM(Table1[[#This Row],[Accepted_Campaign_2]]+Table1[[#This Row],[Accepted_Campaign_1]]+Table1[[#This Row],[Accepted_Campaign_5]]+Table1[[#This Row],[Accepted_Campaign_4]]+Table1[[#This Row],[Accepted_Campaign_3]])</f>
        <v>0</v>
      </c>
      <c r="AC321">
        <v>0</v>
      </c>
      <c r="AD321">
        <v>0</v>
      </c>
    </row>
    <row r="322" spans="1:30" x14ac:dyDescent="0.25">
      <c r="A322">
        <v>41550</v>
      </c>
      <c r="B322">
        <v>7002</v>
      </c>
      <c r="C322">
        <v>1955</v>
      </c>
      <c r="D322" t="s">
        <v>8</v>
      </c>
      <c r="E322" t="s">
        <v>6</v>
      </c>
      <c r="F322" t="s">
        <v>9</v>
      </c>
      <c r="G322">
        <v>62535</v>
      </c>
      <c r="H322">
        <v>1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f>SUM(Table1[[#This Row],[Gold Spending]]+Table1[[#This Row],[Sweet Spending]]+Table1[[#This Row],[Fish Spending]]+Table1[[#This Row],[Meat Spending]]+Table1[[#This Row],[Fruits Spending]]+Table1[[#This Row],[Wine Spending ]])</f>
        <v>398</v>
      </c>
      <c r="Q322">
        <v>1</v>
      </c>
      <c r="R322">
        <v>3</v>
      </c>
      <c r="S322">
        <v>2</v>
      </c>
      <c r="T322">
        <v>8</v>
      </c>
      <c r="U322">
        <f>SUM(Table1[[#This Row],[Store_Purchases]]+Table1[[#This Row],[Catalog_Purchases]]+Table1[[#This Row],[Web_Purchases]]+Table1[[#This Row],[Deal_Purchases]])</f>
        <v>14</v>
      </c>
      <c r="V322">
        <v>3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f>SUM(Table1[[#This Row],[Accepted_Campaign_2]]+Table1[[#This Row],[Accepted_Campaign_1]]+Table1[[#This Row],[Accepted_Campaign_5]]+Table1[[#This Row],[Accepted_Campaign_4]]+Table1[[#This Row],[Accepted_Campaign_3]])</f>
        <v>0</v>
      </c>
      <c r="AC322">
        <v>0</v>
      </c>
      <c r="AD322">
        <v>0</v>
      </c>
    </row>
    <row r="323" spans="1:30" x14ac:dyDescent="0.25">
      <c r="A323">
        <v>41501</v>
      </c>
      <c r="B323">
        <v>8234</v>
      </c>
      <c r="C323">
        <v>1973</v>
      </c>
      <c r="D323" t="s">
        <v>8</v>
      </c>
      <c r="E323" t="s">
        <v>21</v>
      </c>
      <c r="F323" t="s">
        <v>12</v>
      </c>
      <c r="G323">
        <v>27190</v>
      </c>
      <c r="H323">
        <v>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f>SUM(Table1[[#This Row],[Gold Spending]]+Table1[[#This Row],[Sweet Spending]]+Table1[[#This Row],[Fish Spending]]+Table1[[#This Row],[Meat Spending]]+Table1[[#This Row],[Fruits Spending]]+Table1[[#This Row],[Wine Spending ]])</f>
        <v>18</v>
      </c>
      <c r="Q323">
        <v>1</v>
      </c>
      <c r="R323">
        <v>1</v>
      </c>
      <c r="S323">
        <v>0</v>
      </c>
      <c r="T323">
        <v>2</v>
      </c>
      <c r="U323">
        <f>SUM(Table1[[#This Row],[Store_Purchases]]+Table1[[#This Row],[Catalog_Purchases]]+Table1[[#This Row],[Web_Purchases]]+Table1[[#This Row],[Deal_Purchases]])</f>
        <v>4</v>
      </c>
      <c r="V323">
        <v>8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f>SUM(Table1[[#This Row],[Accepted_Campaign_2]]+Table1[[#This Row],[Accepted_Campaign_1]]+Table1[[#This Row],[Accepted_Campaign_5]]+Table1[[#This Row],[Accepted_Campaign_4]]+Table1[[#This Row],[Accepted_Campaign_3]])</f>
        <v>1</v>
      </c>
      <c r="AC323">
        <v>1</v>
      </c>
      <c r="AD323">
        <v>0</v>
      </c>
    </row>
    <row r="324" spans="1:30" x14ac:dyDescent="0.25">
      <c r="A324">
        <v>41460</v>
      </c>
      <c r="B324">
        <v>6116</v>
      </c>
      <c r="C324">
        <v>1968</v>
      </c>
      <c r="D324" t="s">
        <v>8</v>
      </c>
      <c r="E324" t="s">
        <v>15</v>
      </c>
      <c r="F324" t="s">
        <v>11</v>
      </c>
      <c r="G324">
        <v>48985</v>
      </c>
      <c r="H324">
        <v>1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f>SUM(Table1[[#This Row],[Gold Spending]]+Table1[[#This Row],[Sweet Spending]]+Table1[[#This Row],[Fish Spending]]+Table1[[#This Row],[Meat Spending]]+Table1[[#This Row],[Fruits Spending]]+Table1[[#This Row],[Wine Spending ]])</f>
        <v>75</v>
      </c>
      <c r="Q324">
        <v>1</v>
      </c>
      <c r="R324">
        <v>1</v>
      </c>
      <c r="S324">
        <v>1</v>
      </c>
      <c r="T324">
        <v>3</v>
      </c>
      <c r="U324">
        <f>SUM(Table1[[#This Row],[Store_Purchases]]+Table1[[#This Row],[Catalog_Purchases]]+Table1[[#This Row],[Web_Purchases]]+Table1[[#This Row],[Deal_Purchases]])</f>
        <v>6</v>
      </c>
      <c r="V324">
        <v>3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f>SUM(Table1[[#This Row],[Accepted_Campaign_2]]+Table1[[#This Row],[Accepted_Campaign_1]]+Table1[[#This Row],[Accepted_Campaign_5]]+Table1[[#This Row],[Accepted_Campaign_4]]+Table1[[#This Row],[Accepted_Campaign_3]])</f>
        <v>0</v>
      </c>
      <c r="AC324">
        <v>0</v>
      </c>
      <c r="AD324">
        <v>0</v>
      </c>
    </row>
    <row r="325" spans="1:30" x14ac:dyDescent="0.25">
      <c r="A325">
        <v>41444</v>
      </c>
      <c r="B325">
        <v>291</v>
      </c>
      <c r="C325">
        <v>1970</v>
      </c>
      <c r="D325" t="s">
        <v>20</v>
      </c>
      <c r="E325" t="s">
        <v>6</v>
      </c>
      <c r="F325" t="s">
        <v>11</v>
      </c>
      <c r="G325">
        <v>72940</v>
      </c>
      <c r="H325">
        <v>0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f>SUM(Table1[[#This Row],[Gold Spending]]+Table1[[#This Row],[Sweet Spending]]+Table1[[#This Row],[Fish Spending]]+Table1[[#This Row],[Meat Spending]]+Table1[[#This Row],[Fruits Spending]]+Table1[[#This Row],[Wine Spending ]])</f>
        <v>981</v>
      </c>
      <c r="Q325">
        <v>1</v>
      </c>
      <c r="R325">
        <v>3</v>
      </c>
      <c r="S325">
        <v>3</v>
      </c>
      <c r="T325">
        <v>6</v>
      </c>
      <c r="U325">
        <f>SUM(Table1[[#This Row],[Store_Purchases]]+Table1[[#This Row],[Catalog_Purchases]]+Table1[[#This Row],[Web_Purchases]]+Table1[[#This Row],[Deal_Purchases]])</f>
        <v>13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f>SUM(Table1[[#This Row],[Accepted_Campaign_2]]+Table1[[#This Row],[Accepted_Campaign_1]]+Table1[[#This Row],[Accepted_Campaign_5]]+Table1[[#This Row],[Accepted_Campaign_4]]+Table1[[#This Row],[Accepted_Campaign_3]])</f>
        <v>0</v>
      </c>
      <c r="AC325">
        <v>0</v>
      </c>
      <c r="AD325">
        <v>0</v>
      </c>
    </row>
    <row r="326" spans="1:30" x14ac:dyDescent="0.25">
      <c r="A326">
        <v>41441</v>
      </c>
      <c r="B326">
        <v>8779</v>
      </c>
      <c r="C326">
        <v>1985</v>
      </c>
      <c r="D326" t="s">
        <v>63</v>
      </c>
      <c r="E326" t="s">
        <v>15</v>
      </c>
      <c r="F326" t="s">
        <v>11</v>
      </c>
      <c r="G326">
        <v>36145</v>
      </c>
      <c r="H326">
        <v>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f>SUM(Table1[[#This Row],[Gold Spending]]+Table1[[#This Row],[Sweet Spending]]+Table1[[#This Row],[Fish Spending]]+Table1[[#This Row],[Meat Spending]]+Table1[[#This Row],[Fruits Spending]]+Table1[[#This Row],[Wine Spending ]])</f>
        <v>172</v>
      </c>
      <c r="Q326">
        <v>4</v>
      </c>
      <c r="R326">
        <v>4</v>
      </c>
      <c r="S326">
        <v>1</v>
      </c>
      <c r="T326">
        <v>3</v>
      </c>
      <c r="U326">
        <f>SUM(Table1[[#This Row],[Store_Purchases]]+Table1[[#This Row],[Catalog_Purchases]]+Table1[[#This Row],[Web_Purchases]]+Table1[[#This Row],[Deal_Purchases]])</f>
        <v>12</v>
      </c>
      <c r="V326">
        <v>9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f>SUM(Table1[[#This Row],[Accepted_Campaign_2]]+Table1[[#This Row],[Accepted_Campaign_1]]+Table1[[#This Row],[Accepted_Campaign_5]]+Table1[[#This Row],[Accepted_Campaign_4]]+Table1[[#This Row],[Accepted_Campaign_3]])</f>
        <v>1</v>
      </c>
      <c r="AC326">
        <v>1</v>
      </c>
      <c r="AD326">
        <v>0</v>
      </c>
    </row>
    <row r="327" spans="1:30" x14ac:dyDescent="0.25">
      <c r="A327">
        <v>41393</v>
      </c>
      <c r="B327">
        <v>4931</v>
      </c>
      <c r="C327">
        <v>1977</v>
      </c>
      <c r="D327" t="s">
        <v>20</v>
      </c>
      <c r="E327" t="s">
        <v>6</v>
      </c>
      <c r="F327" t="s">
        <v>12</v>
      </c>
      <c r="G327">
        <v>157146</v>
      </c>
      <c r="H327">
        <v>0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f>SUM(Table1[[#This Row],[Gold Spending]]+Table1[[#This Row],[Sweet Spending]]+Table1[[#This Row],[Fish Spending]]+Table1[[#This Row],[Meat Spending]]+Table1[[#This Row],[Fruits Spending]]+Table1[[#This Row],[Wine Spending ]])</f>
        <v>1730</v>
      </c>
      <c r="Q327">
        <v>0</v>
      </c>
      <c r="R327">
        <v>0</v>
      </c>
      <c r="S327">
        <v>28</v>
      </c>
      <c r="T327">
        <v>0</v>
      </c>
      <c r="U327">
        <f>SUM(Table1[[#This Row],[Store_Purchases]]+Table1[[#This Row],[Catalog_Purchases]]+Table1[[#This Row],[Web_Purchases]]+Table1[[#This Row],[Deal_Purchases]])</f>
        <v>28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>SUM(Table1[[#This Row],[Accepted_Campaign_2]]+Table1[[#This Row],[Accepted_Campaign_1]]+Table1[[#This Row],[Accepted_Campaign_5]]+Table1[[#This Row],[Accepted_Campaign_4]]+Table1[[#This Row],[Accepted_Campaign_3]])</f>
        <v>0</v>
      </c>
      <c r="AC327">
        <v>0</v>
      </c>
      <c r="AD327">
        <v>0</v>
      </c>
    </row>
    <row r="328" spans="1:30" x14ac:dyDescent="0.25">
      <c r="A328">
        <v>41386</v>
      </c>
      <c r="B328">
        <v>1650</v>
      </c>
      <c r="C328">
        <v>1960</v>
      </c>
      <c r="D328" t="s">
        <v>8</v>
      </c>
      <c r="E328" t="s">
        <v>18</v>
      </c>
      <c r="F328" t="s">
        <v>11</v>
      </c>
      <c r="G328">
        <v>81843</v>
      </c>
      <c r="H328">
        <v>0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f>SUM(Table1[[#This Row],[Gold Spending]]+Table1[[#This Row],[Sweet Spending]]+Table1[[#This Row],[Fish Spending]]+Table1[[#This Row],[Meat Spending]]+Table1[[#This Row],[Fruits Spending]]+Table1[[#This Row],[Wine Spending ]])</f>
        <v>1643</v>
      </c>
      <c r="Q328">
        <v>1</v>
      </c>
      <c r="R328">
        <v>5</v>
      </c>
      <c r="S328">
        <v>9</v>
      </c>
      <c r="T328">
        <v>12</v>
      </c>
      <c r="U328">
        <f>SUM(Table1[[#This Row],[Store_Purchases]]+Table1[[#This Row],[Catalog_Purchases]]+Table1[[#This Row],[Web_Purchases]]+Table1[[#This Row],[Deal_Purchases]])</f>
        <v>27</v>
      </c>
      <c r="V328">
        <v>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f>SUM(Table1[[#This Row],[Accepted_Campaign_2]]+Table1[[#This Row],[Accepted_Campaign_1]]+Table1[[#This Row],[Accepted_Campaign_5]]+Table1[[#This Row],[Accepted_Campaign_4]]+Table1[[#This Row],[Accepted_Campaign_3]])</f>
        <v>0</v>
      </c>
      <c r="AC328">
        <v>0</v>
      </c>
      <c r="AD328">
        <v>0</v>
      </c>
    </row>
    <row r="329" spans="1:30" x14ac:dyDescent="0.25">
      <c r="A329">
        <v>41352</v>
      </c>
      <c r="B329">
        <v>9701</v>
      </c>
      <c r="C329">
        <v>1988</v>
      </c>
      <c r="D329" t="s">
        <v>10</v>
      </c>
      <c r="E329" t="s">
        <v>6</v>
      </c>
      <c r="F329" t="s">
        <v>12</v>
      </c>
      <c r="G329">
        <v>41883</v>
      </c>
      <c r="H329">
        <v>1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f>SUM(Table1[[#This Row],[Gold Spending]]+Table1[[#This Row],[Sweet Spending]]+Table1[[#This Row],[Fish Spending]]+Table1[[#This Row],[Meat Spending]]+Table1[[#This Row],[Fruits Spending]]+Table1[[#This Row],[Wine Spending ]])</f>
        <v>312</v>
      </c>
      <c r="Q329">
        <v>3</v>
      </c>
      <c r="R329">
        <v>4</v>
      </c>
      <c r="S329">
        <v>2</v>
      </c>
      <c r="T329">
        <v>3</v>
      </c>
      <c r="U329">
        <f>SUM(Table1[[#This Row],[Store_Purchases]]+Table1[[#This Row],[Catalog_Purchases]]+Table1[[#This Row],[Web_Purchases]]+Table1[[#This Row],[Deal_Purchases]])</f>
        <v>12</v>
      </c>
      <c r="V329">
        <v>7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f>SUM(Table1[[#This Row],[Accepted_Campaign_2]]+Table1[[#This Row],[Accepted_Campaign_1]]+Table1[[#This Row],[Accepted_Campaign_5]]+Table1[[#This Row],[Accepted_Campaign_4]]+Table1[[#This Row],[Accepted_Campaign_3]])</f>
        <v>0</v>
      </c>
      <c r="AC329">
        <v>0</v>
      </c>
      <c r="AD329">
        <v>0</v>
      </c>
    </row>
    <row r="330" spans="1:30" x14ac:dyDescent="0.25">
      <c r="A330">
        <v>41328</v>
      </c>
      <c r="B330">
        <v>6431</v>
      </c>
      <c r="C330">
        <v>1964</v>
      </c>
      <c r="D330" t="s">
        <v>17</v>
      </c>
      <c r="E330" t="s">
        <v>14</v>
      </c>
      <c r="F330" t="s">
        <v>11</v>
      </c>
      <c r="G330">
        <v>45759</v>
      </c>
      <c r="H330">
        <v>2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f>SUM(Table1[[#This Row],[Gold Spending]]+Table1[[#This Row],[Sweet Spending]]+Table1[[#This Row],[Fish Spending]]+Table1[[#This Row],[Meat Spending]]+Table1[[#This Row],[Fruits Spending]]+Table1[[#This Row],[Wine Spending ]])</f>
        <v>68</v>
      </c>
      <c r="Q330">
        <v>2</v>
      </c>
      <c r="R330">
        <v>2</v>
      </c>
      <c r="S330">
        <v>0</v>
      </c>
      <c r="T330">
        <v>3</v>
      </c>
      <c r="U330">
        <f>SUM(Table1[[#This Row],[Store_Purchases]]+Table1[[#This Row],[Catalog_Purchases]]+Table1[[#This Row],[Web_Purchases]]+Table1[[#This Row],[Deal_Purchases]])</f>
        <v>7</v>
      </c>
      <c r="V330">
        <v>7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f>SUM(Table1[[#This Row],[Accepted_Campaign_2]]+Table1[[#This Row],[Accepted_Campaign_1]]+Table1[[#This Row],[Accepted_Campaign_5]]+Table1[[#This Row],[Accepted_Campaign_4]]+Table1[[#This Row],[Accepted_Campaign_3]])</f>
        <v>0</v>
      </c>
      <c r="AC330">
        <v>0</v>
      </c>
      <c r="AD330">
        <v>0</v>
      </c>
    </row>
    <row r="331" spans="1:30" x14ac:dyDescent="0.25">
      <c r="A331">
        <v>41328</v>
      </c>
      <c r="B331">
        <v>10789</v>
      </c>
      <c r="C331">
        <v>1964</v>
      </c>
      <c r="D331" t="s">
        <v>8</v>
      </c>
      <c r="E331" t="s">
        <v>14</v>
      </c>
      <c r="F331" t="s">
        <v>11</v>
      </c>
      <c r="G331">
        <v>45759</v>
      </c>
      <c r="H331">
        <v>2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f>SUM(Table1[[#This Row],[Gold Spending]]+Table1[[#This Row],[Sweet Spending]]+Table1[[#This Row],[Fish Spending]]+Table1[[#This Row],[Meat Spending]]+Table1[[#This Row],[Fruits Spending]]+Table1[[#This Row],[Wine Spending ]])</f>
        <v>68</v>
      </c>
      <c r="Q331">
        <v>2</v>
      </c>
      <c r="R331">
        <v>2</v>
      </c>
      <c r="S331">
        <v>0</v>
      </c>
      <c r="T331">
        <v>3</v>
      </c>
      <c r="U331">
        <f>SUM(Table1[[#This Row],[Store_Purchases]]+Table1[[#This Row],[Catalog_Purchases]]+Table1[[#This Row],[Web_Purchases]]+Table1[[#This Row],[Deal_Purchases]])</f>
        <v>7</v>
      </c>
      <c r="V331">
        <v>7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f>SUM(Table1[[#This Row],[Accepted_Campaign_2]]+Table1[[#This Row],[Accepted_Campaign_1]]+Table1[[#This Row],[Accepted_Campaign_5]]+Table1[[#This Row],[Accepted_Campaign_4]]+Table1[[#This Row],[Accepted_Campaign_3]])</f>
        <v>0</v>
      </c>
      <c r="AC331">
        <v>0</v>
      </c>
      <c r="AD331">
        <v>0</v>
      </c>
    </row>
    <row r="332" spans="1:30" x14ac:dyDescent="0.25">
      <c r="A332">
        <v>41320</v>
      </c>
      <c r="B332">
        <v>5302</v>
      </c>
      <c r="C332">
        <v>1986</v>
      </c>
      <c r="D332" t="s">
        <v>8</v>
      </c>
      <c r="E332" t="s">
        <v>6</v>
      </c>
      <c r="F332" t="s">
        <v>12</v>
      </c>
      <c r="G332">
        <v>78394</v>
      </c>
      <c r="H332">
        <v>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f>SUM(Table1[[#This Row],[Gold Spending]]+Table1[[#This Row],[Sweet Spending]]+Table1[[#This Row],[Fish Spending]]+Table1[[#This Row],[Meat Spending]]+Table1[[#This Row],[Fruits Spending]]+Table1[[#This Row],[Wine Spending ]])</f>
        <v>1428</v>
      </c>
      <c r="Q332">
        <v>1</v>
      </c>
      <c r="R332">
        <v>4</v>
      </c>
      <c r="S332">
        <v>6</v>
      </c>
      <c r="T332">
        <v>5</v>
      </c>
      <c r="U332">
        <f>SUM(Table1[[#This Row],[Store_Purchases]]+Table1[[#This Row],[Catalog_Purchases]]+Table1[[#This Row],[Web_Purchases]]+Table1[[#This Row],[Deal_Purchases]])</f>
        <v>16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f>SUM(Table1[[#This Row],[Accepted_Campaign_2]]+Table1[[#This Row],[Accepted_Campaign_1]]+Table1[[#This Row],[Accepted_Campaign_5]]+Table1[[#This Row],[Accepted_Campaign_4]]+Table1[[#This Row],[Accepted_Campaign_3]])</f>
        <v>0</v>
      </c>
      <c r="AC332">
        <v>1</v>
      </c>
      <c r="AD332">
        <v>0</v>
      </c>
    </row>
    <row r="333" spans="1:30" x14ac:dyDescent="0.25">
      <c r="A333">
        <v>41273</v>
      </c>
      <c r="B333">
        <v>4459</v>
      </c>
      <c r="C333">
        <v>1989</v>
      </c>
      <c r="D333" t="s">
        <v>8</v>
      </c>
      <c r="E333" t="s">
        <v>6</v>
      </c>
      <c r="F333" t="s">
        <v>9</v>
      </c>
      <c r="G333">
        <v>30279</v>
      </c>
      <c r="H333">
        <v>1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f>SUM(Table1[[#This Row],[Gold Spending]]+Table1[[#This Row],[Sweet Spending]]+Table1[[#This Row],[Fish Spending]]+Table1[[#This Row],[Meat Spending]]+Table1[[#This Row],[Fruits Spending]]+Table1[[#This Row],[Wine Spending ]])</f>
        <v>37</v>
      </c>
      <c r="Q333">
        <v>1</v>
      </c>
      <c r="R333">
        <v>1</v>
      </c>
      <c r="S333">
        <v>0</v>
      </c>
      <c r="T333">
        <v>3</v>
      </c>
      <c r="U333">
        <f>SUM(Table1[[#This Row],[Store_Purchases]]+Table1[[#This Row],[Catalog_Purchases]]+Table1[[#This Row],[Web_Purchases]]+Table1[[#This Row],[Deal_Purchases]])</f>
        <v>5</v>
      </c>
      <c r="V333">
        <v>8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f>SUM(Table1[[#This Row],[Accepted_Campaign_2]]+Table1[[#This Row],[Accepted_Campaign_1]]+Table1[[#This Row],[Accepted_Campaign_5]]+Table1[[#This Row],[Accepted_Campaign_4]]+Table1[[#This Row],[Accepted_Campaign_3]])</f>
        <v>0</v>
      </c>
      <c r="AC333">
        <v>0</v>
      </c>
      <c r="AD333">
        <v>0</v>
      </c>
    </row>
    <row r="334" spans="1:30" x14ac:dyDescent="0.25">
      <c r="A334">
        <v>41273</v>
      </c>
      <c r="B334">
        <v>10642</v>
      </c>
      <c r="C334">
        <v>1989</v>
      </c>
      <c r="D334" t="s">
        <v>8</v>
      </c>
      <c r="E334" t="s">
        <v>6</v>
      </c>
      <c r="F334" t="s">
        <v>9</v>
      </c>
      <c r="G334">
        <v>30279</v>
      </c>
      <c r="H334">
        <v>1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f>SUM(Table1[[#This Row],[Gold Spending]]+Table1[[#This Row],[Sweet Spending]]+Table1[[#This Row],[Fish Spending]]+Table1[[#This Row],[Meat Spending]]+Table1[[#This Row],[Fruits Spending]]+Table1[[#This Row],[Wine Spending ]])</f>
        <v>37</v>
      </c>
      <c r="Q334">
        <v>1</v>
      </c>
      <c r="R334">
        <v>1</v>
      </c>
      <c r="S334">
        <v>0</v>
      </c>
      <c r="T334">
        <v>3</v>
      </c>
      <c r="U334">
        <f>SUM(Table1[[#This Row],[Store_Purchases]]+Table1[[#This Row],[Catalog_Purchases]]+Table1[[#This Row],[Web_Purchases]]+Table1[[#This Row],[Deal_Purchases]])</f>
        <v>5</v>
      </c>
      <c r="V334">
        <v>8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f>SUM(Table1[[#This Row],[Accepted_Campaign_2]]+Table1[[#This Row],[Accepted_Campaign_1]]+Table1[[#This Row],[Accepted_Campaign_5]]+Table1[[#This Row],[Accepted_Campaign_4]]+Table1[[#This Row],[Accepted_Campaign_3]])</f>
        <v>0</v>
      </c>
      <c r="AC334">
        <v>0</v>
      </c>
      <c r="AD334">
        <v>0</v>
      </c>
    </row>
    <row r="335" spans="1:30" x14ac:dyDescent="0.25">
      <c r="A335">
        <v>41213</v>
      </c>
      <c r="B335">
        <v>9213</v>
      </c>
      <c r="C335">
        <v>1970</v>
      </c>
      <c r="D335" t="s">
        <v>8</v>
      </c>
      <c r="E335" t="s">
        <v>6</v>
      </c>
      <c r="F335" t="s">
        <v>19</v>
      </c>
      <c r="G335">
        <v>31880</v>
      </c>
      <c r="H335">
        <v>1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f>SUM(Table1[[#This Row],[Gold Spending]]+Table1[[#This Row],[Sweet Spending]]+Table1[[#This Row],[Fish Spending]]+Table1[[#This Row],[Meat Spending]]+Table1[[#This Row],[Fruits Spending]]+Table1[[#This Row],[Wine Spending ]])</f>
        <v>15</v>
      </c>
      <c r="Q335">
        <v>1</v>
      </c>
      <c r="R335">
        <v>1</v>
      </c>
      <c r="S335">
        <v>0</v>
      </c>
      <c r="T335">
        <v>2</v>
      </c>
      <c r="U335">
        <f>SUM(Table1[[#This Row],[Store_Purchases]]+Table1[[#This Row],[Catalog_Purchases]]+Table1[[#This Row],[Web_Purchases]]+Table1[[#This Row],[Deal_Purchases]])</f>
        <v>4</v>
      </c>
      <c r="V335">
        <v>8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f>SUM(Table1[[#This Row],[Accepted_Campaign_2]]+Table1[[#This Row],[Accepted_Campaign_1]]+Table1[[#This Row],[Accepted_Campaign_5]]+Table1[[#This Row],[Accepted_Campaign_4]]+Table1[[#This Row],[Accepted_Campaign_3]])</f>
        <v>0</v>
      </c>
      <c r="AC335">
        <v>0</v>
      </c>
      <c r="AD335">
        <v>0</v>
      </c>
    </row>
    <row r="336" spans="1:30" x14ac:dyDescent="0.25">
      <c r="A336">
        <v>41189</v>
      </c>
      <c r="B336">
        <v>3678</v>
      </c>
      <c r="C336">
        <v>1973</v>
      </c>
      <c r="D336" t="s">
        <v>8</v>
      </c>
      <c r="E336" t="s">
        <v>6</v>
      </c>
      <c r="F336" t="s">
        <v>19</v>
      </c>
      <c r="G336">
        <v>60208</v>
      </c>
      <c r="H336">
        <v>2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f>SUM(Table1[[#This Row],[Gold Spending]]+Table1[[#This Row],[Sweet Spending]]+Table1[[#This Row],[Fish Spending]]+Table1[[#This Row],[Meat Spending]]+Table1[[#This Row],[Fruits Spending]]+Table1[[#This Row],[Wine Spending ]])</f>
        <v>656</v>
      </c>
      <c r="Q336">
        <v>11</v>
      </c>
      <c r="R336">
        <v>8</v>
      </c>
      <c r="S336">
        <v>3</v>
      </c>
      <c r="T336">
        <v>7</v>
      </c>
      <c r="U336">
        <f>SUM(Table1[[#This Row],[Store_Purchases]]+Table1[[#This Row],[Catalog_Purchases]]+Table1[[#This Row],[Web_Purchases]]+Table1[[#This Row],[Deal_Purchases]])</f>
        <v>29</v>
      </c>
      <c r="V336">
        <v>7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f>SUM(Table1[[#This Row],[Accepted_Campaign_2]]+Table1[[#This Row],[Accepted_Campaign_1]]+Table1[[#This Row],[Accepted_Campaign_5]]+Table1[[#This Row],[Accepted_Campaign_4]]+Table1[[#This Row],[Accepted_Campaign_3]])</f>
        <v>1</v>
      </c>
      <c r="AC336">
        <v>1</v>
      </c>
      <c r="AD336">
        <v>0</v>
      </c>
    </row>
    <row r="337" spans="1:30" x14ac:dyDescent="0.25">
      <c r="A337">
        <v>41130</v>
      </c>
      <c r="B337">
        <v>3698</v>
      </c>
      <c r="C337">
        <v>1983</v>
      </c>
      <c r="D337" t="s">
        <v>8</v>
      </c>
      <c r="E337" t="s">
        <v>6</v>
      </c>
      <c r="F337" t="s">
        <v>12</v>
      </c>
      <c r="G337">
        <v>78687</v>
      </c>
      <c r="H337">
        <v>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f>SUM(Table1[[#This Row],[Gold Spending]]+Table1[[#This Row],[Sweet Spending]]+Table1[[#This Row],[Fish Spending]]+Table1[[#This Row],[Meat Spending]]+Table1[[#This Row],[Fruits Spending]]+Table1[[#This Row],[Wine Spending ]])</f>
        <v>2130</v>
      </c>
      <c r="Q337">
        <v>1</v>
      </c>
      <c r="R337">
        <v>4</v>
      </c>
      <c r="S337">
        <v>6</v>
      </c>
      <c r="T337">
        <v>8</v>
      </c>
      <c r="U337">
        <f>SUM(Table1[[#This Row],[Store_Purchases]]+Table1[[#This Row],[Catalog_Purchases]]+Table1[[#This Row],[Web_Purchases]]+Table1[[#This Row],[Deal_Purchases]])</f>
        <v>19</v>
      </c>
      <c r="V337">
        <v>2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f>SUM(Table1[[#This Row],[Accepted_Campaign_2]]+Table1[[#This Row],[Accepted_Campaign_1]]+Table1[[#This Row],[Accepted_Campaign_5]]+Table1[[#This Row],[Accepted_Campaign_4]]+Table1[[#This Row],[Accepted_Campaign_3]])</f>
        <v>1</v>
      </c>
      <c r="AC337">
        <v>1</v>
      </c>
      <c r="AD337">
        <v>0</v>
      </c>
    </row>
    <row r="338" spans="1:30" x14ac:dyDescent="0.25">
      <c r="A338">
        <v>41765</v>
      </c>
      <c r="B338">
        <v>5929</v>
      </c>
      <c r="C338">
        <v>1973</v>
      </c>
      <c r="D338" t="s">
        <v>8</v>
      </c>
      <c r="E338" t="s">
        <v>14</v>
      </c>
      <c r="F338" t="s">
        <v>11</v>
      </c>
      <c r="G338">
        <v>37401</v>
      </c>
      <c r="H338">
        <v>1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f>SUM(Table1[[#This Row],[Gold Spending]]+Table1[[#This Row],[Sweet Spending]]+Table1[[#This Row],[Fish Spending]]+Table1[[#This Row],[Meat Spending]]+Table1[[#This Row],[Fruits Spending]]+Table1[[#This Row],[Wine Spending ]])</f>
        <v>48</v>
      </c>
      <c r="Q338">
        <v>2</v>
      </c>
      <c r="R338">
        <v>2</v>
      </c>
      <c r="S338">
        <v>0</v>
      </c>
      <c r="T338">
        <v>3</v>
      </c>
      <c r="U338">
        <f>SUM(Table1[[#This Row],[Store_Purchases]]+Table1[[#This Row],[Catalog_Purchases]]+Table1[[#This Row],[Web_Purchases]]+Table1[[#This Row],[Deal_Purchases]])</f>
        <v>7</v>
      </c>
      <c r="V338">
        <v>7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f>SUM(Table1[[#This Row],[Accepted_Campaign_2]]+Table1[[#This Row],[Accepted_Campaign_1]]+Table1[[#This Row],[Accepted_Campaign_5]]+Table1[[#This Row],[Accepted_Campaign_4]]+Table1[[#This Row],[Accepted_Campaign_3]])</f>
        <v>0</v>
      </c>
      <c r="AC338">
        <v>0</v>
      </c>
      <c r="AD338">
        <v>0</v>
      </c>
    </row>
    <row r="339" spans="1:30" x14ac:dyDescent="0.25">
      <c r="A339">
        <v>41765</v>
      </c>
      <c r="B339">
        <v>10795</v>
      </c>
      <c r="C339">
        <v>1973</v>
      </c>
      <c r="D339" t="s">
        <v>17</v>
      </c>
      <c r="E339" t="s">
        <v>14</v>
      </c>
      <c r="F339" t="s">
        <v>11</v>
      </c>
      <c r="G339">
        <v>37401</v>
      </c>
      <c r="H339">
        <v>1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f>SUM(Table1[[#This Row],[Gold Spending]]+Table1[[#This Row],[Sweet Spending]]+Table1[[#This Row],[Fish Spending]]+Table1[[#This Row],[Meat Spending]]+Table1[[#This Row],[Fruits Spending]]+Table1[[#This Row],[Wine Spending ]])</f>
        <v>48</v>
      </c>
      <c r="Q339">
        <v>2</v>
      </c>
      <c r="R339">
        <v>2</v>
      </c>
      <c r="S339">
        <v>0</v>
      </c>
      <c r="T339">
        <v>3</v>
      </c>
      <c r="U339">
        <f>SUM(Table1[[#This Row],[Store_Purchases]]+Table1[[#This Row],[Catalog_Purchases]]+Table1[[#This Row],[Web_Purchases]]+Table1[[#This Row],[Deal_Purchases]])</f>
        <v>7</v>
      </c>
      <c r="V339">
        <v>7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f>SUM(Table1[[#This Row],[Accepted_Campaign_2]]+Table1[[#This Row],[Accepted_Campaign_1]]+Table1[[#This Row],[Accepted_Campaign_5]]+Table1[[#This Row],[Accepted_Campaign_4]]+Table1[[#This Row],[Accepted_Campaign_3]])</f>
        <v>0</v>
      </c>
      <c r="AC339">
        <v>0</v>
      </c>
      <c r="AD339">
        <v>0</v>
      </c>
    </row>
    <row r="340" spans="1:30" x14ac:dyDescent="0.25">
      <c r="A340">
        <v>41744</v>
      </c>
      <c r="B340">
        <v>4390</v>
      </c>
      <c r="C340">
        <v>1954</v>
      </c>
      <c r="D340" t="s">
        <v>20</v>
      </c>
      <c r="E340" t="s">
        <v>6</v>
      </c>
      <c r="F340" t="s">
        <v>12</v>
      </c>
      <c r="G340">
        <v>75315</v>
      </c>
      <c r="H340">
        <v>1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f>SUM(Table1[[#This Row],[Gold Spending]]+Table1[[#This Row],[Sweet Spending]]+Table1[[#This Row],[Fish Spending]]+Table1[[#This Row],[Meat Spending]]+Table1[[#This Row],[Fruits Spending]]+Table1[[#This Row],[Wine Spending ]])</f>
        <v>841</v>
      </c>
      <c r="Q340">
        <v>2</v>
      </c>
      <c r="R340">
        <v>5</v>
      </c>
      <c r="S340">
        <v>4</v>
      </c>
      <c r="T340">
        <v>12</v>
      </c>
      <c r="U340">
        <f>SUM(Table1[[#This Row],[Store_Purchases]]+Table1[[#This Row],[Catalog_Purchases]]+Table1[[#This Row],[Web_Purchases]]+Table1[[#This Row],[Deal_Purchases]])</f>
        <v>23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f>SUM(Table1[[#This Row],[Accepted_Campaign_2]]+Table1[[#This Row],[Accepted_Campaign_1]]+Table1[[#This Row],[Accepted_Campaign_5]]+Table1[[#This Row],[Accepted_Campaign_4]]+Table1[[#This Row],[Accepted_Campaign_3]])</f>
        <v>0</v>
      </c>
      <c r="AC340">
        <v>0</v>
      </c>
      <c r="AD340">
        <v>0</v>
      </c>
    </row>
    <row r="341" spans="1:30" x14ac:dyDescent="0.25">
      <c r="A341">
        <v>41703</v>
      </c>
      <c r="B341">
        <v>9362</v>
      </c>
      <c r="C341">
        <v>1965</v>
      </c>
      <c r="D341" t="s">
        <v>10</v>
      </c>
      <c r="E341" t="s">
        <v>6</v>
      </c>
      <c r="F341" t="s">
        <v>9</v>
      </c>
      <c r="G341">
        <v>69263</v>
      </c>
      <c r="H341">
        <v>1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f>SUM(Table1[[#This Row],[Gold Spending]]+Table1[[#This Row],[Sweet Spending]]+Table1[[#This Row],[Fish Spending]]+Table1[[#This Row],[Meat Spending]]+Table1[[#This Row],[Fruits Spending]]+Table1[[#This Row],[Wine Spending ]])</f>
        <v>568</v>
      </c>
      <c r="Q341">
        <v>1</v>
      </c>
      <c r="R341">
        <v>9</v>
      </c>
      <c r="S341">
        <v>1</v>
      </c>
      <c r="T341">
        <v>7</v>
      </c>
      <c r="U341">
        <f>SUM(Table1[[#This Row],[Store_Purchases]]+Table1[[#This Row],[Catalog_Purchases]]+Table1[[#This Row],[Web_Purchases]]+Table1[[#This Row],[Deal_Purchases]])</f>
        <v>18</v>
      </c>
      <c r="V341">
        <v>6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f>SUM(Table1[[#This Row],[Accepted_Campaign_2]]+Table1[[#This Row],[Accepted_Campaign_1]]+Table1[[#This Row],[Accepted_Campaign_5]]+Table1[[#This Row],[Accepted_Campaign_4]]+Table1[[#This Row],[Accepted_Campaign_3]])</f>
        <v>1</v>
      </c>
      <c r="AC341">
        <v>0</v>
      </c>
      <c r="AD341">
        <v>0</v>
      </c>
    </row>
    <row r="342" spans="1:30" x14ac:dyDescent="0.25">
      <c r="A342">
        <v>41689</v>
      </c>
      <c r="B342">
        <v>1577</v>
      </c>
      <c r="C342">
        <v>1946</v>
      </c>
      <c r="D342" t="s">
        <v>8</v>
      </c>
      <c r="E342" t="s">
        <v>6</v>
      </c>
      <c r="F342" t="s">
        <v>11</v>
      </c>
      <c r="G342">
        <v>78569</v>
      </c>
      <c r="H342">
        <v>0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f>SUM(Table1[[#This Row],[Gold Spending]]+Table1[[#This Row],[Sweet Spending]]+Table1[[#This Row],[Fish Spending]]+Table1[[#This Row],[Meat Spending]]+Table1[[#This Row],[Fruits Spending]]+Table1[[#This Row],[Wine Spending ]])</f>
        <v>1736</v>
      </c>
      <c r="Q342">
        <v>1</v>
      </c>
      <c r="R342">
        <v>4</v>
      </c>
      <c r="S342">
        <v>6</v>
      </c>
      <c r="T342">
        <v>4</v>
      </c>
      <c r="U342">
        <f>SUM(Table1[[#This Row],[Store_Purchases]]+Table1[[#This Row],[Catalog_Purchases]]+Table1[[#This Row],[Web_Purchases]]+Table1[[#This Row],[Deal_Purchases]])</f>
        <v>15</v>
      </c>
      <c r="V342">
        <v>1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f>SUM(Table1[[#This Row],[Accepted_Campaign_2]]+Table1[[#This Row],[Accepted_Campaign_1]]+Table1[[#This Row],[Accepted_Campaign_5]]+Table1[[#This Row],[Accepted_Campaign_4]]+Table1[[#This Row],[Accepted_Campaign_3]])</f>
        <v>1</v>
      </c>
      <c r="AC342">
        <v>1</v>
      </c>
      <c r="AD342">
        <v>0</v>
      </c>
    </row>
    <row r="343" spans="1:30" x14ac:dyDescent="0.25">
      <c r="A343">
        <v>41650</v>
      </c>
      <c r="B343">
        <v>4609</v>
      </c>
      <c r="C343">
        <v>1966</v>
      </c>
      <c r="D343" t="s">
        <v>8</v>
      </c>
      <c r="E343" t="s">
        <v>14</v>
      </c>
      <c r="F343" t="s">
        <v>11</v>
      </c>
      <c r="G343">
        <v>57705</v>
      </c>
      <c r="H343">
        <v>1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f>SUM(Table1[[#This Row],[Gold Spending]]+Table1[[#This Row],[Sweet Spending]]+Table1[[#This Row],[Fish Spending]]+Table1[[#This Row],[Meat Spending]]+Table1[[#This Row],[Fruits Spending]]+Table1[[#This Row],[Wine Spending ]])</f>
        <v>486</v>
      </c>
      <c r="Q343">
        <v>3</v>
      </c>
      <c r="R343">
        <v>8</v>
      </c>
      <c r="S343">
        <v>1</v>
      </c>
      <c r="T343">
        <v>6</v>
      </c>
      <c r="U343">
        <f>SUM(Table1[[#This Row],[Store_Purchases]]+Table1[[#This Row],[Catalog_Purchases]]+Table1[[#This Row],[Web_Purchases]]+Table1[[#This Row],[Deal_Purchases]])</f>
        <v>18</v>
      </c>
      <c r="V343">
        <v>6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f>SUM(Table1[[#This Row],[Accepted_Campaign_2]]+Table1[[#This Row],[Accepted_Campaign_1]]+Table1[[#This Row],[Accepted_Campaign_5]]+Table1[[#This Row],[Accepted_Campaign_4]]+Table1[[#This Row],[Accepted_Campaign_3]])</f>
        <v>0</v>
      </c>
      <c r="AC343">
        <v>0</v>
      </c>
      <c r="AD343">
        <v>0</v>
      </c>
    </row>
    <row r="344" spans="1:30" x14ac:dyDescent="0.25">
      <c r="A344">
        <v>41584</v>
      </c>
      <c r="B344">
        <v>7143</v>
      </c>
      <c r="C344">
        <v>1955</v>
      </c>
      <c r="D344" t="s">
        <v>8</v>
      </c>
      <c r="E344" t="s">
        <v>15</v>
      </c>
      <c r="F344" t="s">
        <v>12</v>
      </c>
      <c r="G344">
        <v>74805</v>
      </c>
      <c r="H344">
        <v>1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f>SUM(Table1[[#This Row],[Gold Spending]]+Table1[[#This Row],[Sweet Spending]]+Table1[[#This Row],[Fish Spending]]+Table1[[#This Row],[Meat Spending]]+Table1[[#This Row],[Fruits Spending]]+Table1[[#This Row],[Wine Spending ]])</f>
        <v>820</v>
      </c>
      <c r="Q344">
        <v>5</v>
      </c>
      <c r="R344">
        <v>4</v>
      </c>
      <c r="S344">
        <v>7</v>
      </c>
      <c r="T344">
        <v>10</v>
      </c>
      <c r="U344">
        <f>SUM(Table1[[#This Row],[Store_Purchases]]+Table1[[#This Row],[Catalog_Purchases]]+Table1[[#This Row],[Web_Purchases]]+Table1[[#This Row],[Deal_Purchases]])</f>
        <v>26</v>
      </c>
      <c r="V344">
        <v>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f>SUM(Table1[[#This Row],[Accepted_Campaign_2]]+Table1[[#This Row],[Accepted_Campaign_1]]+Table1[[#This Row],[Accepted_Campaign_5]]+Table1[[#This Row],[Accepted_Campaign_4]]+Table1[[#This Row],[Accepted_Campaign_3]])</f>
        <v>0</v>
      </c>
      <c r="AC344">
        <v>0</v>
      </c>
      <c r="AD344">
        <v>0</v>
      </c>
    </row>
    <row r="345" spans="1:30" x14ac:dyDescent="0.25">
      <c r="A345">
        <v>41549</v>
      </c>
      <c r="B345">
        <v>1729</v>
      </c>
      <c r="C345">
        <v>1961</v>
      </c>
      <c r="D345" t="s">
        <v>8</v>
      </c>
      <c r="E345" t="s">
        <v>14</v>
      </c>
      <c r="F345" t="s">
        <v>12</v>
      </c>
      <c r="G345">
        <v>66426</v>
      </c>
      <c r="H345">
        <v>1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f>SUM(Table1[[#This Row],[Gold Spending]]+Table1[[#This Row],[Sweet Spending]]+Table1[[#This Row],[Fish Spending]]+Table1[[#This Row],[Meat Spending]]+Table1[[#This Row],[Fruits Spending]]+Table1[[#This Row],[Wine Spending ]])</f>
        <v>1377</v>
      </c>
      <c r="Q345">
        <v>2</v>
      </c>
      <c r="R345">
        <v>3</v>
      </c>
      <c r="S345">
        <v>5</v>
      </c>
      <c r="T345">
        <v>10</v>
      </c>
      <c r="U345">
        <f>SUM(Table1[[#This Row],[Store_Purchases]]+Table1[[#This Row],[Catalog_Purchases]]+Table1[[#This Row],[Web_Purchases]]+Table1[[#This Row],[Deal_Purchases]])</f>
        <v>20</v>
      </c>
      <c r="V345">
        <v>6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f>SUM(Table1[[#This Row],[Accepted_Campaign_2]]+Table1[[#This Row],[Accepted_Campaign_1]]+Table1[[#This Row],[Accepted_Campaign_5]]+Table1[[#This Row],[Accepted_Campaign_4]]+Table1[[#This Row],[Accepted_Campaign_3]])</f>
        <v>0</v>
      </c>
      <c r="AC345">
        <v>0</v>
      </c>
      <c r="AD345">
        <v>0</v>
      </c>
    </row>
    <row r="346" spans="1:30" x14ac:dyDescent="0.25">
      <c r="A346">
        <v>41524</v>
      </c>
      <c r="B346">
        <v>10664</v>
      </c>
      <c r="C346">
        <v>1949</v>
      </c>
      <c r="D346" t="s">
        <v>8</v>
      </c>
      <c r="E346" t="s">
        <v>18</v>
      </c>
      <c r="F346" t="s">
        <v>19</v>
      </c>
      <c r="G346">
        <v>51529</v>
      </c>
      <c r="H346">
        <v>1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f>SUM(Table1[[#This Row],[Gold Spending]]+Table1[[#This Row],[Sweet Spending]]+Table1[[#This Row],[Fish Spending]]+Table1[[#This Row],[Meat Spending]]+Table1[[#This Row],[Fruits Spending]]+Table1[[#This Row],[Wine Spending ]])</f>
        <v>467</v>
      </c>
      <c r="Q346">
        <v>2</v>
      </c>
      <c r="R346">
        <v>9</v>
      </c>
      <c r="S346">
        <v>1</v>
      </c>
      <c r="T346">
        <v>5</v>
      </c>
      <c r="U346">
        <f>SUM(Table1[[#This Row],[Store_Purchases]]+Table1[[#This Row],[Catalog_Purchases]]+Table1[[#This Row],[Web_Purchases]]+Table1[[#This Row],[Deal_Purchases]])</f>
        <v>17</v>
      </c>
      <c r="V346">
        <v>8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f>SUM(Table1[[#This Row],[Accepted_Campaign_2]]+Table1[[#This Row],[Accepted_Campaign_1]]+Table1[[#This Row],[Accepted_Campaign_5]]+Table1[[#This Row],[Accepted_Campaign_4]]+Table1[[#This Row],[Accepted_Campaign_3]])</f>
        <v>0</v>
      </c>
      <c r="AC346">
        <v>0</v>
      </c>
      <c r="AD346">
        <v>0</v>
      </c>
    </row>
    <row r="347" spans="1:30" x14ac:dyDescent="0.25">
      <c r="A347">
        <v>41492</v>
      </c>
      <c r="B347">
        <v>5029</v>
      </c>
      <c r="C347">
        <v>1946</v>
      </c>
      <c r="D347" t="s">
        <v>8</v>
      </c>
      <c r="E347" t="s">
        <v>6</v>
      </c>
      <c r="F347" t="s">
        <v>11</v>
      </c>
      <c r="G347">
        <v>18100</v>
      </c>
      <c r="H347">
        <v>0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f>SUM(Table1[[#This Row],[Gold Spending]]+Table1[[#This Row],[Sweet Spending]]+Table1[[#This Row],[Fish Spending]]+Table1[[#This Row],[Meat Spending]]+Table1[[#This Row],[Fruits Spending]]+Table1[[#This Row],[Wine Spending ]])</f>
        <v>14</v>
      </c>
      <c r="Q347">
        <v>1</v>
      </c>
      <c r="R347">
        <v>0</v>
      </c>
      <c r="S347">
        <v>0</v>
      </c>
      <c r="T347">
        <v>3</v>
      </c>
      <c r="U347">
        <f>SUM(Table1[[#This Row],[Store_Purchases]]+Table1[[#This Row],[Catalog_Purchases]]+Table1[[#This Row],[Web_Purchases]]+Table1[[#This Row],[Deal_Purchases]])</f>
        <v>4</v>
      </c>
      <c r="V347">
        <v>5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>SUM(Table1[[#This Row],[Accepted_Campaign_2]]+Table1[[#This Row],[Accepted_Campaign_1]]+Table1[[#This Row],[Accepted_Campaign_5]]+Table1[[#This Row],[Accepted_Campaign_4]]+Table1[[#This Row],[Accepted_Campaign_3]])</f>
        <v>0</v>
      </c>
      <c r="AC347">
        <v>0</v>
      </c>
      <c r="AD347">
        <v>0</v>
      </c>
    </row>
    <row r="348" spans="1:30" x14ac:dyDescent="0.25">
      <c r="A348">
        <v>41480</v>
      </c>
      <c r="B348">
        <v>10507</v>
      </c>
      <c r="C348">
        <v>1977</v>
      </c>
      <c r="D348" t="s">
        <v>63</v>
      </c>
      <c r="E348" t="s">
        <v>15</v>
      </c>
      <c r="F348" t="s">
        <v>7</v>
      </c>
      <c r="G348">
        <v>59601</v>
      </c>
      <c r="H348">
        <v>1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f>SUM(Table1[[#This Row],[Gold Spending]]+Table1[[#This Row],[Sweet Spending]]+Table1[[#This Row],[Fish Spending]]+Table1[[#This Row],[Meat Spending]]+Table1[[#This Row],[Fruits Spending]]+Table1[[#This Row],[Wine Spending ]])</f>
        <v>797</v>
      </c>
      <c r="Q348">
        <v>4</v>
      </c>
      <c r="R348">
        <v>2</v>
      </c>
      <c r="S348">
        <v>2</v>
      </c>
      <c r="T348">
        <v>7</v>
      </c>
      <c r="U348">
        <f>SUM(Table1[[#This Row],[Store_Purchases]]+Table1[[#This Row],[Catalog_Purchases]]+Table1[[#This Row],[Web_Purchases]]+Table1[[#This Row],[Deal_Purchases]])</f>
        <v>15</v>
      </c>
      <c r="V348">
        <v>8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f>SUM(Table1[[#This Row],[Accepted_Campaign_2]]+Table1[[#This Row],[Accepted_Campaign_1]]+Table1[[#This Row],[Accepted_Campaign_5]]+Table1[[#This Row],[Accepted_Campaign_4]]+Table1[[#This Row],[Accepted_Campaign_3]])</f>
        <v>1</v>
      </c>
      <c r="AC348">
        <v>0</v>
      </c>
      <c r="AD348">
        <v>0</v>
      </c>
    </row>
    <row r="349" spans="1:30" x14ac:dyDescent="0.25">
      <c r="A349">
        <v>41394</v>
      </c>
      <c r="B349">
        <v>3865</v>
      </c>
      <c r="C349">
        <v>1977</v>
      </c>
      <c r="D349" t="s">
        <v>10</v>
      </c>
      <c r="E349" t="s">
        <v>15</v>
      </c>
      <c r="F349" t="s">
        <v>12</v>
      </c>
      <c r="G349">
        <v>20981</v>
      </c>
      <c r="H349">
        <v>0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f>SUM(Table1[[#This Row],[Gold Spending]]+Table1[[#This Row],[Sweet Spending]]+Table1[[#This Row],[Fish Spending]]+Table1[[#This Row],[Meat Spending]]+Table1[[#This Row],[Fruits Spending]]+Table1[[#This Row],[Wine Spending ]])</f>
        <v>73</v>
      </c>
      <c r="Q349">
        <v>1</v>
      </c>
      <c r="R349">
        <v>3</v>
      </c>
      <c r="S349">
        <v>1</v>
      </c>
      <c r="T349">
        <v>2</v>
      </c>
      <c r="U349">
        <f>SUM(Table1[[#This Row],[Store_Purchases]]+Table1[[#This Row],[Catalog_Purchases]]+Table1[[#This Row],[Web_Purchases]]+Table1[[#This Row],[Deal_Purchases]])</f>
        <v>7</v>
      </c>
      <c r="V349">
        <v>8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f>SUM(Table1[[#This Row],[Accepted_Campaign_2]]+Table1[[#This Row],[Accepted_Campaign_1]]+Table1[[#This Row],[Accepted_Campaign_5]]+Table1[[#This Row],[Accepted_Campaign_4]]+Table1[[#This Row],[Accepted_Campaign_3]])</f>
        <v>0</v>
      </c>
      <c r="AC349">
        <v>1</v>
      </c>
      <c r="AD349">
        <v>0</v>
      </c>
    </row>
    <row r="350" spans="1:30" x14ac:dyDescent="0.25">
      <c r="A350">
        <v>41352</v>
      </c>
      <c r="B350">
        <v>6982</v>
      </c>
      <c r="C350">
        <v>1976</v>
      </c>
      <c r="D350" t="s">
        <v>17</v>
      </c>
      <c r="E350" t="s">
        <v>6</v>
      </c>
      <c r="F350" t="s">
        <v>11</v>
      </c>
      <c r="G350">
        <v>74068</v>
      </c>
      <c r="H350">
        <v>0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f>SUM(Table1[[#This Row],[Gold Spending]]+Table1[[#This Row],[Sweet Spending]]+Table1[[#This Row],[Fish Spending]]+Table1[[#This Row],[Meat Spending]]+Table1[[#This Row],[Fruits Spending]]+Table1[[#This Row],[Wine Spending ]])</f>
        <v>1581</v>
      </c>
      <c r="Q350">
        <v>1</v>
      </c>
      <c r="R350">
        <v>4</v>
      </c>
      <c r="S350">
        <v>10</v>
      </c>
      <c r="T350">
        <v>9</v>
      </c>
      <c r="U350">
        <f>SUM(Table1[[#This Row],[Store_Purchases]]+Table1[[#This Row],[Catalog_Purchases]]+Table1[[#This Row],[Web_Purchases]]+Table1[[#This Row],[Deal_Purchases]])</f>
        <v>24</v>
      </c>
      <c r="V350">
        <v>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f>SUM(Table1[[#This Row],[Accepted_Campaign_2]]+Table1[[#This Row],[Accepted_Campaign_1]]+Table1[[#This Row],[Accepted_Campaign_5]]+Table1[[#This Row],[Accepted_Campaign_4]]+Table1[[#This Row],[Accepted_Campaign_3]])</f>
        <v>0</v>
      </c>
      <c r="AC350">
        <v>0</v>
      </c>
      <c r="AD350">
        <v>0</v>
      </c>
    </row>
    <row r="351" spans="1:30" x14ac:dyDescent="0.25">
      <c r="A351">
        <v>41334</v>
      </c>
      <c r="B351">
        <v>7042</v>
      </c>
      <c r="C351">
        <v>1983</v>
      </c>
      <c r="D351" t="s">
        <v>8</v>
      </c>
      <c r="E351" t="s">
        <v>6</v>
      </c>
      <c r="F351" t="s">
        <v>11</v>
      </c>
      <c r="G351">
        <v>36790</v>
      </c>
      <c r="H351">
        <v>0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f>SUM(Table1[[#This Row],[Gold Spending]]+Table1[[#This Row],[Sweet Spending]]+Table1[[#This Row],[Fish Spending]]+Table1[[#This Row],[Meat Spending]]+Table1[[#This Row],[Fruits Spending]]+Table1[[#This Row],[Wine Spending ]])</f>
        <v>66</v>
      </c>
      <c r="Q351">
        <v>1</v>
      </c>
      <c r="R351">
        <v>2</v>
      </c>
      <c r="S351">
        <v>1</v>
      </c>
      <c r="T351">
        <v>2</v>
      </c>
      <c r="U351">
        <f>SUM(Table1[[#This Row],[Store_Purchases]]+Table1[[#This Row],[Catalog_Purchases]]+Table1[[#This Row],[Web_Purchases]]+Table1[[#This Row],[Deal_Purchases]])</f>
        <v>6</v>
      </c>
      <c r="V351">
        <v>9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f>SUM(Table1[[#This Row],[Accepted_Campaign_2]]+Table1[[#This Row],[Accepted_Campaign_1]]+Table1[[#This Row],[Accepted_Campaign_5]]+Table1[[#This Row],[Accepted_Campaign_4]]+Table1[[#This Row],[Accepted_Campaign_3]])</f>
        <v>0</v>
      </c>
      <c r="AC351">
        <v>1</v>
      </c>
      <c r="AD351">
        <v>0</v>
      </c>
    </row>
    <row r="352" spans="1:30" x14ac:dyDescent="0.25">
      <c r="A352">
        <v>41286</v>
      </c>
      <c r="B352">
        <v>9668</v>
      </c>
      <c r="C352">
        <v>1971</v>
      </c>
      <c r="D352" t="s">
        <v>20</v>
      </c>
      <c r="E352" t="s">
        <v>6</v>
      </c>
      <c r="F352" t="s">
        <v>11</v>
      </c>
      <c r="G352">
        <v>18793</v>
      </c>
      <c r="H352">
        <v>1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f>SUM(Table1[[#This Row],[Gold Spending]]+Table1[[#This Row],[Sweet Spending]]+Table1[[#This Row],[Fish Spending]]+Table1[[#This Row],[Meat Spending]]+Table1[[#This Row],[Fruits Spending]]+Table1[[#This Row],[Wine Spending ]])</f>
        <v>77</v>
      </c>
      <c r="Q352">
        <v>3</v>
      </c>
      <c r="R352">
        <v>2</v>
      </c>
      <c r="S352">
        <v>0</v>
      </c>
      <c r="T352">
        <v>4</v>
      </c>
      <c r="U352">
        <f>SUM(Table1[[#This Row],[Store_Purchases]]+Table1[[#This Row],[Catalog_Purchases]]+Table1[[#This Row],[Web_Purchases]]+Table1[[#This Row],[Deal_Purchases]])</f>
        <v>9</v>
      </c>
      <c r="V352">
        <v>8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f>SUM(Table1[[#This Row],[Accepted_Campaign_2]]+Table1[[#This Row],[Accepted_Campaign_1]]+Table1[[#This Row],[Accepted_Campaign_5]]+Table1[[#This Row],[Accepted_Campaign_4]]+Table1[[#This Row],[Accepted_Campaign_3]])</f>
        <v>0</v>
      </c>
      <c r="AC352">
        <v>0</v>
      </c>
      <c r="AD352">
        <v>0</v>
      </c>
    </row>
    <row r="353" spans="1:30" x14ac:dyDescent="0.25">
      <c r="A353">
        <v>41255</v>
      </c>
      <c r="B353">
        <v>6878</v>
      </c>
      <c r="C353">
        <v>1954</v>
      </c>
      <c r="D353" t="s">
        <v>8</v>
      </c>
      <c r="E353" t="s">
        <v>6</v>
      </c>
      <c r="F353" t="s">
        <v>19</v>
      </c>
      <c r="G353">
        <v>27421</v>
      </c>
      <c r="H353">
        <v>0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f>SUM(Table1[[#This Row],[Gold Spending]]+Table1[[#This Row],[Sweet Spending]]+Table1[[#This Row],[Fish Spending]]+Table1[[#This Row],[Meat Spending]]+Table1[[#This Row],[Fruits Spending]]+Table1[[#This Row],[Wine Spending ]])</f>
        <v>324</v>
      </c>
      <c r="Q353">
        <v>3</v>
      </c>
      <c r="R353">
        <v>4</v>
      </c>
      <c r="S353">
        <v>1</v>
      </c>
      <c r="T353">
        <v>6</v>
      </c>
      <c r="U353">
        <f>SUM(Table1[[#This Row],[Store_Purchases]]+Table1[[#This Row],[Catalog_Purchases]]+Table1[[#This Row],[Web_Purchases]]+Table1[[#This Row],[Deal_Purchases]])</f>
        <v>14</v>
      </c>
      <c r="V353">
        <v>7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f>SUM(Table1[[#This Row],[Accepted_Campaign_2]]+Table1[[#This Row],[Accepted_Campaign_1]]+Table1[[#This Row],[Accepted_Campaign_5]]+Table1[[#This Row],[Accepted_Campaign_4]]+Table1[[#This Row],[Accepted_Campaign_3]])</f>
        <v>0</v>
      </c>
      <c r="AC353">
        <v>0</v>
      </c>
      <c r="AD353">
        <v>0</v>
      </c>
    </row>
    <row r="354" spans="1:30" x14ac:dyDescent="0.25">
      <c r="A354">
        <v>41225</v>
      </c>
      <c r="B354">
        <v>4099</v>
      </c>
      <c r="C354">
        <v>1972</v>
      </c>
      <c r="D354" t="s">
        <v>8</v>
      </c>
      <c r="E354" t="s">
        <v>6</v>
      </c>
      <c r="F354" t="s">
        <v>11</v>
      </c>
      <c r="G354">
        <v>30675</v>
      </c>
      <c r="H354">
        <v>1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f>SUM(Table1[[#This Row],[Gold Spending]]+Table1[[#This Row],[Sweet Spending]]+Table1[[#This Row],[Fish Spending]]+Table1[[#This Row],[Meat Spending]]+Table1[[#This Row],[Fruits Spending]]+Table1[[#This Row],[Wine Spending ]])</f>
        <v>62</v>
      </c>
      <c r="Q354">
        <v>1</v>
      </c>
      <c r="R354">
        <v>1</v>
      </c>
      <c r="S354">
        <v>0</v>
      </c>
      <c r="T354">
        <v>3</v>
      </c>
      <c r="U354">
        <f>SUM(Table1[[#This Row],[Store_Purchases]]+Table1[[#This Row],[Catalog_Purchases]]+Table1[[#This Row],[Web_Purchases]]+Table1[[#This Row],[Deal_Purchases]])</f>
        <v>5</v>
      </c>
      <c r="V354">
        <v>8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f>SUM(Table1[[#This Row],[Accepted_Campaign_2]]+Table1[[#This Row],[Accepted_Campaign_1]]+Table1[[#This Row],[Accepted_Campaign_5]]+Table1[[#This Row],[Accepted_Campaign_4]]+Table1[[#This Row],[Accepted_Campaign_3]])</f>
        <v>0</v>
      </c>
      <c r="AC354">
        <v>0</v>
      </c>
      <c r="AD354">
        <v>0</v>
      </c>
    </row>
    <row r="355" spans="1:30" x14ac:dyDescent="0.25">
      <c r="A355">
        <v>41174</v>
      </c>
      <c r="B355">
        <v>5031</v>
      </c>
      <c r="C355">
        <v>1974</v>
      </c>
      <c r="D355" t="s">
        <v>8</v>
      </c>
      <c r="E355" t="s">
        <v>6</v>
      </c>
      <c r="F355" t="s">
        <v>12</v>
      </c>
      <c r="G355">
        <v>83145</v>
      </c>
      <c r="H355">
        <v>0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f>SUM(Table1[[#This Row],[Gold Spending]]+Table1[[#This Row],[Sweet Spending]]+Table1[[#This Row],[Fish Spending]]+Table1[[#This Row],[Meat Spending]]+Table1[[#This Row],[Fruits Spending]]+Table1[[#This Row],[Wine Spending ]])</f>
        <v>1833</v>
      </c>
      <c r="Q355">
        <v>1</v>
      </c>
      <c r="R355">
        <v>5</v>
      </c>
      <c r="S355">
        <v>9</v>
      </c>
      <c r="T355">
        <v>11</v>
      </c>
      <c r="U355">
        <f>SUM(Table1[[#This Row],[Store_Purchases]]+Table1[[#This Row],[Catalog_Purchases]]+Table1[[#This Row],[Web_Purchases]]+Table1[[#This Row],[Deal_Purchases]])</f>
        <v>26</v>
      </c>
      <c r="V355">
        <v>2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f>SUM(Table1[[#This Row],[Accepted_Campaign_2]]+Table1[[#This Row],[Accepted_Campaign_1]]+Table1[[#This Row],[Accepted_Campaign_5]]+Table1[[#This Row],[Accepted_Campaign_4]]+Table1[[#This Row],[Accepted_Campaign_3]])</f>
        <v>1</v>
      </c>
      <c r="AC355">
        <v>1</v>
      </c>
      <c r="AD355">
        <v>0</v>
      </c>
    </row>
    <row r="356" spans="1:30" x14ac:dyDescent="0.25">
      <c r="A356">
        <v>41162</v>
      </c>
      <c r="B356">
        <v>1970</v>
      </c>
      <c r="C356">
        <v>1968</v>
      </c>
      <c r="D356" t="s">
        <v>8</v>
      </c>
      <c r="E356" t="s">
        <v>18</v>
      </c>
      <c r="F356" t="s">
        <v>12</v>
      </c>
      <c r="G356">
        <v>34053</v>
      </c>
      <c r="H356">
        <v>1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f>SUM(Table1[[#This Row],[Gold Spending]]+Table1[[#This Row],[Sweet Spending]]+Table1[[#This Row],[Fish Spending]]+Table1[[#This Row],[Meat Spending]]+Table1[[#This Row],[Fruits Spending]]+Table1[[#This Row],[Wine Spending ]])</f>
        <v>103</v>
      </c>
      <c r="Q356">
        <v>1</v>
      </c>
      <c r="R356">
        <v>3</v>
      </c>
      <c r="S356">
        <v>0</v>
      </c>
      <c r="T356">
        <v>3</v>
      </c>
      <c r="U356">
        <f>SUM(Table1[[#This Row],[Store_Purchases]]+Table1[[#This Row],[Catalog_Purchases]]+Table1[[#This Row],[Web_Purchases]]+Table1[[#This Row],[Deal_Purchases]])</f>
        <v>7</v>
      </c>
      <c r="V356">
        <v>8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f>SUM(Table1[[#This Row],[Accepted_Campaign_2]]+Table1[[#This Row],[Accepted_Campaign_1]]+Table1[[#This Row],[Accepted_Campaign_5]]+Table1[[#This Row],[Accepted_Campaign_4]]+Table1[[#This Row],[Accepted_Campaign_3]])</f>
        <v>0</v>
      </c>
      <c r="AC356">
        <v>0</v>
      </c>
      <c r="AD356">
        <v>0</v>
      </c>
    </row>
    <row r="357" spans="1:30" x14ac:dyDescent="0.25">
      <c r="A357">
        <v>41718</v>
      </c>
      <c r="B357">
        <v>5726</v>
      </c>
      <c r="C357">
        <v>1983</v>
      </c>
      <c r="D357" t="s">
        <v>20</v>
      </c>
      <c r="E357" t="s">
        <v>18</v>
      </c>
      <c r="F357" t="s">
        <v>9</v>
      </c>
      <c r="G357">
        <v>31788</v>
      </c>
      <c r="H357">
        <v>1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f>SUM(Table1[[#This Row],[Gold Spending]]+Table1[[#This Row],[Sweet Spending]]+Table1[[#This Row],[Fish Spending]]+Table1[[#This Row],[Meat Spending]]+Table1[[#This Row],[Fruits Spending]]+Table1[[#This Row],[Wine Spending ]])</f>
        <v>60</v>
      </c>
      <c r="Q357">
        <v>3</v>
      </c>
      <c r="R357">
        <v>3</v>
      </c>
      <c r="S357">
        <v>0</v>
      </c>
      <c r="T357">
        <v>4</v>
      </c>
      <c r="U357">
        <f>SUM(Table1[[#This Row],[Store_Purchases]]+Table1[[#This Row],[Catalog_Purchases]]+Table1[[#This Row],[Web_Purchases]]+Table1[[#This Row],[Deal_Purchases]])</f>
        <v>10</v>
      </c>
      <c r="V357">
        <v>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f>SUM(Table1[[#This Row],[Accepted_Campaign_2]]+Table1[[#This Row],[Accepted_Campaign_1]]+Table1[[#This Row],[Accepted_Campaign_5]]+Table1[[#This Row],[Accepted_Campaign_4]]+Table1[[#This Row],[Accepted_Campaign_3]])</f>
        <v>0</v>
      </c>
      <c r="AC357">
        <v>0</v>
      </c>
      <c r="AD357">
        <v>1</v>
      </c>
    </row>
    <row r="358" spans="1:30" x14ac:dyDescent="0.25">
      <c r="A358">
        <v>41697</v>
      </c>
      <c r="B358">
        <v>5231</v>
      </c>
      <c r="C358">
        <v>1974</v>
      </c>
      <c r="D358" t="s">
        <v>8</v>
      </c>
      <c r="E358" t="s">
        <v>15</v>
      </c>
      <c r="F358" t="s">
        <v>11</v>
      </c>
      <c r="G358">
        <v>45894</v>
      </c>
      <c r="H358">
        <v>2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f>SUM(Table1[[#This Row],[Gold Spending]]+Table1[[#This Row],[Sweet Spending]]+Table1[[#This Row],[Fish Spending]]+Table1[[#This Row],[Meat Spending]]+Table1[[#This Row],[Fruits Spending]]+Table1[[#This Row],[Wine Spending ]])</f>
        <v>51</v>
      </c>
      <c r="Q358">
        <v>1</v>
      </c>
      <c r="R358">
        <v>1</v>
      </c>
      <c r="S358">
        <v>0</v>
      </c>
      <c r="T358">
        <v>3</v>
      </c>
      <c r="U358">
        <f>SUM(Table1[[#This Row],[Store_Purchases]]+Table1[[#This Row],[Catalog_Purchases]]+Table1[[#This Row],[Web_Purchases]]+Table1[[#This Row],[Deal_Purchases]])</f>
        <v>5</v>
      </c>
      <c r="V358">
        <v>5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f>SUM(Table1[[#This Row],[Accepted_Campaign_2]]+Table1[[#This Row],[Accepted_Campaign_1]]+Table1[[#This Row],[Accepted_Campaign_5]]+Table1[[#This Row],[Accepted_Campaign_4]]+Table1[[#This Row],[Accepted_Campaign_3]])</f>
        <v>0</v>
      </c>
      <c r="AC358">
        <v>0</v>
      </c>
      <c r="AD358">
        <v>0</v>
      </c>
    </row>
    <row r="359" spans="1:30" x14ac:dyDescent="0.25">
      <c r="A359">
        <v>41679</v>
      </c>
      <c r="B359">
        <v>1307</v>
      </c>
      <c r="C359">
        <v>1978</v>
      </c>
      <c r="D359" t="s">
        <v>8</v>
      </c>
      <c r="E359" t="s">
        <v>6</v>
      </c>
      <c r="F359" t="s">
        <v>7</v>
      </c>
      <c r="G359">
        <v>41986</v>
      </c>
      <c r="H359">
        <v>1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f>SUM(Table1[[#This Row],[Gold Spending]]+Table1[[#This Row],[Sweet Spending]]+Table1[[#This Row],[Fish Spending]]+Table1[[#This Row],[Meat Spending]]+Table1[[#This Row],[Fruits Spending]]+Table1[[#This Row],[Wine Spending ]])</f>
        <v>63</v>
      </c>
      <c r="Q359">
        <v>3</v>
      </c>
      <c r="R359">
        <v>3</v>
      </c>
      <c r="S359">
        <v>0</v>
      </c>
      <c r="T359">
        <v>4</v>
      </c>
      <c r="U359">
        <f>SUM(Table1[[#This Row],[Store_Purchases]]+Table1[[#This Row],[Catalog_Purchases]]+Table1[[#This Row],[Web_Purchases]]+Table1[[#This Row],[Deal_Purchases]])</f>
        <v>10</v>
      </c>
      <c r="V359">
        <v>4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f>SUM(Table1[[#This Row],[Accepted_Campaign_2]]+Table1[[#This Row],[Accepted_Campaign_1]]+Table1[[#This Row],[Accepted_Campaign_5]]+Table1[[#This Row],[Accepted_Campaign_4]]+Table1[[#This Row],[Accepted_Campaign_3]])</f>
        <v>0</v>
      </c>
      <c r="AC359">
        <v>0</v>
      </c>
      <c r="AD359">
        <v>0</v>
      </c>
    </row>
    <row r="360" spans="1:30" x14ac:dyDescent="0.25">
      <c r="A360">
        <v>41559</v>
      </c>
      <c r="B360">
        <v>10609</v>
      </c>
      <c r="C360">
        <v>1962</v>
      </c>
      <c r="D360" t="s">
        <v>10</v>
      </c>
      <c r="E360" t="s">
        <v>14</v>
      </c>
      <c r="F360" t="s">
        <v>11</v>
      </c>
      <c r="G360">
        <v>42769</v>
      </c>
      <c r="H360">
        <v>1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f>SUM(Table1[[#This Row],[Gold Spending]]+Table1[[#This Row],[Sweet Spending]]+Table1[[#This Row],[Fish Spending]]+Table1[[#This Row],[Meat Spending]]+Table1[[#This Row],[Fruits Spending]]+Table1[[#This Row],[Wine Spending ]])</f>
        <v>88</v>
      </c>
      <c r="Q360">
        <v>2</v>
      </c>
      <c r="R360">
        <v>1</v>
      </c>
      <c r="S360">
        <v>1</v>
      </c>
      <c r="T360">
        <v>4</v>
      </c>
      <c r="U360">
        <f>SUM(Table1[[#This Row],[Store_Purchases]]+Table1[[#This Row],[Catalog_Purchases]]+Table1[[#This Row],[Web_Purchases]]+Table1[[#This Row],[Deal_Purchases]])</f>
        <v>8</v>
      </c>
      <c r="V360">
        <v>4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f>SUM(Table1[[#This Row],[Accepted_Campaign_2]]+Table1[[#This Row],[Accepted_Campaign_1]]+Table1[[#This Row],[Accepted_Campaign_5]]+Table1[[#This Row],[Accepted_Campaign_4]]+Table1[[#This Row],[Accepted_Campaign_3]])</f>
        <v>0</v>
      </c>
      <c r="AC360">
        <v>0</v>
      </c>
      <c r="AD360">
        <v>0</v>
      </c>
    </row>
    <row r="361" spans="1:30" x14ac:dyDescent="0.25">
      <c r="A361">
        <v>41545</v>
      </c>
      <c r="B361">
        <v>5782</v>
      </c>
      <c r="C361">
        <v>1982</v>
      </c>
      <c r="D361" t="s">
        <v>8</v>
      </c>
      <c r="E361" t="s">
        <v>15</v>
      </c>
      <c r="F361" t="s">
        <v>12</v>
      </c>
      <c r="G361">
        <v>58582</v>
      </c>
      <c r="H361">
        <v>1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f>SUM(Table1[[#This Row],[Gold Spending]]+Table1[[#This Row],[Sweet Spending]]+Table1[[#This Row],[Fish Spending]]+Table1[[#This Row],[Meat Spending]]+Table1[[#This Row],[Fruits Spending]]+Table1[[#This Row],[Wine Spending ]])</f>
        <v>763</v>
      </c>
      <c r="Q361">
        <v>2</v>
      </c>
      <c r="R361">
        <v>9</v>
      </c>
      <c r="S361">
        <v>2</v>
      </c>
      <c r="T361">
        <v>9</v>
      </c>
      <c r="U361">
        <f>SUM(Table1[[#This Row],[Store_Purchases]]+Table1[[#This Row],[Catalog_Purchases]]+Table1[[#This Row],[Web_Purchases]]+Table1[[#This Row],[Deal_Purchases]])</f>
        <v>22</v>
      </c>
      <c r="V361">
        <v>5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f>SUM(Table1[[#This Row],[Accepted_Campaign_2]]+Table1[[#This Row],[Accepted_Campaign_1]]+Table1[[#This Row],[Accepted_Campaign_5]]+Table1[[#This Row],[Accepted_Campaign_4]]+Table1[[#This Row],[Accepted_Campaign_3]])</f>
        <v>1</v>
      </c>
      <c r="AC361">
        <v>0</v>
      </c>
      <c r="AD361">
        <v>0</v>
      </c>
    </row>
    <row r="362" spans="1:30" x14ac:dyDescent="0.25">
      <c r="A362">
        <v>41541</v>
      </c>
      <c r="B362">
        <v>7533</v>
      </c>
      <c r="C362">
        <v>1964</v>
      </c>
      <c r="D362" t="s">
        <v>10</v>
      </c>
      <c r="E362" t="s">
        <v>6</v>
      </c>
      <c r="F362" t="s">
        <v>11</v>
      </c>
      <c r="G362">
        <v>49096</v>
      </c>
      <c r="H362">
        <v>2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f>SUM(Table1[[#This Row],[Gold Spending]]+Table1[[#This Row],[Sweet Spending]]+Table1[[#This Row],[Fish Spending]]+Table1[[#This Row],[Meat Spending]]+Table1[[#This Row],[Fruits Spending]]+Table1[[#This Row],[Wine Spending ]])</f>
        <v>187</v>
      </c>
      <c r="Q362">
        <v>4</v>
      </c>
      <c r="R362">
        <v>4</v>
      </c>
      <c r="S362">
        <v>1</v>
      </c>
      <c r="T362">
        <v>4</v>
      </c>
      <c r="U362">
        <f>SUM(Table1[[#This Row],[Store_Purchases]]+Table1[[#This Row],[Catalog_Purchases]]+Table1[[#This Row],[Web_Purchases]]+Table1[[#This Row],[Deal_Purchases]])</f>
        <v>13</v>
      </c>
      <c r="V362">
        <v>7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f>SUM(Table1[[#This Row],[Accepted_Campaign_2]]+Table1[[#This Row],[Accepted_Campaign_1]]+Table1[[#This Row],[Accepted_Campaign_5]]+Table1[[#This Row],[Accepted_Campaign_4]]+Table1[[#This Row],[Accepted_Campaign_3]])</f>
        <v>0</v>
      </c>
      <c r="AC362">
        <v>0</v>
      </c>
      <c r="AD362">
        <v>0</v>
      </c>
    </row>
    <row r="363" spans="1:30" x14ac:dyDescent="0.25">
      <c r="A363">
        <v>41399</v>
      </c>
      <c r="B363">
        <v>9493</v>
      </c>
      <c r="C363">
        <v>1980</v>
      </c>
      <c r="D363" t="s">
        <v>10</v>
      </c>
      <c r="E363" t="s">
        <v>14</v>
      </c>
      <c r="F363" t="s">
        <v>9</v>
      </c>
      <c r="G363">
        <v>76412</v>
      </c>
      <c r="H363">
        <v>0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f>SUM(Table1[[#This Row],[Gold Spending]]+Table1[[#This Row],[Sweet Spending]]+Table1[[#This Row],[Fish Spending]]+Table1[[#This Row],[Meat Spending]]+Table1[[#This Row],[Fruits Spending]]+Table1[[#This Row],[Wine Spending ]])</f>
        <v>1808</v>
      </c>
      <c r="Q363">
        <v>1</v>
      </c>
      <c r="R363">
        <v>5</v>
      </c>
      <c r="S363">
        <v>4</v>
      </c>
      <c r="T363">
        <v>8</v>
      </c>
      <c r="U363">
        <f>SUM(Table1[[#This Row],[Store_Purchases]]+Table1[[#This Row],[Catalog_Purchases]]+Table1[[#This Row],[Web_Purchases]]+Table1[[#This Row],[Deal_Purchases]])</f>
        <v>18</v>
      </c>
      <c r="V363">
        <v>3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f>SUM(Table1[[#This Row],[Accepted_Campaign_2]]+Table1[[#This Row],[Accepted_Campaign_1]]+Table1[[#This Row],[Accepted_Campaign_5]]+Table1[[#This Row],[Accepted_Campaign_4]]+Table1[[#This Row],[Accepted_Campaign_3]])</f>
        <v>2</v>
      </c>
      <c r="AC363">
        <v>1</v>
      </c>
      <c r="AD363">
        <v>0</v>
      </c>
    </row>
    <row r="364" spans="1:30" x14ac:dyDescent="0.25">
      <c r="A364">
        <v>41321</v>
      </c>
      <c r="B364">
        <v>2253</v>
      </c>
      <c r="C364">
        <v>1990</v>
      </c>
      <c r="D364" t="s">
        <v>8</v>
      </c>
      <c r="E364" t="s">
        <v>6</v>
      </c>
      <c r="F364" t="s">
        <v>11</v>
      </c>
      <c r="G364">
        <v>18929</v>
      </c>
      <c r="H364">
        <v>0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f>SUM(Table1[[#This Row],[Gold Spending]]+Table1[[#This Row],[Sweet Spending]]+Table1[[#This Row],[Fish Spending]]+Table1[[#This Row],[Meat Spending]]+Table1[[#This Row],[Fruits Spending]]+Table1[[#This Row],[Wine Spending ]])</f>
        <v>85</v>
      </c>
      <c r="Q364">
        <v>1</v>
      </c>
      <c r="R364">
        <v>1</v>
      </c>
      <c r="S364">
        <v>0</v>
      </c>
      <c r="T364">
        <v>4</v>
      </c>
      <c r="U364">
        <f>SUM(Table1[[#This Row],[Store_Purchases]]+Table1[[#This Row],[Catalog_Purchases]]+Table1[[#This Row],[Web_Purchases]]+Table1[[#This Row],[Deal_Purchases]])</f>
        <v>6</v>
      </c>
      <c r="V364">
        <v>6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f>SUM(Table1[[#This Row],[Accepted_Campaign_2]]+Table1[[#This Row],[Accepted_Campaign_1]]+Table1[[#This Row],[Accepted_Campaign_5]]+Table1[[#This Row],[Accepted_Campaign_4]]+Table1[[#This Row],[Accepted_Campaign_3]])</f>
        <v>0</v>
      </c>
      <c r="AC364">
        <v>0</v>
      </c>
      <c r="AD364">
        <v>0</v>
      </c>
    </row>
    <row r="365" spans="1:30" x14ac:dyDescent="0.25">
      <c r="A365">
        <v>41321</v>
      </c>
      <c r="B365">
        <v>2326</v>
      </c>
      <c r="C365">
        <v>1990</v>
      </c>
      <c r="D365" t="s">
        <v>8</v>
      </c>
      <c r="E365" t="s">
        <v>6</v>
      </c>
      <c r="F365" t="s">
        <v>11</v>
      </c>
      <c r="G365">
        <v>18929</v>
      </c>
      <c r="H365">
        <v>0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f>SUM(Table1[[#This Row],[Gold Spending]]+Table1[[#This Row],[Sweet Spending]]+Table1[[#This Row],[Fish Spending]]+Table1[[#This Row],[Meat Spending]]+Table1[[#This Row],[Fruits Spending]]+Table1[[#This Row],[Wine Spending ]])</f>
        <v>85</v>
      </c>
      <c r="Q365">
        <v>1</v>
      </c>
      <c r="R365">
        <v>1</v>
      </c>
      <c r="S365">
        <v>0</v>
      </c>
      <c r="T365">
        <v>4</v>
      </c>
      <c r="U365">
        <f>SUM(Table1[[#This Row],[Store_Purchases]]+Table1[[#This Row],[Catalog_Purchases]]+Table1[[#This Row],[Web_Purchases]]+Table1[[#This Row],[Deal_Purchases]])</f>
        <v>6</v>
      </c>
      <c r="V365">
        <v>6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>SUM(Table1[[#This Row],[Accepted_Campaign_2]]+Table1[[#This Row],[Accepted_Campaign_1]]+Table1[[#This Row],[Accepted_Campaign_5]]+Table1[[#This Row],[Accepted_Campaign_4]]+Table1[[#This Row],[Accepted_Campaign_3]])</f>
        <v>0</v>
      </c>
      <c r="AC365">
        <v>0</v>
      </c>
      <c r="AD365">
        <v>0</v>
      </c>
    </row>
    <row r="366" spans="1:30" x14ac:dyDescent="0.25">
      <c r="A366">
        <v>41321</v>
      </c>
      <c r="B366">
        <v>1876</v>
      </c>
      <c r="C366">
        <v>1990</v>
      </c>
      <c r="D366" t="s">
        <v>17</v>
      </c>
      <c r="E366" t="s">
        <v>6</v>
      </c>
      <c r="F366" t="s">
        <v>11</v>
      </c>
      <c r="G366">
        <v>18929</v>
      </c>
      <c r="H366">
        <v>0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f>SUM(Table1[[#This Row],[Gold Spending]]+Table1[[#This Row],[Sweet Spending]]+Table1[[#This Row],[Fish Spending]]+Table1[[#This Row],[Meat Spending]]+Table1[[#This Row],[Fruits Spending]]+Table1[[#This Row],[Wine Spending ]])</f>
        <v>85</v>
      </c>
      <c r="Q366">
        <v>1</v>
      </c>
      <c r="R366">
        <v>1</v>
      </c>
      <c r="S366">
        <v>0</v>
      </c>
      <c r="T366">
        <v>4</v>
      </c>
      <c r="U366">
        <f>SUM(Table1[[#This Row],[Store_Purchases]]+Table1[[#This Row],[Catalog_Purchases]]+Table1[[#This Row],[Web_Purchases]]+Table1[[#This Row],[Deal_Purchases]])</f>
        <v>6</v>
      </c>
      <c r="V366">
        <v>6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>SUM(Table1[[#This Row],[Accepted_Campaign_2]]+Table1[[#This Row],[Accepted_Campaign_1]]+Table1[[#This Row],[Accepted_Campaign_5]]+Table1[[#This Row],[Accepted_Campaign_4]]+Table1[[#This Row],[Accepted_Campaign_3]])</f>
        <v>0</v>
      </c>
      <c r="AC366">
        <v>0</v>
      </c>
      <c r="AD366">
        <v>0</v>
      </c>
    </row>
    <row r="367" spans="1:30" x14ac:dyDescent="0.25">
      <c r="A367">
        <v>41272</v>
      </c>
      <c r="B367">
        <v>7141</v>
      </c>
      <c r="C367">
        <v>1986</v>
      </c>
      <c r="D367" t="s">
        <v>8</v>
      </c>
      <c r="E367" t="s">
        <v>18</v>
      </c>
      <c r="F367" t="s">
        <v>9</v>
      </c>
      <c r="G367">
        <v>21888</v>
      </c>
      <c r="H367">
        <v>1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f>SUM(Table1[[#This Row],[Gold Spending]]+Table1[[#This Row],[Sweet Spending]]+Table1[[#This Row],[Fish Spending]]+Table1[[#This Row],[Meat Spending]]+Table1[[#This Row],[Fruits Spending]]+Table1[[#This Row],[Wine Spending ]])</f>
        <v>213</v>
      </c>
      <c r="Q367">
        <v>4</v>
      </c>
      <c r="R367">
        <v>5</v>
      </c>
      <c r="S367">
        <v>1</v>
      </c>
      <c r="T367">
        <v>2</v>
      </c>
      <c r="U367">
        <f>SUM(Table1[[#This Row],[Store_Purchases]]+Table1[[#This Row],[Catalog_Purchases]]+Table1[[#This Row],[Web_Purchases]]+Table1[[#This Row],[Deal_Purchases]])</f>
        <v>12</v>
      </c>
      <c r="V367">
        <v>10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>SUM(Table1[[#This Row],[Accepted_Campaign_2]]+Table1[[#This Row],[Accepted_Campaign_1]]+Table1[[#This Row],[Accepted_Campaign_5]]+Table1[[#This Row],[Accepted_Campaign_4]]+Table1[[#This Row],[Accepted_Campaign_3]])</f>
        <v>0</v>
      </c>
      <c r="AC367">
        <v>1</v>
      </c>
      <c r="AD367">
        <v>0</v>
      </c>
    </row>
    <row r="368" spans="1:30" x14ac:dyDescent="0.25">
      <c r="A368">
        <v>41253</v>
      </c>
      <c r="B368">
        <v>7393</v>
      </c>
      <c r="C368">
        <v>1978</v>
      </c>
      <c r="D368" t="s">
        <v>8</v>
      </c>
      <c r="E368" t="s">
        <v>6</v>
      </c>
      <c r="F368" t="s">
        <v>12</v>
      </c>
      <c r="G368">
        <v>41580</v>
      </c>
      <c r="H368">
        <v>2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f>SUM(Table1[[#This Row],[Gold Spending]]+Table1[[#This Row],[Sweet Spending]]+Table1[[#This Row],[Fish Spending]]+Table1[[#This Row],[Meat Spending]]+Table1[[#This Row],[Fruits Spending]]+Table1[[#This Row],[Wine Spending ]])</f>
        <v>92</v>
      </c>
      <c r="Q368">
        <v>3</v>
      </c>
      <c r="R368">
        <v>2</v>
      </c>
      <c r="S368">
        <v>1</v>
      </c>
      <c r="T368">
        <v>3</v>
      </c>
      <c r="U368">
        <f>SUM(Table1[[#This Row],[Store_Purchases]]+Table1[[#This Row],[Catalog_Purchases]]+Table1[[#This Row],[Web_Purchases]]+Table1[[#This Row],[Deal_Purchases]])</f>
        <v>9</v>
      </c>
      <c r="V368">
        <v>5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f>SUM(Table1[[#This Row],[Accepted_Campaign_2]]+Table1[[#This Row],[Accepted_Campaign_1]]+Table1[[#This Row],[Accepted_Campaign_5]]+Table1[[#This Row],[Accepted_Campaign_4]]+Table1[[#This Row],[Accepted_Campaign_3]])</f>
        <v>0</v>
      </c>
      <c r="AC368">
        <v>0</v>
      </c>
      <c r="AD368">
        <v>0</v>
      </c>
    </row>
    <row r="369" spans="1:30" x14ac:dyDescent="0.25">
      <c r="A369">
        <v>41235</v>
      </c>
      <c r="B369">
        <v>4713</v>
      </c>
      <c r="C369">
        <v>1979</v>
      </c>
      <c r="D369" t="s">
        <v>8</v>
      </c>
      <c r="E369" t="s">
        <v>14</v>
      </c>
      <c r="F369" t="s">
        <v>11</v>
      </c>
      <c r="G369">
        <v>31605</v>
      </c>
      <c r="H369">
        <v>1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f>SUM(Table1[[#This Row],[Gold Spending]]+Table1[[#This Row],[Sweet Spending]]+Table1[[#This Row],[Fish Spending]]+Table1[[#This Row],[Meat Spending]]+Table1[[#This Row],[Fruits Spending]]+Table1[[#This Row],[Wine Spending ]])</f>
        <v>125</v>
      </c>
      <c r="Q369">
        <v>2</v>
      </c>
      <c r="R369">
        <v>2</v>
      </c>
      <c r="S369">
        <v>1</v>
      </c>
      <c r="T369">
        <v>4</v>
      </c>
      <c r="U369">
        <f>SUM(Table1[[#This Row],[Store_Purchases]]+Table1[[#This Row],[Catalog_Purchases]]+Table1[[#This Row],[Web_Purchases]]+Table1[[#This Row],[Deal_Purchases]])</f>
        <v>9</v>
      </c>
      <c r="V369">
        <v>7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f>SUM(Table1[[#This Row],[Accepted_Campaign_2]]+Table1[[#This Row],[Accepted_Campaign_1]]+Table1[[#This Row],[Accepted_Campaign_5]]+Table1[[#This Row],[Accepted_Campaign_4]]+Table1[[#This Row],[Accepted_Campaign_3]])</f>
        <v>0</v>
      </c>
      <c r="AC369">
        <v>0</v>
      </c>
      <c r="AD369">
        <v>0</v>
      </c>
    </row>
    <row r="370" spans="1:30" x14ac:dyDescent="0.25">
      <c r="A370">
        <v>41170</v>
      </c>
      <c r="B370">
        <v>5093</v>
      </c>
      <c r="C370">
        <v>1974</v>
      </c>
      <c r="D370" t="s">
        <v>8</v>
      </c>
      <c r="E370" t="s">
        <v>14</v>
      </c>
      <c r="F370" t="s">
        <v>7</v>
      </c>
      <c r="G370">
        <v>25509</v>
      </c>
      <c r="H370">
        <v>1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f>SUM(Table1[[#This Row],[Gold Spending]]+Table1[[#This Row],[Sweet Spending]]+Table1[[#This Row],[Fish Spending]]+Table1[[#This Row],[Meat Spending]]+Table1[[#This Row],[Fruits Spending]]+Table1[[#This Row],[Wine Spending ]])</f>
        <v>101</v>
      </c>
      <c r="Q370">
        <v>3</v>
      </c>
      <c r="R370">
        <v>3</v>
      </c>
      <c r="S370">
        <v>0</v>
      </c>
      <c r="T370">
        <v>3</v>
      </c>
      <c r="U370">
        <f>SUM(Table1[[#This Row],[Store_Purchases]]+Table1[[#This Row],[Catalog_Purchases]]+Table1[[#This Row],[Web_Purchases]]+Table1[[#This Row],[Deal_Purchases]])</f>
        <v>9</v>
      </c>
      <c r="V370">
        <v>9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f>SUM(Table1[[#This Row],[Accepted_Campaign_2]]+Table1[[#This Row],[Accepted_Campaign_1]]+Table1[[#This Row],[Accepted_Campaign_5]]+Table1[[#This Row],[Accepted_Campaign_4]]+Table1[[#This Row],[Accepted_Campaign_3]])</f>
        <v>0</v>
      </c>
      <c r="AC370">
        <v>1</v>
      </c>
      <c r="AD370">
        <v>0</v>
      </c>
    </row>
    <row r="371" spans="1:30" x14ac:dyDescent="0.25">
      <c r="A371">
        <v>41170</v>
      </c>
      <c r="B371">
        <v>8524</v>
      </c>
      <c r="C371">
        <v>1974</v>
      </c>
      <c r="D371" t="s">
        <v>8</v>
      </c>
      <c r="E371" t="s">
        <v>14</v>
      </c>
      <c r="F371" t="s">
        <v>7</v>
      </c>
      <c r="G371">
        <v>25509</v>
      </c>
      <c r="H371">
        <v>1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f>SUM(Table1[[#This Row],[Gold Spending]]+Table1[[#This Row],[Sweet Spending]]+Table1[[#This Row],[Fish Spending]]+Table1[[#This Row],[Meat Spending]]+Table1[[#This Row],[Fruits Spending]]+Table1[[#This Row],[Wine Spending ]])</f>
        <v>101</v>
      </c>
      <c r="Q371">
        <v>3</v>
      </c>
      <c r="R371">
        <v>3</v>
      </c>
      <c r="S371">
        <v>0</v>
      </c>
      <c r="T371">
        <v>3</v>
      </c>
      <c r="U371">
        <f>SUM(Table1[[#This Row],[Store_Purchases]]+Table1[[#This Row],[Catalog_Purchases]]+Table1[[#This Row],[Web_Purchases]]+Table1[[#This Row],[Deal_Purchases]])</f>
        <v>9</v>
      </c>
      <c r="V371">
        <v>9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f>SUM(Table1[[#This Row],[Accepted_Campaign_2]]+Table1[[#This Row],[Accepted_Campaign_1]]+Table1[[#This Row],[Accepted_Campaign_5]]+Table1[[#This Row],[Accepted_Campaign_4]]+Table1[[#This Row],[Accepted_Campaign_3]])</f>
        <v>0</v>
      </c>
      <c r="AC371">
        <v>1</v>
      </c>
      <c r="AD371">
        <v>0</v>
      </c>
    </row>
    <row r="372" spans="1:30" x14ac:dyDescent="0.25">
      <c r="A372">
        <v>41137</v>
      </c>
      <c r="B372">
        <v>3766</v>
      </c>
      <c r="C372">
        <v>1959</v>
      </c>
      <c r="D372" t="s">
        <v>8</v>
      </c>
      <c r="E372" t="s">
        <v>18</v>
      </c>
      <c r="F372" t="s">
        <v>19</v>
      </c>
      <c r="G372">
        <v>33051</v>
      </c>
      <c r="H372">
        <v>0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f>SUM(Table1[[#This Row],[Gold Spending]]+Table1[[#This Row],[Sweet Spending]]+Table1[[#This Row],[Fish Spending]]+Table1[[#This Row],[Meat Spending]]+Table1[[#This Row],[Fruits Spending]]+Table1[[#This Row],[Wine Spending ]])</f>
        <v>835</v>
      </c>
      <c r="Q372">
        <v>3</v>
      </c>
      <c r="R372">
        <v>9</v>
      </c>
      <c r="S372">
        <v>1</v>
      </c>
      <c r="T372">
        <v>8</v>
      </c>
      <c r="U372">
        <f>SUM(Table1[[#This Row],[Store_Purchases]]+Table1[[#This Row],[Catalog_Purchases]]+Table1[[#This Row],[Web_Purchases]]+Table1[[#This Row],[Deal_Purchases]])</f>
        <v>21</v>
      </c>
      <c r="V372">
        <v>9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f>SUM(Table1[[#This Row],[Accepted_Campaign_2]]+Table1[[#This Row],[Accepted_Campaign_1]]+Table1[[#This Row],[Accepted_Campaign_5]]+Table1[[#This Row],[Accepted_Campaign_4]]+Table1[[#This Row],[Accepted_Campaign_3]])</f>
        <v>0</v>
      </c>
      <c r="AC372">
        <v>1</v>
      </c>
      <c r="AD372">
        <v>0</v>
      </c>
    </row>
    <row r="373" spans="1:30" x14ac:dyDescent="0.25">
      <c r="A373">
        <v>41795</v>
      </c>
      <c r="B373">
        <v>9725</v>
      </c>
      <c r="C373">
        <v>1966</v>
      </c>
      <c r="D373" t="s">
        <v>8</v>
      </c>
      <c r="E373" t="s">
        <v>14</v>
      </c>
      <c r="F373" t="s">
        <v>12</v>
      </c>
      <c r="G373">
        <v>28764</v>
      </c>
      <c r="H373">
        <v>2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f>SUM(Table1[[#This Row],[Gold Spending]]+Table1[[#This Row],[Sweet Spending]]+Table1[[#This Row],[Fish Spending]]+Table1[[#This Row],[Meat Spending]]+Table1[[#This Row],[Fruits Spending]]+Table1[[#This Row],[Wine Spending ]])</f>
        <v>12</v>
      </c>
      <c r="Q373">
        <v>1</v>
      </c>
      <c r="R373">
        <v>1</v>
      </c>
      <c r="S373">
        <v>0</v>
      </c>
      <c r="T373">
        <v>2</v>
      </c>
      <c r="U373">
        <f>SUM(Table1[[#This Row],[Store_Purchases]]+Table1[[#This Row],[Catalog_Purchases]]+Table1[[#This Row],[Web_Purchases]]+Table1[[#This Row],[Deal_Purchases]])</f>
        <v>4</v>
      </c>
      <c r="V373">
        <v>8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f>SUM(Table1[[#This Row],[Accepted_Campaign_2]]+Table1[[#This Row],[Accepted_Campaign_1]]+Table1[[#This Row],[Accepted_Campaign_5]]+Table1[[#This Row],[Accepted_Campaign_4]]+Table1[[#This Row],[Accepted_Campaign_3]])</f>
        <v>1</v>
      </c>
      <c r="AC373">
        <v>0</v>
      </c>
      <c r="AD373">
        <v>0</v>
      </c>
    </row>
    <row r="374" spans="1:30" x14ac:dyDescent="0.25">
      <c r="A374">
        <v>41771</v>
      </c>
      <c r="B374">
        <v>8933</v>
      </c>
      <c r="C374">
        <v>1983</v>
      </c>
      <c r="D374" t="s">
        <v>10</v>
      </c>
      <c r="E374" t="s">
        <v>15</v>
      </c>
      <c r="F374" t="s">
        <v>11</v>
      </c>
      <c r="G374">
        <v>32146</v>
      </c>
      <c r="H374">
        <v>1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f>SUM(Table1[[#This Row],[Gold Spending]]+Table1[[#This Row],[Sweet Spending]]+Table1[[#This Row],[Fish Spending]]+Table1[[#This Row],[Meat Spending]]+Table1[[#This Row],[Fruits Spending]]+Table1[[#This Row],[Wine Spending ]])</f>
        <v>66</v>
      </c>
      <c r="Q374">
        <v>2</v>
      </c>
      <c r="R374">
        <v>2</v>
      </c>
      <c r="S374">
        <v>0</v>
      </c>
      <c r="T374">
        <v>4</v>
      </c>
      <c r="U374">
        <f>SUM(Table1[[#This Row],[Store_Purchases]]+Table1[[#This Row],[Catalog_Purchases]]+Table1[[#This Row],[Web_Purchases]]+Table1[[#This Row],[Deal_Purchases]])</f>
        <v>8</v>
      </c>
      <c r="V374">
        <v>6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f>SUM(Table1[[#This Row],[Accepted_Campaign_2]]+Table1[[#This Row],[Accepted_Campaign_1]]+Table1[[#This Row],[Accepted_Campaign_5]]+Table1[[#This Row],[Accepted_Campaign_4]]+Table1[[#This Row],[Accepted_Campaign_3]])</f>
        <v>0</v>
      </c>
      <c r="AC374">
        <v>0</v>
      </c>
      <c r="AD374">
        <v>0</v>
      </c>
    </row>
    <row r="375" spans="1:30" x14ac:dyDescent="0.25">
      <c r="A375">
        <v>41742</v>
      </c>
      <c r="B375">
        <v>10779</v>
      </c>
      <c r="C375">
        <v>1983</v>
      </c>
      <c r="D375" t="s">
        <v>8</v>
      </c>
      <c r="E375" t="s">
        <v>6</v>
      </c>
      <c r="F375" t="s">
        <v>9</v>
      </c>
      <c r="G375">
        <v>22148</v>
      </c>
      <c r="H375">
        <v>0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f>SUM(Table1[[#This Row],[Gold Spending]]+Table1[[#This Row],[Sweet Spending]]+Table1[[#This Row],[Fish Spending]]+Table1[[#This Row],[Meat Spending]]+Table1[[#This Row],[Fruits Spending]]+Table1[[#This Row],[Wine Spending ]])</f>
        <v>49</v>
      </c>
      <c r="Q375">
        <v>1</v>
      </c>
      <c r="R375">
        <v>1</v>
      </c>
      <c r="S375">
        <v>0</v>
      </c>
      <c r="T375">
        <v>3</v>
      </c>
      <c r="U375">
        <f>SUM(Table1[[#This Row],[Store_Purchases]]+Table1[[#This Row],[Catalog_Purchases]]+Table1[[#This Row],[Web_Purchases]]+Table1[[#This Row],[Deal_Purchases]])</f>
        <v>5</v>
      </c>
      <c r="V375">
        <v>7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f>SUM(Table1[[#This Row],[Accepted_Campaign_2]]+Table1[[#This Row],[Accepted_Campaign_1]]+Table1[[#This Row],[Accepted_Campaign_5]]+Table1[[#This Row],[Accepted_Campaign_4]]+Table1[[#This Row],[Accepted_Campaign_3]])</f>
        <v>0</v>
      </c>
      <c r="AC375">
        <v>0</v>
      </c>
      <c r="AD375">
        <v>0</v>
      </c>
    </row>
    <row r="376" spans="1:30" x14ac:dyDescent="0.25">
      <c r="A376">
        <v>41739</v>
      </c>
      <c r="B376">
        <v>9289</v>
      </c>
      <c r="C376">
        <v>1979</v>
      </c>
      <c r="D376" t="s">
        <v>8</v>
      </c>
      <c r="E376" t="s">
        <v>6</v>
      </c>
      <c r="F376" t="s">
        <v>11</v>
      </c>
      <c r="G376">
        <v>36781</v>
      </c>
      <c r="H376">
        <v>1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f>SUM(Table1[[#This Row],[Gold Spending]]+Table1[[#This Row],[Sweet Spending]]+Table1[[#This Row],[Fish Spending]]+Table1[[#This Row],[Meat Spending]]+Table1[[#This Row],[Fruits Spending]]+Table1[[#This Row],[Wine Spending ]])</f>
        <v>63</v>
      </c>
      <c r="Q376">
        <v>1</v>
      </c>
      <c r="R376">
        <v>2</v>
      </c>
      <c r="S376">
        <v>1</v>
      </c>
      <c r="T376">
        <v>2</v>
      </c>
      <c r="U376">
        <f>SUM(Table1[[#This Row],[Store_Purchases]]+Table1[[#This Row],[Catalog_Purchases]]+Table1[[#This Row],[Web_Purchases]]+Table1[[#This Row],[Deal_Purchases]])</f>
        <v>6</v>
      </c>
      <c r="V376">
        <v>8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f>SUM(Table1[[#This Row],[Accepted_Campaign_2]]+Table1[[#This Row],[Accepted_Campaign_1]]+Table1[[#This Row],[Accepted_Campaign_5]]+Table1[[#This Row],[Accepted_Campaign_4]]+Table1[[#This Row],[Accepted_Campaign_3]])</f>
        <v>0</v>
      </c>
      <c r="AC376">
        <v>1</v>
      </c>
      <c r="AD376">
        <v>0</v>
      </c>
    </row>
    <row r="377" spans="1:30" x14ac:dyDescent="0.25">
      <c r="A377">
        <v>41732</v>
      </c>
      <c r="B377">
        <v>2613</v>
      </c>
      <c r="C377">
        <v>1960</v>
      </c>
      <c r="D377" t="s">
        <v>8</v>
      </c>
      <c r="E377" t="s">
        <v>18</v>
      </c>
      <c r="F377" t="s">
        <v>11</v>
      </c>
      <c r="G377">
        <v>54197</v>
      </c>
      <c r="H377">
        <v>1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f>SUM(Table1[[#This Row],[Gold Spending]]+Table1[[#This Row],[Sweet Spending]]+Table1[[#This Row],[Fish Spending]]+Table1[[#This Row],[Meat Spending]]+Table1[[#This Row],[Fruits Spending]]+Table1[[#This Row],[Wine Spending ]])</f>
        <v>237</v>
      </c>
      <c r="Q377">
        <v>2</v>
      </c>
      <c r="R377">
        <v>1</v>
      </c>
      <c r="S377">
        <v>3</v>
      </c>
      <c r="T377">
        <v>6</v>
      </c>
      <c r="U377">
        <f>SUM(Table1[[#This Row],[Store_Purchases]]+Table1[[#This Row],[Catalog_Purchases]]+Table1[[#This Row],[Web_Purchases]]+Table1[[#This Row],[Deal_Purchases]])</f>
        <v>12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f>SUM(Table1[[#This Row],[Accepted_Campaign_2]]+Table1[[#This Row],[Accepted_Campaign_1]]+Table1[[#This Row],[Accepted_Campaign_5]]+Table1[[#This Row],[Accepted_Campaign_4]]+Table1[[#This Row],[Accepted_Campaign_3]])</f>
        <v>0</v>
      </c>
      <c r="AC377">
        <v>0</v>
      </c>
      <c r="AD377">
        <v>0</v>
      </c>
    </row>
    <row r="378" spans="1:30" x14ac:dyDescent="0.25">
      <c r="A378">
        <v>41682</v>
      </c>
      <c r="B378">
        <v>10133</v>
      </c>
      <c r="C378">
        <v>1970</v>
      </c>
      <c r="D378" t="s">
        <v>10</v>
      </c>
      <c r="E378" t="s">
        <v>6</v>
      </c>
      <c r="F378" t="s">
        <v>9</v>
      </c>
      <c r="G378">
        <v>93790</v>
      </c>
      <c r="H378">
        <v>0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f>SUM(Table1[[#This Row],[Gold Spending]]+Table1[[#This Row],[Sweet Spending]]+Table1[[#This Row],[Fish Spending]]+Table1[[#This Row],[Meat Spending]]+Table1[[#This Row],[Fruits Spending]]+Table1[[#This Row],[Wine Spending ]])</f>
        <v>2349</v>
      </c>
      <c r="Q378">
        <v>0</v>
      </c>
      <c r="R378">
        <v>6</v>
      </c>
      <c r="S378">
        <v>7</v>
      </c>
      <c r="T378">
        <v>12</v>
      </c>
      <c r="U378">
        <f>SUM(Table1[[#This Row],[Store_Purchases]]+Table1[[#This Row],[Catalog_Purchases]]+Table1[[#This Row],[Web_Purchases]]+Table1[[#This Row],[Deal_Purchases]])</f>
        <v>25</v>
      </c>
      <c r="V378">
        <v>2</v>
      </c>
      <c r="W378">
        <v>0</v>
      </c>
      <c r="X378">
        <v>1</v>
      </c>
      <c r="Y378">
        <v>1</v>
      </c>
      <c r="Z378">
        <v>1</v>
      </c>
      <c r="AA378">
        <v>0</v>
      </c>
      <c r="AB378">
        <f>SUM(Table1[[#This Row],[Accepted_Campaign_2]]+Table1[[#This Row],[Accepted_Campaign_1]]+Table1[[#This Row],[Accepted_Campaign_5]]+Table1[[#This Row],[Accepted_Campaign_4]]+Table1[[#This Row],[Accepted_Campaign_3]])</f>
        <v>3</v>
      </c>
      <c r="AC378">
        <v>1</v>
      </c>
      <c r="AD378">
        <v>0</v>
      </c>
    </row>
    <row r="379" spans="1:30" x14ac:dyDescent="0.25">
      <c r="A379">
        <v>41680</v>
      </c>
      <c r="B379">
        <v>8443</v>
      </c>
      <c r="C379">
        <v>1972</v>
      </c>
      <c r="D379" t="s">
        <v>20</v>
      </c>
      <c r="E379" t="s">
        <v>6</v>
      </c>
      <c r="F379" t="s">
        <v>9</v>
      </c>
      <c r="G379">
        <v>24762</v>
      </c>
      <c r="H379">
        <v>1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f>SUM(Table1[[#This Row],[Gold Spending]]+Table1[[#This Row],[Sweet Spending]]+Table1[[#This Row],[Fish Spending]]+Table1[[#This Row],[Meat Spending]]+Table1[[#This Row],[Fruits Spending]]+Table1[[#This Row],[Wine Spending ]])</f>
        <v>86</v>
      </c>
      <c r="Q379">
        <v>3</v>
      </c>
      <c r="R379">
        <v>3</v>
      </c>
      <c r="S379">
        <v>1</v>
      </c>
      <c r="T379">
        <v>2</v>
      </c>
      <c r="U379">
        <f>SUM(Table1[[#This Row],[Store_Purchases]]+Table1[[#This Row],[Catalog_Purchases]]+Table1[[#This Row],[Web_Purchases]]+Table1[[#This Row],[Deal_Purchases]])</f>
        <v>9</v>
      </c>
      <c r="V379">
        <v>8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f>SUM(Table1[[#This Row],[Accepted_Campaign_2]]+Table1[[#This Row],[Accepted_Campaign_1]]+Table1[[#This Row],[Accepted_Campaign_5]]+Table1[[#This Row],[Accepted_Campaign_4]]+Table1[[#This Row],[Accepted_Campaign_3]])</f>
        <v>1</v>
      </c>
      <c r="AC379">
        <v>1</v>
      </c>
      <c r="AD379">
        <v>0</v>
      </c>
    </row>
    <row r="380" spans="1:30" x14ac:dyDescent="0.25">
      <c r="A380">
        <v>41661</v>
      </c>
      <c r="B380">
        <v>10796</v>
      </c>
      <c r="C380">
        <v>1984</v>
      </c>
      <c r="D380" t="s">
        <v>17</v>
      </c>
      <c r="E380" t="s">
        <v>18</v>
      </c>
      <c r="F380" t="s">
        <v>11</v>
      </c>
      <c r="G380">
        <v>30477</v>
      </c>
      <c r="H380">
        <v>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f>SUM(Table1[[#This Row],[Gold Spending]]+Table1[[#This Row],[Sweet Spending]]+Table1[[#This Row],[Fish Spending]]+Table1[[#This Row],[Meat Spending]]+Table1[[#This Row],[Fruits Spending]]+Table1[[#This Row],[Wine Spending ]])</f>
        <v>66</v>
      </c>
      <c r="Q380">
        <v>1</v>
      </c>
      <c r="R380">
        <v>1</v>
      </c>
      <c r="S380">
        <v>1</v>
      </c>
      <c r="T380">
        <v>3</v>
      </c>
      <c r="U380">
        <f>SUM(Table1[[#This Row],[Store_Purchases]]+Table1[[#This Row],[Catalog_Purchases]]+Table1[[#This Row],[Web_Purchases]]+Table1[[#This Row],[Deal_Purchases]])</f>
        <v>6</v>
      </c>
      <c r="V380">
        <v>6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f>SUM(Table1[[#This Row],[Accepted_Campaign_2]]+Table1[[#This Row],[Accepted_Campaign_1]]+Table1[[#This Row],[Accepted_Campaign_5]]+Table1[[#This Row],[Accepted_Campaign_4]]+Table1[[#This Row],[Accepted_Campaign_3]])</f>
        <v>0</v>
      </c>
      <c r="AC380">
        <v>0</v>
      </c>
      <c r="AD380">
        <v>0</v>
      </c>
    </row>
    <row r="381" spans="1:30" x14ac:dyDescent="0.25">
      <c r="A381">
        <v>41623</v>
      </c>
      <c r="B381">
        <v>10241</v>
      </c>
      <c r="C381">
        <v>1975</v>
      </c>
      <c r="D381" t="s">
        <v>8</v>
      </c>
      <c r="E381" t="s">
        <v>15</v>
      </c>
      <c r="F381" t="s">
        <v>7</v>
      </c>
      <c r="G381">
        <v>11448</v>
      </c>
      <c r="H381">
        <v>0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f>SUM(Table1[[#This Row],[Gold Spending]]+Table1[[#This Row],[Sweet Spending]]+Table1[[#This Row],[Fish Spending]]+Table1[[#This Row],[Meat Spending]]+Table1[[#This Row],[Fruits Spending]]+Table1[[#This Row],[Wine Spending ]])</f>
        <v>14</v>
      </c>
      <c r="Q381">
        <v>1</v>
      </c>
      <c r="R381">
        <v>1</v>
      </c>
      <c r="S381">
        <v>0</v>
      </c>
      <c r="T381">
        <v>2</v>
      </c>
      <c r="U381">
        <f>SUM(Table1[[#This Row],[Store_Purchases]]+Table1[[#This Row],[Catalog_Purchases]]+Table1[[#This Row],[Web_Purchases]]+Table1[[#This Row],[Deal_Purchases]])</f>
        <v>4</v>
      </c>
      <c r="V381">
        <v>6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>SUM(Table1[[#This Row],[Accepted_Campaign_2]]+Table1[[#This Row],[Accepted_Campaign_1]]+Table1[[#This Row],[Accepted_Campaign_5]]+Table1[[#This Row],[Accepted_Campaign_4]]+Table1[[#This Row],[Accepted_Campaign_3]])</f>
        <v>0</v>
      </c>
      <c r="AC381">
        <v>0</v>
      </c>
      <c r="AD381">
        <v>0</v>
      </c>
    </row>
    <row r="382" spans="1:30" x14ac:dyDescent="0.25">
      <c r="A382">
        <v>41577</v>
      </c>
      <c r="B382">
        <v>3388</v>
      </c>
      <c r="C382">
        <v>1967</v>
      </c>
      <c r="D382" t="s">
        <v>16</v>
      </c>
      <c r="E382" t="s">
        <v>6</v>
      </c>
      <c r="F382" t="s">
        <v>7</v>
      </c>
      <c r="G382">
        <v>70844</v>
      </c>
      <c r="H382">
        <v>2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f>SUM(Table1[[#This Row],[Gold Spending]]+Table1[[#This Row],[Sweet Spending]]+Table1[[#This Row],[Fish Spending]]+Table1[[#This Row],[Meat Spending]]+Table1[[#This Row],[Fruits Spending]]+Table1[[#This Row],[Wine Spending ]])</f>
        <v>294</v>
      </c>
      <c r="Q382">
        <v>5</v>
      </c>
      <c r="R382">
        <v>6</v>
      </c>
      <c r="S382">
        <v>1</v>
      </c>
      <c r="T382">
        <v>5</v>
      </c>
      <c r="U382">
        <f>SUM(Table1[[#This Row],[Store_Purchases]]+Table1[[#This Row],[Catalog_Purchases]]+Table1[[#This Row],[Web_Purchases]]+Table1[[#This Row],[Deal_Purchases]])</f>
        <v>17</v>
      </c>
      <c r="V382">
        <v>7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f>SUM(Table1[[#This Row],[Accepted_Campaign_2]]+Table1[[#This Row],[Accepted_Campaign_1]]+Table1[[#This Row],[Accepted_Campaign_5]]+Table1[[#This Row],[Accepted_Campaign_4]]+Table1[[#This Row],[Accepted_Campaign_3]])</f>
        <v>0</v>
      </c>
      <c r="AC382">
        <v>0</v>
      </c>
      <c r="AD382">
        <v>0</v>
      </c>
    </row>
    <row r="383" spans="1:30" x14ac:dyDescent="0.25">
      <c r="A383">
        <v>41551</v>
      </c>
      <c r="B383">
        <v>6507</v>
      </c>
      <c r="C383">
        <v>1980</v>
      </c>
      <c r="D383" t="s">
        <v>13</v>
      </c>
      <c r="E383" t="s">
        <v>6</v>
      </c>
      <c r="F383" t="s">
        <v>9</v>
      </c>
      <c r="G383">
        <v>30828</v>
      </c>
      <c r="H383">
        <v>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f>SUM(Table1[[#This Row],[Gold Spending]]+Table1[[#This Row],[Sweet Spending]]+Table1[[#This Row],[Fish Spending]]+Table1[[#This Row],[Meat Spending]]+Table1[[#This Row],[Fruits Spending]]+Table1[[#This Row],[Wine Spending ]])</f>
        <v>56</v>
      </c>
      <c r="Q383">
        <v>2</v>
      </c>
      <c r="R383">
        <v>1</v>
      </c>
      <c r="S383">
        <v>1</v>
      </c>
      <c r="T383">
        <v>4</v>
      </c>
      <c r="U383">
        <f>SUM(Table1[[#This Row],[Store_Purchases]]+Table1[[#This Row],[Catalog_Purchases]]+Table1[[#This Row],[Web_Purchases]]+Table1[[#This Row],[Deal_Purchases]])</f>
        <v>8</v>
      </c>
      <c r="V383">
        <v>3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f>SUM(Table1[[#This Row],[Accepted_Campaign_2]]+Table1[[#This Row],[Accepted_Campaign_1]]+Table1[[#This Row],[Accepted_Campaign_5]]+Table1[[#This Row],[Accepted_Campaign_4]]+Table1[[#This Row],[Accepted_Campaign_3]])</f>
        <v>0</v>
      </c>
      <c r="AC383">
        <v>0</v>
      </c>
      <c r="AD383">
        <v>0</v>
      </c>
    </row>
    <row r="384" spans="1:30" x14ac:dyDescent="0.25">
      <c r="A384">
        <v>41526</v>
      </c>
      <c r="B384">
        <v>7446</v>
      </c>
      <c r="C384">
        <v>1967</v>
      </c>
      <c r="D384" t="s">
        <v>63</v>
      </c>
      <c r="E384" t="s">
        <v>18</v>
      </c>
      <c r="F384" t="s">
        <v>12</v>
      </c>
      <c r="G384">
        <v>62513</v>
      </c>
      <c r="H384">
        <v>1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f>SUM(Table1[[#This Row],[Gold Spending]]+Table1[[#This Row],[Sweet Spending]]+Table1[[#This Row],[Fish Spending]]+Table1[[#This Row],[Meat Spending]]+Table1[[#This Row],[Fruits Spending]]+Table1[[#This Row],[Wine Spending ]])</f>
        <v>716</v>
      </c>
      <c r="Q384">
        <v>2</v>
      </c>
      <c r="R384">
        <v>6</v>
      </c>
      <c r="S384">
        <v>4</v>
      </c>
      <c r="T384">
        <v>10</v>
      </c>
      <c r="U384">
        <f>SUM(Table1[[#This Row],[Store_Purchases]]+Table1[[#This Row],[Catalog_Purchases]]+Table1[[#This Row],[Web_Purchases]]+Table1[[#This Row],[Deal_Purchases]])</f>
        <v>22</v>
      </c>
      <c r="V384">
        <v>6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f>SUM(Table1[[#This Row],[Accepted_Campaign_2]]+Table1[[#This Row],[Accepted_Campaign_1]]+Table1[[#This Row],[Accepted_Campaign_5]]+Table1[[#This Row],[Accepted_Campaign_4]]+Table1[[#This Row],[Accepted_Campaign_3]])</f>
        <v>0</v>
      </c>
      <c r="AC384">
        <v>0</v>
      </c>
      <c r="AD384">
        <v>0</v>
      </c>
    </row>
    <row r="385" spans="1:30" x14ac:dyDescent="0.25">
      <c r="A385">
        <v>41512</v>
      </c>
      <c r="B385">
        <v>87</v>
      </c>
      <c r="C385">
        <v>1981</v>
      </c>
      <c r="D385" t="s">
        <v>16</v>
      </c>
      <c r="E385" t="s">
        <v>15</v>
      </c>
      <c r="F385" t="s">
        <v>11</v>
      </c>
      <c r="G385">
        <v>27733</v>
      </c>
      <c r="H385">
        <v>1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385">
        <v>2</v>
      </c>
      <c r="R385">
        <v>2</v>
      </c>
      <c r="S385">
        <v>0</v>
      </c>
      <c r="T385">
        <v>3</v>
      </c>
      <c r="U385">
        <f>SUM(Table1[[#This Row],[Store_Purchases]]+Table1[[#This Row],[Catalog_Purchases]]+Table1[[#This Row],[Web_Purchases]]+Table1[[#This Row],[Deal_Purchases]])</f>
        <v>7</v>
      </c>
      <c r="V385">
        <v>7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f>SUM(Table1[[#This Row],[Accepted_Campaign_2]]+Table1[[#This Row],[Accepted_Campaign_1]]+Table1[[#This Row],[Accepted_Campaign_5]]+Table1[[#This Row],[Accepted_Campaign_4]]+Table1[[#This Row],[Accepted_Campaign_3]])</f>
        <v>0</v>
      </c>
      <c r="AC385">
        <v>0</v>
      </c>
      <c r="AD385">
        <v>0</v>
      </c>
    </row>
    <row r="386" spans="1:30" x14ac:dyDescent="0.25">
      <c r="A386">
        <v>41492</v>
      </c>
      <c r="B386">
        <v>10477</v>
      </c>
      <c r="C386">
        <v>1973</v>
      </c>
      <c r="D386" t="s">
        <v>8</v>
      </c>
      <c r="E386" t="s">
        <v>14</v>
      </c>
      <c r="F386" t="s">
        <v>12</v>
      </c>
      <c r="G386">
        <v>39435</v>
      </c>
      <c r="H386">
        <v>1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f>SUM(Table1[[#This Row],[Gold Spending]]+Table1[[#This Row],[Sweet Spending]]+Table1[[#This Row],[Fish Spending]]+Table1[[#This Row],[Meat Spending]]+Table1[[#This Row],[Fruits Spending]]+Table1[[#This Row],[Wine Spending ]])</f>
        <v>102</v>
      </c>
      <c r="Q386">
        <v>1</v>
      </c>
      <c r="R386">
        <v>3</v>
      </c>
      <c r="S386">
        <v>1</v>
      </c>
      <c r="T386">
        <v>2</v>
      </c>
      <c r="U386">
        <f>SUM(Table1[[#This Row],[Store_Purchases]]+Table1[[#This Row],[Catalog_Purchases]]+Table1[[#This Row],[Web_Purchases]]+Table1[[#This Row],[Deal_Purchases]])</f>
        <v>7</v>
      </c>
      <c r="V386">
        <v>7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f>SUM(Table1[[#This Row],[Accepted_Campaign_2]]+Table1[[#This Row],[Accepted_Campaign_1]]+Table1[[#This Row],[Accepted_Campaign_5]]+Table1[[#This Row],[Accepted_Campaign_4]]+Table1[[#This Row],[Accepted_Campaign_3]])</f>
        <v>0</v>
      </c>
      <c r="AC386">
        <v>0</v>
      </c>
      <c r="AD386">
        <v>0</v>
      </c>
    </row>
    <row r="387" spans="1:30" x14ac:dyDescent="0.25">
      <c r="A387">
        <v>41307</v>
      </c>
      <c r="B387">
        <v>6072</v>
      </c>
      <c r="C387">
        <v>1970</v>
      </c>
      <c r="D387" t="s">
        <v>8</v>
      </c>
      <c r="E387" t="s">
        <v>18</v>
      </c>
      <c r="F387" t="s">
        <v>9</v>
      </c>
      <c r="G387">
        <v>75345</v>
      </c>
      <c r="H387">
        <v>0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f>SUM(Table1[[#This Row],[Gold Spending]]+Table1[[#This Row],[Sweet Spending]]+Table1[[#This Row],[Fish Spending]]+Table1[[#This Row],[Meat Spending]]+Table1[[#This Row],[Fruits Spending]]+Table1[[#This Row],[Wine Spending ]])</f>
        <v>2087</v>
      </c>
      <c r="Q387">
        <v>1</v>
      </c>
      <c r="R387">
        <v>5</v>
      </c>
      <c r="S387">
        <v>8</v>
      </c>
      <c r="T387">
        <v>6</v>
      </c>
      <c r="U387">
        <f>SUM(Table1[[#This Row],[Store_Purchases]]+Table1[[#This Row],[Catalog_Purchases]]+Table1[[#This Row],[Web_Purchases]]+Table1[[#This Row],[Deal_Purchases]])</f>
        <v>20</v>
      </c>
      <c r="V387">
        <v>3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f>SUM(Table1[[#This Row],[Accepted_Campaign_2]]+Table1[[#This Row],[Accepted_Campaign_1]]+Table1[[#This Row],[Accepted_Campaign_5]]+Table1[[#This Row],[Accepted_Campaign_4]]+Table1[[#This Row],[Accepted_Campaign_3]])</f>
        <v>1</v>
      </c>
      <c r="AC387">
        <v>1</v>
      </c>
      <c r="AD387">
        <v>0</v>
      </c>
    </row>
    <row r="388" spans="1:30" x14ac:dyDescent="0.25">
      <c r="A388">
        <v>41299</v>
      </c>
      <c r="B388">
        <v>2518</v>
      </c>
      <c r="C388">
        <v>1986</v>
      </c>
      <c r="D388" t="s">
        <v>16</v>
      </c>
      <c r="E388" t="s">
        <v>15</v>
      </c>
      <c r="F388" t="s">
        <v>12</v>
      </c>
      <c r="G388">
        <v>20491</v>
      </c>
      <c r="H388">
        <v>0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f>SUM(Table1[[#This Row],[Gold Spending]]+Table1[[#This Row],[Sweet Spending]]+Table1[[#This Row],[Fish Spending]]+Table1[[#This Row],[Meat Spending]]+Table1[[#This Row],[Fruits Spending]]+Table1[[#This Row],[Wine Spending ]])</f>
        <v>30</v>
      </c>
      <c r="Q388">
        <v>1</v>
      </c>
      <c r="R388">
        <v>0</v>
      </c>
      <c r="S388">
        <v>1</v>
      </c>
      <c r="T388">
        <v>2</v>
      </c>
      <c r="U388">
        <f>SUM(Table1[[#This Row],[Store_Purchases]]+Table1[[#This Row],[Catalog_Purchases]]+Table1[[#This Row],[Web_Purchases]]+Table1[[#This Row],[Deal_Purchases]])</f>
        <v>4</v>
      </c>
      <c r="V388">
        <v>7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f>SUM(Table1[[#This Row],[Accepted_Campaign_2]]+Table1[[#This Row],[Accepted_Campaign_1]]+Table1[[#This Row],[Accepted_Campaign_5]]+Table1[[#This Row],[Accepted_Campaign_4]]+Table1[[#This Row],[Accepted_Campaign_3]])</f>
        <v>0</v>
      </c>
      <c r="AC388">
        <v>0</v>
      </c>
      <c r="AD388">
        <v>0</v>
      </c>
    </row>
    <row r="389" spans="1:30" x14ac:dyDescent="0.25">
      <c r="A389">
        <v>41230</v>
      </c>
      <c r="B389">
        <v>247</v>
      </c>
      <c r="C389">
        <v>1971</v>
      </c>
      <c r="D389" t="s">
        <v>8</v>
      </c>
      <c r="E389" t="s">
        <v>6</v>
      </c>
      <c r="F389" t="s">
        <v>11</v>
      </c>
      <c r="G389">
        <v>36715</v>
      </c>
      <c r="H389">
        <v>1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f>SUM(Table1[[#This Row],[Gold Spending]]+Table1[[#This Row],[Sweet Spending]]+Table1[[#This Row],[Fish Spending]]+Table1[[#This Row],[Meat Spending]]+Table1[[#This Row],[Fruits Spending]]+Table1[[#This Row],[Wine Spending ]])</f>
        <v>357</v>
      </c>
      <c r="Q389">
        <v>6</v>
      </c>
      <c r="R389">
        <v>7</v>
      </c>
      <c r="S389">
        <v>2</v>
      </c>
      <c r="T389">
        <v>4</v>
      </c>
      <c r="U389">
        <f>SUM(Table1[[#This Row],[Store_Purchases]]+Table1[[#This Row],[Catalog_Purchases]]+Table1[[#This Row],[Web_Purchases]]+Table1[[#This Row],[Deal_Purchases]])</f>
        <v>19</v>
      </c>
      <c r="V389">
        <v>9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f>SUM(Table1[[#This Row],[Accepted_Campaign_2]]+Table1[[#This Row],[Accepted_Campaign_1]]+Table1[[#This Row],[Accepted_Campaign_5]]+Table1[[#This Row],[Accepted_Campaign_4]]+Table1[[#This Row],[Accepted_Campaign_3]])</f>
        <v>0</v>
      </c>
      <c r="AC389">
        <v>1</v>
      </c>
      <c r="AD389">
        <v>0</v>
      </c>
    </row>
    <row r="390" spans="1:30" x14ac:dyDescent="0.25">
      <c r="A390">
        <v>41226</v>
      </c>
      <c r="B390">
        <v>9463</v>
      </c>
      <c r="C390">
        <v>1959</v>
      </c>
      <c r="D390" t="s">
        <v>10</v>
      </c>
      <c r="E390" t="s">
        <v>6</v>
      </c>
      <c r="F390" t="s">
        <v>12</v>
      </c>
      <c r="G390">
        <v>71706</v>
      </c>
      <c r="H390">
        <v>1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f>SUM(Table1[[#This Row],[Gold Spending]]+Table1[[#This Row],[Sweet Spending]]+Table1[[#This Row],[Fish Spending]]+Table1[[#This Row],[Meat Spending]]+Table1[[#This Row],[Fruits Spending]]+Table1[[#This Row],[Wine Spending ]])</f>
        <v>1443</v>
      </c>
      <c r="Q390">
        <v>4</v>
      </c>
      <c r="R390">
        <v>9</v>
      </c>
      <c r="S390">
        <v>5</v>
      </c>
      <c r="T390">
        <v>7</v>
      </c>
      <c r="U390">
        <f>SUM(Table1[[#This Row],[Store_Purchases]]+Table1[[#This Row],[Catalog_Purchases]]+Table1[[#This Row],[Web_Purchases]]+Table1[[#This Row],[Deal_Purchases]])</f>
        <v>25</v>
      </c>
      <c r="V390">
        <v>5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f>SUM(Table1[[#This Row],[Accepted_Campaign_2]]+Table1[[#This Row],[Accepted_Campaign_1]]+Table1[[#This Row],[Accepted_Campaign_5]]+Table1[[#This Row],[Accepted_Campaign_4]]+Table1[[#This Row],[Accepted_Campaign_3]])</f>
        <v>0</v>
      </c>
      <c r="AC390">
        <v>0</v>
      </c>
      <c r="AD390">
        <v>0</v>
      </c>
    </row>
    <row r="391" spans="1:30" x14ac:dyDescent="0.25">
      <c r="A391">
        <v>41220</v>
      </c>
      <c r="B391">
        <v>1459</v>
      </c>
      <c r="C391">
        <v>1966</v>
      </c>
      <c r="D391" t="s">
        <v>8</v>
      </c>
      <c r="E391" t="s">
        <v>14</v>
      </c>
      <c r="F391" t="s">
        <v>11</v>
      </c>
      <c r="G391">
        <v>69063</v>
      </c>
      <c r="H391">
        <v>1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f>SUM(Table1[[#This Row],[Gold Spending]]+Table1[[#This Row],[Sweet Spending]]+Table1[[#This Row],[Fish Spending]]+Table1[[#This Row],[Meat Spending]]+Table1[[#This Row],[Fruits Spending]]+Table1[[#This Row],[Wine Spending ]])</f>
        <v>928</v>
      </c>
      <c r="Q391">
        <v>1</v>
      </c>
      <c r="R391">
        <v>5</v>
      </c>
      <c r="S391">
        <v>3</v>
      </c>
      <c r="T391">
        <v>5</v>
      </c>
      <c r="U391">
        <f>SUM(Table1[[#This Row],[Store_Purchases]]+Table1[[#This Row],[Catalog_Purchases]]+Table1[[#This Row],[Web_Purchases]]+Table1[[#This Row],[Deal_Purchases]])</f>
        <v>14</v>
      </c>
      <c r="V391">
        <v>3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f>SUM(Table1[[#This Row],[Accepted_Campaign_2]]+Table1[[#This Row],[Accepted_Campaign_1]]+Table1[[#This Row],[Accepted_Campaign_5]]+Table1[[#This Row],[Accepted_Campaign_4]]+Table1[[#This Row],[Accepted_Campaign_3]])</f>
        <v>0</v>
      </c>
      <c r="AC391">
        <v>0</v>
      </c>
      <c r="AD391">
        <v>0</v>
      </c>
    </row>
    <row r="392" spans="1:30" x14ac:dyDescent="0.25">
      <c r="A392">
        <v>41214</v>
      </c>
      <c r="B392">
        <v>9530</v>
      </c>
      <c r="C392">
        <v>1988</v>
      </c>
      <c r="D392" t="s">
        <v>20</v>
      </c>
      <c r="E392" t="s">
        <v>6</v>
      </c>
      <c r="F392" t="s">
        <v>11</v>
      </c>
      <c r="G392">
        <v>24645</v>
      </c>
      <c r="H392">
        <v>1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f>SUM(Table1[[#This Row],[Gold Spending]]+Table1[[#This Row],[Sweet Spending]]+Table1[[#This Row],[Fish Spending]]+Table1[[#This Row],[Meat Spending]]+Table1[[#This Row],[Fruits Spending]]+Table1[[#This Row],[Wine Spending ]])</f>
        <v>17</v>
      </c>
      <c r="Q392">
        <v>1</v>
      </c>
      <c r="R392">
        <v>1</v>
      </c>
      <c r="S392">
        <v>0</v>
      </c>
      <c r="T392">
        <v>2</v>
      </c>
      <c r="U392">
        <f>SUM(Table1[[#This Row],[Store_Purchases]]+Table1[[#This Row],[Catalog_Purchases]]+Table1[[#This Row],[Web_Purchases]]+Table1[[#This Row],[Deal_Purchases]])</f>
        <v>4</v>
      </c>
      <c r="V392">
        <v>8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f>SUM(Table1[[#This Row],[Accepted_Campaign_2]]+Table1[[#This Row],[Accepted_Campaign_1]]+Table1[[#This Row],[Accepted_Campaign_5]]+Table1[[#This Row],[Accepted_Campaign_4]]+Table1[[#This Row],[Accepted_Campaign_3]])</f>
        <v>0</v>
      </c>
      <c r="AC392">
        <v>0</v>
      </c>
      <c r="AD392">
        <v>0</v>
      </c>
    </row>
    <row r="393" spans="1:30" x14ac:dyDescent="0.25">
      <c r="A393">
        <v>41198</v>
      </c>
      <c r="B393">
        <v>9653</v>
      </c>
      <c r="C393">
        <v>1975</v>
      </c>
      <c r="D393" t="s">
        <v>20</v>
      </c>
      <c r="E393" t="s">
        <v>6</v>
      </c>
      <c r="F393" t="s">
        <v>11</v>
      </c>
      <c r="G393">
        <v>35797</v>
      </c>
      <c r="H393">
        <v>1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f>SUM(Table1[[#This Row],[Gold Spending]]+Table1[[#This Row],[Sweet Spending]]+Table1[[#This Row],[Fish Spending]]+Table1[[#This Row],[Meat Spending]]+Table1[[#This Row],[Fruits Spending]]+Table1[[#This Row],[Wine Spending ]])</f>
        <v>68</v>
      </c>
      <c r="Q393">
        <v>2</v>
      </c>
      <c r="R393">
        <v>2</v>
      </c>
      <c r="S393">
        <v>0</v>
      </c>
      <c r="T393">
        <v>3</v>
      </c>
      <c r="U393">
        <f>SUM(Table1[[#This Row],[Store_Purchases]]+Table1[[#This Row],[Catalog_Purchases]]+Table1[[#This Row],[Web_Purchases]]+Table1[[#This Row],[Deal_Purchases]])</f>
        <v>7</v>
      </c>
      <c r="V393">
        <v>8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f>SUM(Table1[[#This Row],[Accepted_Campaign_2]]+Table1[[#This Row],[Accepted_Campaign_1]]+Table1[[#This Row],[Accepted_Campaign_5]]+Table1[[#This Row],[Accepted_Campaign_4]]+Table1[[#This Row],[Accepted_Campaign_3]])</f>
        <v>0</v>
      </c>
      <c r="AC393">
        <v>0</v>
      </c>
      <c r="AD393">
        <v>0</v>
      </c>
    </row>
    <row r="394" spans="1:30" x14ac:dyDescent="0.25">
      <c r="A394">
        <v>41809</v>
      </c>
      <c r="B394">
        <v>10785</v>
      </c>
      <c r="C394">
        <v>1969</v>
      </c>
      <c r="D394" t="s">
        <v>20</v>
      </c>
      <c r="E394" t="s">
        <v>6</v>
      </c>
      <c r="F394" t="s">
        <v>11</v>
      </c>
      <c r="G394">
        <v>44078</v>
      </c>
      <c r="H394">
        <v>2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f>SUM(Table1[[#This Row],[Gold Spending]]+Table1[[#This Row],[Sweet Spending]]+Table1[[#This Row],[Fish Spending]]+Table1[[#This Row],[Meat Spending]]+Table1[[#This Row],[Fruits Spending]]+Table1[[#This Row],[Wine Spending ]])</f>
        <v>41</v>
      </c>
      <c r="Q394">
        <v>2</v>
      </c>
      <c r="R394">
        <v>2</v>
      </c>
      <c r="S394">
        <v>0</v>
      </c>
      <c r="T394">
        <v>3</v>
      </c>
      <c r="U394">
        <f>SUM(Table1[[#This Row],[Store_Purchases]]+Table1[[#This Row],[Catalog_Purchases]]+Table1[[#This Row],[Web_Purchases]]+Table1[[#This Row],[Deal_Purchases]])</f>
        <v>7</v>
      </c>
      <c r="V394">
        <v>5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f>SUM(Table1[[#This Row],[Accepted_Campaign_2]]+Table1[[#This Row],[Accepted_Campaign_1]]+Table1[[#This Row],[Accepted_Campaign_5]]+Table1[[#This Row],[Accepted_Campaign_4]]+Table1[[#This Row],[Accepted_Campaign_3]])</f>
        <v>0</v>
      </c>
      <c r="AC394">
        <v>0</v>
      </c>
      <c r="AD394">
        <v>0</v>
      </c>
    </row>
    <row r="395" spans="1:30" x14ac:dyDescent="0.25">
      <c r="A395">
        <v>41767</v>
      </c>
      <c r="B395">
        <v>9392</v>
      </c>
      <c r="C395">
        <v>1971</v>
      </c>
      <c r="D395" t="s">
        <v>8</v>
      </c>
      <c r="E395" t="s">
        <v>6</v>
      </c>
      <c r="F395" t="s">
        <v>9</v>
      </c>
      <c r="G395">
        <v>26954</v>
      </c>
      <c r="H395">
        <v>1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f>SUM(Table1[[#This Row],[Gold Spending]]+Table1[[#This Row],[Sweet Spending]]+Table1[[#This Row],[Fish Spending]]+Table1[[#This Row],[Meat Spending]]+Table1[[#This Row],[Fruits Spending]]+Table1[[#This Row],[Wine Spending ]])</f>
        <v>17</v>
      </c>
      <c r="Q395">
        <v>1</v>
      </c>
      <c r="R395">
        <v>1</v>
      </c>
      <c r="S395">
        <v>0</v>
      </c>
      <c r="T395">
        <v>2</v>
      </c>
      <c r="U395">
        <f>SUM(Table1[[#This Row],[Store_Purchases]]+Table1[[#This Row],[Catalog_Purchases]]+Table1[[#This Row],[Web_Purchases]]+Table1[[#This Row],[Deal_Purchases]])</f>
        <v>4</v>
      </c>
      <c r="V395">
        <v>7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f>SUM(Table1[[#This Row],[Accepted_Campaign_2]]+Table1[[#This Row],[Accepted_Campaign_1]]+Table1[[#This Row],[Accepted_Campaign_5]]+Table1[[#This Row],[Accepted_Campaign_4]]+Table1[[#This Row],[Accepted_Campaign_3]])</f>
        <v>0</v>
      </c>
      <c r="AC395">
        <v>0</v>
      </c>
      <c r="AD395">
        <v>0</v>
      </c>
    </row>
    <row r="396" spans="1:30" x14ac:dyDescent="0.25">
      <c r="A396">
        <v>41700</v>
      </c>
      <c r="B396">
        <v>3769</v>
      </c>
      <c r="C396">
        <v>1972</v>
      </c>
      <c r="D396" t="s">
        <v>13</v>
      </c>
      <c r="E396" t="s">
        <v>14</v>
      </c>
      <c r="F396" t="s">
        <v>12</v>
      </c>
      <c r="G396">
        <v>53790.45</v>
      </c>
      <c r="H396">
        <v>1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f>SUM(Table1[[#This Row],[Gold Spending]]+Table1[[#This Row],[Sweet Spending]]+Table1[[#This Row],[Fish Spending]]+Table1[[#This Row],[Meat Spending]]+Table1[[#This Row],[Fruits Spending]]+Table1[[#This Row],[Wine Spending ]])</f>
        <v>42</v>
      </c>
      <c r="Q396">
        <v>1</v>
      </c>
      <c r="R396">
        <v>1</v>
      </c>
      <c r="S396">
        <v>0</v>
      </c>
      <c r="T396">
        <v>3</v>
      </c>
      <c r="U396">
        <f>SUM(Table1[[#This Row],[Store_Purchases]]+Table1[[#This Row],[Catalog_Purchases]]+Table1[[#This Row],[Web_Purchases]]+Table1[[#This Row],[Deal_Purchases]])</f>
        <v>5</v>
      </c>
      <c r="V396">
        <v>7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f>SUM(Table1[[#This Row],[Accepted_Campaign_2]]+Table1[[#This Row],[Accepted_Campaign_1]]+Table1[[#This Row],[Accepted_Campaign_5]]+Table1[[#This Row],[Accepted_Campaign_4]]+Table1[[#This Row],[Accepted_Campaign_3]])</f>
        <v>0</v>
      </c>
      <c r="AC396">
        <v>0</v>
      </c>
      <c r="AD396">
        <v>0</v>
      </c>
    </row>
    <row r="397" spans="1:30" x14ac:dyDescent="0.25">
      <c r="A397">
        <v>41700</v>
      </c>
      <c r="B397">
        <v>10146</v>
      </c>
      <c r="C397">
        <v>1972</v>
      </c>
      <c r="D397" t="s">
        <v>13</v>
      </c>
      <c r="E397" t="s">
        <v>14</v>
      </c>
      <c r="F397" t="s">
        <v>12</v>
      </c>
      <c r="G397">
        <v>38887</v>
      </c>
      <c r="H397">
        <v>1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f>SUM(Table1[[#This Row],[Gold Spending]]+Table1[[#This Row],[Sweet Spending]]+Table1[[#This Row],[Fish Spending]]+Table1[[#This Row],[Meat Spending]]+Table1[[#This Row],[Fruits Spending]]+Table1[[#This Row],[Wine Spending ]])</f>
        <v>42</v>
      </c>
      <c r="Q397">
        <v>1</v>
      </c>
      <c r="R397">
        <v>1</v>
      </c>
      <c r="S397">
        <v>0</v>
      </c>
      <c r="T397">
        <v>3</v>
      </c>
      <c r="U397">
        <f>SUM(Table1[[#This Row],[Store_Purchases]]+Table1[[#This Row],[Catalog_Purchases]]+Table1[[#This Row],[Web_Purchases]]+Table1[[#This Row],[Deal_Purchases]])</f>
        <v>5</v>
      </c>
      <c r="V397">
        <v>7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f>SUM(Table1[[#This Row],[Accepted_Campaign_2]]+Table1[[#This Row],[Accepted_Campaign_1]]+Table1[[#This Row],[Accepted_Campaign_5]]+Table1[[#This Row],[Accepted_Campaign_4]]+Table1[[#This Row],[Accepted_Campaign_3]])</f>
        <v>0</v>
      </c>
      <c r="AC397">
        <v>0</v>
      </c>
      <c r="AD397">
        <v>0</v>
      </c>
    </row>
    <row r="398" spans="1:30" x14ac:dyDescent="0.25">
      <c r="A398">
        <v>41669</v>
      </c>
      <c r="B398">
        <v>4741</v>
      </c>
      <c r="C398">
        <v>1974</v>
      </c>
      <c r="D398" t="s">
        <v>8</v>
      </c>
      <c r="E398" t="s">
        <v>15</v>
      </c>
      <c r="F398" t="s">
        <v>11</v>
      </c>
      <c r="G398">
        <v>65463</v>
      </c>
      <c r="H398">
        <v>1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f>SUM(Table1[[#This Row],[Gold Spending]]+Table1[[#This Row],[Sweet Spending]]+Table1[[#This Row],[Fish Spending]]+Table1[[#This Row],[Meat Spending]]+Table1[[#This Row],[Fruits Spending]]+Table1[[#This Row],[Wine Spending ]])</f>
        <v>562</v>
      </c>
      <c r="Q398">
        <v>2</v>
      </c>
      <c r="R398">
        <v>6</v>
      </c>
      <c r="S398">
        <v>2</v>
      </c>
      <c r="T398">
        <v>9</v>
      </c>
      <c r="U398">
        <f>SUM(Table1[[#This Row],[Store_Purchases]]+Table1[[#This Row],[Catalog_Purchases]]+Table1[[#This Row],[Web_Purchases]]+Table1[[#This Row],[Deal_Purchases]])</f>
        <v>19</v>
      </c>
      <c r="V398">
        <v>5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f>SUM(Table1[[#This Row],[Accepted_Campaign_2]]+Table1[[#This Row],[Accepted_Campaign_1]]+Table1[[#This Row],[Accepted_Campaign_5]]+Table1[[#This Row],[Accepted_Campaign_4]]+Table1[[#This Row],[Accepted_Campaign_3]])</f>
        <v>1</v>
      </c>
      <c r="AC398">
        <v>0</v>
      </c>
      <c r="AD398">
        <v>0</v>
      </c>
    </row>
    <row r="399" spans="1:30" x14ac:dyDescent="0.25">
      <c r="A399">
        <v>41669</v>
      </c>
      <c r="B399">
        <v>1880</v>
      </c>
      <c r="C399">
        <v>1959</v>
      </c>
      <c r="D399" t="s">
        <v>17</v>
      </c>
      <c r="E399" t="s">
        <v>14</v>
      </c>
      <c r="F399" t="s">
        <v>12</v>
      </c>
      <c r="G399">
        <v>53537</v>
      </c>
      <c r="H399">
        <v>2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f>SUM(Table1[[#This Row],[Gold Spending]]+Table1[[#This Row],[Sweet Spending]]+Table1[[#This Row],[Fish Spending]]+Table1[[#This Row],[Meat Spending]]+Table1[[#This Row],[Fruits Spending]]+Table1[[#This Row],[Wine Spending ]])</f>
        <v>93</v>
      </c>
      <c r="Q399">
        <v>2</v>
      </c>
      <c r="R399">
        <v>2</v>
      </c>
      <c r="S399">
        <v>1</v>
      </c>
      <c r="T399">
        <v>3</v>
      </c>
      <c r="U399">
        <f>SUM(Table1[[#This Row],[Store_Purchases]]+Table1[[#This Row],[Catalog_Purchases]]+Table1[[#This Row],[Web_Purchases]]+Table1[[#This Row],[Deal_Purchases]])</f>
        <v>8</v>
      </c>
      <c r="V399">
        <v>5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f>SUM(Table1[[#This Row],[Accepted_Campaign_2]]+Table1[[#This Row],[Accepted_Campaign_1]]+Table1[[#This Row],[Accepted_Campaign_5]]+Table1[[#This Row],[Accepted_Campaign_4]]+Table1[[#This Row],[Accepted_Campaign_3]])</f>
        <v>0</v>
      </c>
      <c r="AC399">
        <v>0</v>
      </c>
      <c r="AD399">
        <v>0</v>
      </c>
    </row>
    <row r="400" spans="1:30" x14ac:dyDescent="0.25">
      <c r="A400">
        <v>41564</v>
      </c>
      <c r="B400">
        <v>6471</v>
      </c>
      <c r="C400">
        <v>1971</v>
      </c>
      <c r="D400" t="s">
        <v>8</v>
      </c>
      <c r="E400" t="s">
        <v>18</v>
      </c>
      <c r="F400" t="s">
        <v>9</v>
      </c>
      <c r="G400">
        <v>36230</v>
      </c>
      <c r="H400">
        <v>1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f>SUM(Table1[[#This Row],[Gold Spending]]+Table1[[#This Row],[Sweet Spending]]+Table1[[#This Row],[Fish Spending]]+Table1[[#This Row],[Meat Spending]]+Table1[[#This Row],[Fruits Spending]]+Table1[[#This Row],[Wine Spending ]])</f>
        <v>59</v>
      </c>
      <c r="Q400">
        <v>1</v>
      </c>
      <c r="R400">
        <v>2</v>
      </c>
      <c r="S400">
        <v>0</v>
      </c>
      <c r="T400">
        <v>4</v>
      </c>
      <c r="U400">
        <f>SUM(Table1[[#This Row],[Store_Purchases]]+Table1[[#This Row],[Catalog_Purchases]]+Table1[[#This Row],[Web_Purchases]]+Table1[[#This Row],[Deal_Purchases]])</f>
        <v>7</v>
      </c>
      <c r="V400">
        <v>5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f>SUM(Table1[[#This Row],[Accepted_Campaign_2]]+Table1[[#This Row],[Accepted_Campaign_1]]+Table1[[#This Row],[Accepted_Campaign_5]]+Table1[[#This Row],[Accepted_Campaign_4]]+Table1[[#This Row],[Accepted_Campaign_3]])</f>
        <v>0</v>
      </c>
      <c r="AC400">
        <v>0</v>
      </c>
      <c r="AD400">
        <v>0</v>
      </c>
    </row>
    <row r="401" spans="1:30" x14ac:dyDescent="0.25">
      <c r="A401">
        <v>41501</v>
      </c>
      <c r="B401">
        <v>5718</v>
      </c>
      <c r="C401">
        <v>1950</v>
      </c>
      <c r="D401" t="s">
        <v>20</v>
      </c>
      <c r="E401" t="s">
        <v>6</v>
      </c>
      <c r="F401" t="s">
        <v>11</v>
      </c>
      <c r="G401">
        <v>80763</v>
      </c>
      <c r="H401">
        <v>0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f>SUM(Table1[[#This Row],[Gold Spending]]+Table1[[#This Row],[Sweet Spending]]+Table1[[#This Row],[Fish Spending]]+Table1[[#This Row],[Meat Spending]]+Table1[[#This Row],[Fruits Spending]]+Table1[[#This Row],[Wine Spending ]])</f>
        <v>1415</v>
      </c>
      <c r="Q401">
        <v>1</v>
      </c>
      <c r="R401">
        <v>5</v>
      </c>
      <c r="S401">
        <v>11</v>
      </c>
      <c r="T401">
        <v>6</v>
      </c>
      <c r="U401">
        <f>SUM(Table1[[#This Row],[Store_Purchases]]+Table1[[#This Row],[Catalog_Purchases]]+Table1[[#This Row],[Web_Purchases]]+Table1[[#This Row],[Deal_Purchases]])</f>
        <v>23</v>
      </c>
      <c r="V401">
        <v>3</v>
      </c>
      <c r="W401">
        <v>0</v>
      </c>
      <c r="X401">
        <v>0</v>
      </c>
      <c r="Y401">
        <v>1</v>
      </c>
      <c r="Z401">
        <v>1</v>
      </c>
      <c r="AA401">
        <v>0</v>
      </c>
      <c r="AB401">
        <f>SUM(Table1[[#This Row],[Accepted_Campaign_2]]+Table1[[#This Row],[Accepted_Campaign_1]]+Table1[[#This Row],[Accepted_Campaign_5]]+Table1[[#This Row],[Accepted_Campaign_4]]+Table1[[#This Row],[Accepted_Campaign_3]])</f>
        <v>2</v>
      </c>
      <c r="AC401">
        <v>1</v>
      </c>
      <c r="AD401">
        <v>0</v>
      </c>
    </row>
    <row r="402" spans="1:30" x14ac:dyDescent="0.25">
      <c r="A402">
        <v>41449</v>
      </c>
      <c r="B402">
        <v>3478</v>
      </c>
      <c r="C402">
        <v>1971</v>
      </c>
      <c r="D402" t="s">
        <v>10</v>
      </c>
      <c r="E402" t="s">
        <v>14</v>
      </c>
      <c r="F402" t="s">
        <v>11</v>
      </c>
      <c r="G402">
        <v>60585</v>
      </c>
      <c r="H402">
        <v>2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f>SUM(Table1[[#This Row],[Gold Spending]]+Table1[[#This Row],[Sweet Spending]]+Table1[[#This Row],[Fish Spending]]+Table1[[#This Row],[Meat Spending]]+Table1[[#This Row],[Fruits Spending]]+Table1[[#This Row],[Wine Spending ]])</f>
        <v>736</v>
      </c>
      <c r="Q402">
        <v>10</v>
      </c>
      <c r="R402">
        <v>7</v>
      </c>
      <c r="S402">
        <v>4</v>
      </c>
      <c r="T402">
        <v>9</v>
      </c>
      <c r="U402">
        <f>SUM(Table1[[#This Row],[Store_Purchases]]+Table1[[#This Row],[Catalog_Purchases]]+Table1[[#This Row],[Web_Purchases]]+Table1[[#This Row],[Deal_Purchases]])</f>
        <v>30</v>
      </c>
      <c r="V402">
        <v>5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f>SUM(Table1[[#This Row],[Accepted_Campaign_2]]+Table1[[#This Row],[Accepted_Campaign_1]]+Table1[[#This Row],[Accepted_Campaign_5]]+Table1[[#This Row],[Accepted_Campaign_4]]+Table1[[#This Row],[Accepted_Campaign_3]])</f>
        <v>0</v>
      </c>
      <c r="AC402">
        <v>1</v>
      </c>
      <c r="AD402">
        <v>0</v>
      </c>
    </row>
    <row r="403" spans="1:30" x14ac:dyDescent="0.25">
      <c r="A403">
        <v>41438</v>
      </c>
      <c r="B403">
        <v>7848</v>
      </c>
      <c r="C403">
        <v>1974</v>
      </c>
      <c r="D403" t="s">
        <v>17</v>
      </c>
      <c r="E403" t="s">
        <v>6</v>
      </c>
      <c r="F403" t="s">
        <v>9</v>
      </c>
      <c r="G403">
        <v>49166</v>
      </c>
      <c r="H403">
        <v>1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f>SUM(Table1[[#This Row],[Gold Spending]]+Table1[[#This Row],[Sweet Spending]]+Table1[[#This Row],[Fish Spending]]+Table1[[#This Row],[Meat Spending]]+Table1[[#This Row],[Fruits Spending]]+Table1[[#This Row],[Wine Spending ]])</f>
        <v>368</v>
      </c>
      <c r="Q403">
        <v>2</v>
      </c>
      <c r="R403">
        <v>5</v>
      </c>
      <c r="S403">
        <v>3</v>
      </c>
      <c r="T403">
        <v>3</v>
      </c>
      <c r="U403">
        <f>SUM(Table1[[#This Row],[Store_Purchases]]+Table1[[#This Row],[Catalog_Purchases]]+Table1[[#This Row],[Web_Purchases]]+Table1[[#This Row],[Deal_Purchases]])</f>
        <v>13</v>
      </c>
      <c r="V403">
        <v>6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f>SUM(Table1[[#This Row],[Accepted_Campaign_2]]+Table1[[#This Row],[Accepted_Campaign_1]]+Table1[[#This Row],[Accepted_Campaign_5]]+Table1[[#This Row],[Accepted_Campaign_4]]+Table1[[#This Row],[Accepted_Campaign_3]])</f>
        <v>0</v>
      </c>
      <c r="AC403">
        <v>0</v>
      </c>
      <c r="AD403">
        <v>0</v>
      </c>
    </row>
    <row r="404" spans="1:30" x14ac:dyDescent="0.25">
      <c r="A404">
        <v>41387</v>
      </c>
      <c r="B404">
        <v>7999</v>
      </c>
      <c r="C404">
        <v>1955</v>
      </c>
      <c r="D404" t="s">
        <v>8</v>
      </c>
      <c r="E404" t="s">
        <v>14</v>
      </c>
      <c r="F404" t="s">
        <v>12</v>
      </c>
      <c r="G404">
        <v>75261</v>
      </c>
      <c r="H404">
        <v>0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f>SUM(Table1[[#This Row],[Gold Spending]]+Table1[[#This Row],[Sweet Spending]]+Table1[[#This Row],[Fish Spending]]+Table1[[#This Row],[Meat Spending]]+Table1[[#This Row],[Fruits Spending]]+Table1[[#This Row],[Wine Spending ]])</f>
        <v>1743</v>
      </c>
      <c r="Q404">
        <v>1</v>
      </c>
      <c r="R404">
        <v>5</v>
      </c>
      <c r="S404">
        <v>6</v>
      </c>
      <c r="T404">
        <v>5</v>
      </c>
      <c r="U404">
        <f>SUM(Table1[[#This Row],[Store_Purchases]]+Table1[[#This Row],[Catalog_Purchases]]+Table1[[#This Row],[Web_Purchases]]+Table1[[#This Row],[Deal_Purchases]])</f>
        <v>17</v>
      </c>
      <c r="V404">
        <v>2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f>SUM(Table1[[#This Row],[Accepted_Campaign_2]]+Table1[[#This Row],[Accepted_Campaign_1]]+Table1[[#This Row],[Accepted_Campaign_5]]+Table1[[#This Row],[Accepted_Campaign_4]]+Table1[[#This Row],[Accepted_Campaign_3]])</f>
        <v>2</v>
      </c>
      <c r="AC404">
        <v>1</v>
      </c>
      <c r="AD404">
        <v>0</v>
      </c>
    </row>
    <row r="405" spans="1:30" x14ac:dyDescent="0.25">
      <c r="A405">
        <v>41379</v>
      </c>
      <c r="B405">
        <v>11101</v>
      </c>
      <c r="C405">
        <v>1991</v>
      </c>
      <c r="D405" t="s">
        <v>13</v>
      </c>
      <c r="E405" t="s">
        <v>6</v>
      </c>
      <c r="F405" t="s">
        <v>12</v>
      </c>
      <c r="G405">
        <v>89891</v>
      </c>
      <c r="H405">
        <v>0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f>SUM(Table1[[#This Row],[Gold Spending]]+Table1[[#This Row],[Sweet Spending]]+Table1[[#This Row],[Fish Spending]]+Table1[[#This Row],[Meat Spending]]+Table1[[#This Row],[Fruits Spending]]+Table1[[#This Row],[Wine Spending ]])</f>
        <v>836</v>
      </c>
      <c r="Q405">
        <v>1</v>
      </c>
      <c r="R405">
        <v>11</v>
      </c>
      <c r="S405">
        <v>6</v>
      </c>
      <c r="T405">
        <v>8</v>
      </c>
      <c r="U405">
        <f>SUM(Table1[[#This Row],[Store_Purchases]]+Table1[[#This Row],[Catalog_Purchases]]+Table1[[#This Row],[Web_Purchases]]+Table1[[#This Row],[Deal_Purchases]])</f>
        <v>26</v>
      </c>
      <c r="V405">
        <v>4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f>SUM(Table1[[#This Row],[Accepted_Campaign_2]]+Table1[[#This Row],[Accepted_Campaign_1]]+Table1[[#This Row],[Accepted_Campaign_5]]+Table1[[#This Row],[Accepted_Campaign_4]]+Table1[[#This Row],[Accepted_Campaign_3]])</f>
        <v>1</v>
      </c>
      <c r="AC405">
        <v>0</v>
      </c>
      <c r="AD405">
        <v>0</v>
      </c>
    </row>
    <row r="406" spans="1:30" x14ac:dyDescent="0.25">
      <c r="A406">
        <v>41319</v>
      </c>
      <c r="B406">
        <v>9212</v>
      </c>
      <c r="C406">
        <v>1962</v>
      </c>
      <c r="D406" t="s">
        <v>8</v>
      </c>
      <c r="E406" t="s">
        <v>18</v>
      </c>
      <c r="F406" t="s">
        <v>11</v>
      </c>
      <c r="G406">
        <v>72828</v>
      </c>
      <c r="H406">
        <v>1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f>SUM(Table1[[#This Row],[Gold Spending]]+Table1[[#This Row],[Sweet Spending]]+Table1[[#This Row],[Fish Spending]]+Table1[[#This Row],[Meat Spending]]+Table1[[#This Row],[Fruits Spending]]+Table1[[#This Row],[Wine Spending ]])</f>
        <v>1678</v>
      </c>
      <c r="Q406">
        <v>6</v>
      </c>
      <c r="R406">
        <v>6</v>
      </c>
      <c r="S406">
        <v>3</v>
      </c>
      <c r="T406">
        <v>13</v>
      </c>
      <c r="U406">
        <f>SUM(Table1[[#This Row],[Store_Purchases]]+Table1[[#This Row],[Catalog_Purchases]]+Table1[[#This Row],[Web_Purchases]]+Table1[[#This Row],[Deal_Purchases]])</f>
        <v>28</v>
      </c>
      <c r="V406">
        <v>7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f>SUM(Table1[[#This Row],[Accepted_Campaign_2]]+Table1[[#This Row],[Accepted_Campaign_1]]+Table1[[#This Row],[Accepted_Campaign_5]]+Table1[[#This Row],[Accepted_Campaign_4]]+Table1[[#This Row],[Accepted_Campaign_3]])</f>
        <v>0</v>
      </c>
      <c r="AC406">
        <v>0</v>
      </c>
      <c r="AD406">
        <v>0</v>
      </c>
    </row>
    <row r="407" spans="1:30" x14ac:dyDescent="0.25">
      <c r="A407">
        <v>41303</v>
      </c>
      <c r="B407">
        <v>10983</v>
      </c>
      <c r="C407">
        <v>1952</v>
      </c>
      <c r="D407" t="s">
        <v>20</v>
      </c>
      <c r="E407" t="s">
        <v>6</v>
      </c>
      <c r="F407" t="s">
        <v>12</v>
      </c>
      <c r="G407">
        <v>75278</v>
      </c>
      <c r="H407">
        <v>0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f>SUM(Table1[[#This Row],[Gold Spending]]+Table1[[#This Row],[Sweet Spending]]+Table1[[#This Row],[Fish Spending]]+Table1[[#This Row],[Meat Spending]]+Table1[[#This Row],[Fruits Spending]]+Table1[[#This Row],[Wine Spending ]])</f>
        <v>930</v>
      </c>
      <c r="Q407">
        <v>1</v>
      </c>
      <c r="R407">
        <v>6</v>
      </c>
      <c r="S407">
        <v>3</v>
      </c>
      <c r="T407">
        <v>13</v>
      </c>
      <c r="U407">
        <f>SUM(Table1[[#This Row],[Store_Purchases]]+Table1[[#This Row],[Catalog_Purchases]]+Table1[[#This Row],[Web_Purchases]]+Table1[[#This Row],[Deal_Purchases]])</f>
        <v>23</v>
      </c>
      <c r="V407">
        <v>3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f>SUM(Table1[[#This Row],[Accepted_Campaign_2]]+Table1[[#This Row],[Accepted_Campaign_1]]+Table1[[#This Row],[Accepted_Campaign_5]]+Table1[[#This Row],[Accepted_Campaign_4]]+Table1[[#This Row],[Accepted_Campaign_3]])</f>
        <v>0</v>
      </c>
      <c r="AC407">
        <v>0</v>
      </c>
      <c r="AD407">
        <v>0</v>
      </c>
    </row>
    <row r="408" spans="1:30" x14ac:dyDescent="0.25">
      <c r="A408">
        <v>41262</v>
      </c>
      <c r="B408">
        <v>3629</v>
      </c>
      <c r="C408">
        <v>1978</v>
      </c>
      <c r="D408" t="s">
        <v>10</v>
      </c>
      <c r="E408" t="s">
        <v>6</v>
      </c>
      <c r="F408" t="s">
        <v>9</v>
      </c>
      <c r="G408">
        <v>38557</v>
      </c>
      <c r="H408">
        <v>1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f>SUM(Table1[[#This Row],[Gold Spending]]+Table1[[#This Row],[Sweet Spending]]+Table1[[#This Row],[Fish Spending]]+Table1[[#This Row],[Meat Spending]]+Table1[[#This Row],[Fruits Spending]]+Table1[[#This Row],[Wine Spending ]])</f>
        <v>145</v>
      </c>
      <c r="Q408">
        <v>2</v>
      </c>
      <c r="R408">
        <v>3</v>
      </c>
      <c r="S408">
        <v>1</v>
      </c>
      <c r="T408">
        <v>3</v>
      </c>
      <c r="U408">
        <f>SUM(Table1[[#This Row],[Store_Purchases]]+Table1[[#This Row],[Catalog_Purchases]]+Table1[[#This Row],[Web_Purchases]]+Table1[[#This Row],[Deal_Purchases]])</f>
        <v>9</v>
      </c>
      <c r="V408">
        <v>7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f>SUM(Table1[[#This Row],[Accepted_Campaign_2]]+Table1[[#This Row],[Accepted_Campaign_1]]+Table1[[#This Row],[Accepted_Campaign_5]]+Table1[[#This Row],[Accepted_Campaign_4]]+Table1[[#This Row],[Accepted_Campaign_3]])</f>
        <v>0</v>
      </c>
      <c r="AC408">
        <v>0</v>
      </c>
      <c r="AD408">
        <v>0</v>
      </c>
    </row>
    <row r="409" spans="1:30" x14ac:dyDescent="0.25">
      <c r="A409">
        <v>41212</v>
      </c>
      <c r="B409">
        <v>4673</v>
      </c>
      <c r="C409">
        <v>1963</v>
      </c>
      <c r="D409" t="s">
        <v>8</v>
      </c>
      <c r="E409" t="s">
        <v>14</v>
      </c>
      <c r="F409" t="s">
        <v>11</v>
      </c>
      <c r="G409">
        <v>81300</v>
      </c>
      <c r="H409">
        <v>1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f>SUM(Table1[[#This Row],[Gold Spending]]+Table1[[#This Row],[Sweet Spending]]+Table1[[#This Row],[Fish Spending]]+Table1[[#This Row],[Meat Spending]]+Table1[[#This Row],[Fruits Spending]]+Table1[[#This Row],[Wine Spending ]])</f>
        <v>1241</v>
      </c>
      <c r="Q409">
        <v>3</v>
      </c>
      <c r="R409">
        <v>10</v>
      </c>
      <c r="S409">
        <v>3</v>
      </c>
      <c r="T409">
        <v>5</v>
      </c>
      <c r="U409">
        <f>SUM(Table1[[#This Row],[Store_Purchases]]+Table1[[#This Row],[Catalog_Purchases]]+Table1[[#This Row],[Web_Purchases]]+Table1[[#This Row],[Deal_Purchases]])</f>
        <v>21</v>
      </c>
      <c r="V409">
        <v>5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f>SUM(Table1[[#This Row],[Accepted_Campaign_2]]+Table1[[#This Row],[Accepted_Campaign_1]]+Table1[[#This Row],[Accepted_Campaign_5]]+Table1[[#This Row],[Accepted_Campaign_4]]+Table1[[#This Row],[Accepted_Campaign_3]])</f>
        <v>1</v>
      </c>
      <c r="AC409">
        <v>1</v>
      </c>
      <c r="AD409">
        <v>0</v>
      </c>
    </row>
    <row r="410" spans="1:30" x14ac:dyDescent="0.25">
      <c r="A410">
        <v>41205</v>
      </c>
      <c r="B410">
        <v>796</v>
      </c>
      <c r="C410">
        <v>1965</v>
      </c>
      <c r="D410" t="s">
        <v>10</v>
      </c>
      <c r="E410" t="s">
        <v>15</v>
      </c>
      <c r="F410" t="s">
        <v>7</v>
      </c>
      <c r="G410">
        <v>60161</v>
      </c>
      <c r="H410">
        <v>1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f>SUM(Table1[[#This Row],[Gold Spending]]+Table1[[#This Row],[Sweet Spending]]+Table1[[#This Row],[Fish Spending]]+Table1[[#This Row],[Meat Spending]]+Table1[[#This Row],[Fruits Spending]]+Table1[[#This Row],[Wine Spending ]])</f>
        <v>1071</v>
      </c>
      <c r="Q410">
        <v>3</v>
      </c>
      <c r="R410">
        <v>11</v>
      </c>
      <c r="S410">
        <v>4</v>
      </c>
      <c r="T410">
        <v>8</v>
      </c>
      <c r="U410">
        <f>SUM(Table1[[#This Row],[Store_Purchases]]+Table1[[#This Row],[Catalog_Purchases]]+Table1[[#This Row],[Web_Purchases]]+Table1[[#This Row],[Deal_Purchases]])</f>
        <v>26</v>
      </c>
      <c r="V410">
        <v>8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f>SUM(Table1[[#This Row],[Accepted_Campaign_2]]+Table1[[#This Row],[Accepted_Campaign_1]]+Table1[[#This Row],[Accepted_Campaign_5]]+Table1[[#This Row],[Accepted_Campaign_4]]+Table1[[#This Row],[Accepted_Campaign_3]])</f>
        <v>0</v>
      </c>
      <c r="AC410">
        <v>0</v>
      </c>
      <c r="AD410">
        <v>0</v>
      </c>
    </row>
    <row r="411" spans="1:30" x14ac:dyDescent="0.25">
      <c r="A411">
        <v>41180</v>
      </c>
      <c r="B411">
        <v>618</v>
      </c>
      <c r="C411">
        <v>1977</v>
      </c>
      <c r="D411" t="s">
        <v>13</v>
      </c>
      <c r="E411" t="s">
        <v>14</v>
      </c>
      <c r="F411" t="s">
        <v>11</v>
      </c>
      <c r="G411">
        <v>69389</v>
      </c>
      <c r="H411">
        <v>1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f>SUM(Table1[[#This Row],[Gold Spending]]+Table1[[#This Row],[Sweet Spending]]+Table1[[#This Row],[Fish Spending]]+Table1[[#This Row],[Meat Spending]]+Table1[[#This Row],[Fruits Spending]]+Table1[[#This Row],[Wine Spending ]])</f>
        <v>797</v>
      </c>
      <c r="Q411">
        <v>1</v>
      </c>
      <c r="R411">
        <v>7</v>
      </c>
      <c r="S411">
        <v>2</v>
      </c>
      <c r="T411">
        <v>12</v>
      </c>
      <c r="U411">
        <f>SUM(Table1[[#This Row],[Store_Purchases]]+Table1[[#This Row],[Catalog_Purchases]]+Table1[[#This Row],[Web_Purchases]]+Table1[[#This Row],[Deal_Purchases]])</f>
        <v>22</v>
      </c>
      <c r="V411">
        <v>4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f>SUM(Table1[[#This Row],[Accepted_Campaign_2]]+Table1[[#This Row],[Accepted_Campaign_1]]+Table1[[#This Row],[Accepted_Campaign_5]]+Table1[[#This Row],[Accepted_Campaign_4]]+Table1[[#This Row],[Accepted_Campaign_3]])</f>
        <v>0</v>
      </c>
      <c r="AC411">
        <v>0</v>
      </c>
      <c r="AD411">
        <v>0</v>
      </c>
    </row>
    <row r="412" spans="1:30" x14ac:dyDescent="0.25">
      <c r="A412">
        <v>41162</v>
      </c>
      <c r="B412">
        <v>380</v>
      </c>
      <c r="C412">
        <v>1954</v>
      </c>
      <c r="D412" t="s">
        <v>20</v>
      </c>
      <c r="E412" t="s">
        <v>6</v>
      </c>
      <c r="F412" t="s">
        <v>7</v>
      </c>
      <c r="G412">
        <v>64497</v>
      </c>
      <c r="H412">
        <v>1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f>SUM(Table1[[#This Row],[Gold Spending]]+Table1[[#This Row],[Sweet Spending]]+Table1[[#This Row],[Fish Spending]]+Table1[[#This Row],[Meat Spending]]+Table1[[#This Row],[Fruits Spending]]+Table1[[#This Row],[Wine Spending ]])</f>
        <v>1804</v>
      </c>
      <c r="Q412">
        <v>5</v>
      </c>
      <c r="R412">
        <v>11</v>
      </c>
      <c r="S412">
        <v>4</v>
      </c>
      <c r="T412">
        <v>9</v>
      </c>
      <c r="U412">
        <f>SUM(Table1[[#This Row],[Store_Purchases]]+Table1[[#This Row],[Catalog_Purchases]]+Table1[[#This Row],[Web_Purchases]]+Table1[[#This Row],[Deal_Purchases]])</f>
        <v>29</v>
      </c>
      <c r="V412">
        <v>8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f>SUM(Table1[[#This Row],[Accepted_Campaign_2]]+Table1[[#This Row],[Accepted_Campaign_1]]+Table1[[#This Row],[Accepted_Campaign_5]]+Table1[[#This Row],[Accepted_Campaign_4]]+Table1[[#This Row],[Accepted_Campaign_3]])</f>
        <v>1</v>
      </c>
      <c r="AC412">
        <v>1</v>
      </c>
      <c r="AD412">
        <v>0</v>
      </c>
    </row>
    <row r="413" spans="1:30" x14ac:dyDescent="0.25">
      <c r="A413">
        <v>41132</v>
      </c>
      <c r="B413">
        <v>1092</v>
      </c>
      <c r="C413">
        <v>1980</v>
      </c>
      <c r="D413" t="s">
        <v>17</v>
      </c>
      <c r="E413" t="s">
        <v>6</v>
      </c>
      <c r="F413" t="s">
        <v>11</v>
      </c>
      <c r="G413">
        <v>61014</v>
      </c>
      <c r="H413">
        <v>1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f>SUM(Table1[[#This Row],[Gold Spending]]+Table1[[#This Row],[Sweet Spending]]+Table1[[#This Row],[Fish Spending]]+Table1[[#This Row],[Meat Spending]]+Table1[[#This Row],[Fruits Spending]]+Table1[[#This Row],[Wine Spending ]])</f>
        <v>1147</v>
      </c>
      <c r="Q413">
        <v>4</v>
      </c>
      <c r="R413">
        <v>9</v>
      </c>
      <c r="S413">
        <v>3</v>
      </c>
      <c r="T413">
        <v>4</v>
      </c>
      <c r="U413">
        <f>SUM(Table1[[#This Row],[Store_Purchases]]+Table1[[#This Row],[Catalog_Purchases]]+Table1[[#This Row],[Web_Purchases]]+Table1[[#This Row],[Deal_Purchases]])</f>
        <v>20</v>
      </c>
      <c r="V413">
        <v>7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f>SUM(Table1[[#This Row],[Accepted_Campaign_2]]+Table1[[#This Row],[Accepted_Campaign_1]]+Table1[[#This Row],[Accepted_Campaign_5]]+Table1[[#This Row],[Accepted_Campaign_4]]+Table1[[#This Row],[Accepted_Campaign_3]])</f>
        <v>0</v>
      </c>
      <c r="AC413">
        <v>0</v>
      </c>
      <c r="AD413">
        <v>0</v>
      </c>
    </row>
    <row r="414" spans="1:30" x14ac:dyDescent="0.25">
      <c r="A414">
        <v>41746</v>
      </c>
      <c r="B414">
        <v>8962</v>
      </c>
      <c r="C414">
        <v>1975</v>
      </c>
      <c r="D414" t="s">
        <v>20</v>
      </c>
      <c r="E414" t="s">
        <v>18</v>
      </c>
      <c r="F414" t="s">
        <v>11</v>
      </c>
      <c r="G414">
        <v>44319</v>
      </c>
      <c r="H414">
        <v>2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f>SUM(Table1[[#This Row],[Gold Spending]]+Table1[[#This Row],[Sweet Spending]]+Table1[[#This Row],[Fish Spending]]+Table1[[#This Row],[Meat Spending]]+Table1[[#This Row],[Fruits Spending]]+Table1[[#This Row],[Wine Spending ]])</f>
        <v>37</v>
      </c>
      <c r="Q414">
        <v>2</v>
      </c>
      <c r="R414">
        <v>2</v>
      </c>
      <c r="S414">
        <v>0</v>
      </c>
      <c r="T414">
        <v>3</v>
      </c>
      <c r="U414">
        <f>SUM(Table1[[#This Row],[Store_Purchases]]+Table1[[#This Row],[Catalog_Purchases]]+Table1[[#This Row],[Web_Purchases]]+Table1[[#This Row],[Deal_Purchases]])</f>
        <v>7</v>
      </c>
      <c r="V414">
        <v>5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f>SUM(Table1[[#This Row],[Accepted_Campaign_2]]+Table1[[#This Row],[Accepted_Campaign_1]]+Table1[[#This Row],[Accepted_Campaign_5]]+Table1[[#This Row],[Accepted_Campaign_4]]+Table1[[#This Row],[Accepted_Campaign_3]])</f>
        <v>0</v>
      </c>
      <c r="AC414">
        <v>0</v>
      </c>
      <c r="AD414">
        <v>0</v>
      </c>
    </row>
    <row r="415" spans="1:30" x14ac:dyDescent="0.25">
      <c r="A415">
        <v>41716</v>
      </c>
      <c r="B415">
        <v>8207</v>
      </c>
      <c r="C415">
        <v>1957</v>
      </c>
      <c r="D415" t="s">
        <v>10</v>
      </c>
      <c r="E415" t="s">
        <v>15</v>
      </c>
      <c r="F415" t="s">
        <v>11</v>
      </c>
      <c r="G415">
        <v>53233</v>
      </c>
      <c r="H415">
        <v>1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f>SUM(Table1[[#This Row],[Gold Spending]]+Table1[[#This Row],[Sweet Spending]]+Table1[[#This Row],[Fish Spending]]+Table1[[#This Row],[Meat Spending]]+Table1[[#This Row],[Fruits Spending]]+Table1[[#This Row],[Wine Spending ]])</f>
        <v>40</v>
      </c>
      <c r="Q415">
        <v>1</v>
      </c>
      <c r="R415">
        <v>1</v>
      </c>
      <c r="S415">
        <v>0</v>
      </c>
      <c r="T415">
        <v>3</v>
      </c>
      <c r="U415">
        <f>SUM(Table1[[#This Row],[Store_Purchases]]+Table1[[#This Row],[Catalog_Purchases]]+Table1[[#This Row],[Web_Purchases]]+Table1[[#This Row],[Deal_Purchases]])</f>
        <v>5</v>
      </c>
      <c r="V415">
        <v>4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f>SUM(Table1[[#This Row],[Accepted_Campaign_2]]+Table1[[#This Row],[Accepted_Campaign_1]]+Table1[[#This Row],[Accepted_Campaign_5]]+Table1[[#This Row],[Accepted_Campaign_4]]+Table1[[#This Row],[Accepted_Campaign_3]])</f>
        <v>0</v>
      </c>
      <c r="AC415">
        <v>0</v>
      </c>
      <c r="AD415">
        <v>0</v>
      </c>
    </row>
    <row r="416" spans="1:30" x14ac:dyDescent="0.25">
      <c r="A416">
        <v>41716</v>
      </c>
      <c r="B416">
        <v>6521</v>
      </c>
      <c r="C416">
        <v>1954</v>
      </c>
      <c r="D416" t="s">
        <v>20</v>
      </c>
      <c r="E416" t="s">
        <v>6</v>
      </c>
      <c r="F416" t="s">
        <v>12</v>
      </c>
      <c r="G416">
        <v>77972</v>
      </c>
      <c r="H416">
        <v>0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f>SUM(Table1[[#This Row],[Gold Spending]]+Table1[[#This Row],[Sweet Spending]]+Table1[[#This Row],[Fish Spending]]+Table1[[#This Row],[Meat Spending]]+Table1[[#This Row],[Fruits Spending]]+Table1[[#This Row],[Wine Spending ]])</f>
        <v>1101</v>
      </c>
      <c r="Q416">
        <v>1</v>
      </c>
      <c r="R416">
        <v>4</v>
      </c>
      <c r="S416">
        <v>6</v>
      </c>
      <c r="T416">
        <v>9</v>
      </c>
      <c r="U416">
        <f>SUM(Table1[[#This Row],[Store_Purchases]]+Table1[[#This Row],[Catalog_Purchases]]+Table1[[#This Row],[Web_Purchases]]+Table1[[#This Row],[Deal_Purchases]])</f>
        <v>20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f>SUM(Table1[[#This Row],[Accepted_Campaign_2]]+Table1[[#This Row],[Accepted_Campaign_1]]+Table1[[#This Row],[Accepted_Campaign_5]]+Table1[[#This Row],[Accepted_Campaign_4]]+Table1[[#This Row],[Accepted_Campaign_3]])</f>
        <v>0</v>
      </c>
      <c r="AC416">
        <v>0</v>
      </c>
      <c r="AD416">
        <v>0</v>
      </c>
    </row>
    <row r="417" spans="1:30" x14ac:dyDescent="0.25">
      <c r="A417">
        <v>41695</v>
      </c>
      <c r="B417">
        <v>535</v>
      </c>
      <c r="C417">
        <v>1987</v>
      </c>
      <c r="D417" t="s">
        <v>16</v>
      </c>
      <c r="E417" t="s">
        <v>6</v>
      </c>
      <c r="F417" t="s">
        <v>7</v>
      </c>
      <c r="G417">
        <v>81361</v>
      </c>
      <c r="H417">
        <v>0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f>SUM(Table1[[#This Row],[Gold Spending]]+Table1[[#This Row],[Sweet Spending]]+Table1[[#This Row],[Fish Spending]]+Table1[[#This Row],[Meat Spending]]+Table1[[#This Row],[Fruits Spending]]+Table1[[#This Row],[Wine Spending ]])</f>
        <v>778</v>
      </c>
      <c r="Q417">
        <v>1</v>
      </c>
      <c r="R417">
        <v>3</v>
      </c>
      <c r="S417">
        <v>10</v>
      </c>
      <c r="T417">
        <v>13</v>
      </c>
      <c r="U417">
        <f>SUM(Table1[[#This Row],[Store_Purchases]]+Table1[[#This Row],[Catalog_Purchases]]+Table1[[#This Row],[Web_Purchases]]+Table1[[#This Row],[Deal_Purchases]])</f>
        <v>27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f>SUM(Table1[[#This Row],[Accepted_Campaign_2]]+Table1[[#This Row],[Accepted_Campaign_1]]+Table1[[#This Row],[Accepted_Campaign_5]]+Table1[[#This Row],[Accepted_Campaign_4]]+Table1[[#This Row],[Accepted_Campaign_3]])</f>
        <v>0</v>
      </c>
      <c r="AC417">
        <v>0</v>
      </c>
      <c r="AD417">
        <v>0</v>
      </c>
    </row>
    <row r="418" spans="1:30" x14ac:dyDescent="0.25">
      <c r="A418">
        <v>41695</v>
      </c>
      <c r="B418">
        <v>4608</v>
      </c>
      <c r="C418">
        <v>1987</v>
      </c>
      <c r="D418" t="s">
        <v>20</v>
      </c>
      <c r="E418" t="s">
        <v>6</v>
      </c>
      <c r="F418" t="s">
        <v>7</v>
      </c>
      <c r="G418">
        <v>81361</v>
      </c>
      <c r="H418">
        <v>0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f>SUM(Table1[[#This Row],[Gold Spending]]+Table1[[#This Row],[Sweet Spending]]+Table1[[#This Row],[Fish Spending]]+Table1[[#This Row],[Meat Spending]]+Table1[[#This Row],[Fruits Spending]]+Table1[[#This Row],[Wine Spending ]])</f>
        <v>778</v>
      </c>
      <c r="Q418">
        <v>1</v>
      </c>
      <c r="R418">
        <v>3</v>
      </c>
      <c r="S418">
        <v>10</v>
      </c>
      <c r="T418">
        <v>13</v>
      </c>
      <c r="U418">
        <f>SUM(Table1[[#This Row],[Store_Purchases]]+Table1[[#This Row],[Catalog_Purchases]]+Table1[[#This Row],[Web_Purchases]]+Table1[[#This Row],[Deal_Purchases]])</f>
        <v>27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f>SUM(Table1[[#This Row],[Accepted_Campaign_2]]+Table1[[#This Row],[Accepted_Campaign_1]]+Table1[[#This Row],[Accepted_Campaign_5]]+Table1[[#This Row],[Accepted_Campaign_4]]+Table1[[#This Row],[Accepted_Campaign_3]])</f>
        <v>0</v>
      </c>
      <c r="AC418">
        <v>1</v>
      </c>
      <c r="AD418">
        <v>0</v>
      </c>
    </row>
    <row r="419" spans="1:30" x14ac:dyDescent="0.25">
      <c r="A419">
        <v>41657</v>
      </c>
      <c r="B419">
        <v>11086</v>
      </c>
      <c r="C419">
        <v>1984</v>
      </c>
      <c r="D419" t="s">
        <v>8</v>
      </c>
      <c r="E419" t="s">
        <v>21</v>
      </c>
      <c r="F419" t="s">
        <v>9</v>
      </c>
      <c r="G419">
        <v>25707</v>
      </c>
      <c r="H419">
        <v>1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f>SUM(Table1[[#This Row],[Gold Spending]]+Table1[[#This Row],[Sweet Spending]]+Table1[[#This Row],[Fish Spending]]+Table1[[#This Row],[Meat Spending]]+Table1[[#This Row],[Fruits Spending]]+Table1[[#This Row],[Wine Spending ]])</f>
        <v>21</v>
      </c>
      <c r="Q419">
        <v>1</v>
      </c>
      <c r="R419">
        <v>1</v>
      </c>
      <c r="S419">
        <v>0</v>
      </c>
      <c r="T419">
        <v>3</v>
      </c>
      <c r="U419">
        <f>SUM(Table1[[#This Row],[Store_Purchases]]+Table1[[#This Row],[Catalog_Purchases]]+Table1[[#This Row],[Web_Purchases]]+Table1[[#This Row],[Deal_Purchases]])</f>
        <v>5</v>
      </c>
      <c r="V419">
        <v>7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f>SUM(Table1[[#This Row],[Accepted_Campaign_2]]+Table1[[#This Row],[Accepted_Campaign_1]]+Table1[[#This Row],[Accepted_Campaign_5]]+Table1[[#This Row],[Accepted_Campaign_4]]+Table1[[#This Row],[Accepted_Campaign_3]])</f>
        <v>0</v>
      </c>
      <c r="AC419">
        <v>0</v>
      </c>
      <c r="AD419">
        <v>0</v>
      </c>
    </row>
    <row r="420" spans="1:30" x14ac:dyDescent="0.25">
      <c r="A420">
        <v>41619</v>
      </c>
      <c r="B420">
        <v>1064</v>
      </c>
      <c r="C420">
        <v>1971</v>
      </c>
      <c r="D420" t="s">
        <v>8</v>
      </c>
      <c r="E420" t="s">
        <v>14</v>
      </c>
      <c r="F420" t="s">
        <v>11</v>
      </c>
      <c r="G420">
        <v>42403</v>
      </c>
      <c r="H420">
        <v>1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f>SUM(Table1[[#This Row],[Gold Spending]]+Table1[[#This Row],[Sweet Spending]]+Table1[[#This Row],[Fish Spending]]+Table1[[#This Row],[Meat Spending]]+Table1[[#This Row],[Fruits Spending]]+Table1[[#This Row],[Wine Spending ]])</f>
        <v>42</v>
      </c>
      <c r="Q420">
        <v>1</v>
      </c>
      <c r="R420">
        <v>1</v>
      </c>
      <c r="S420">
        <v>0</v>
      </c>
      <c r="T420">
        <v>3</v>
      </c>
      <c r="U420">
        <f>SUM(Table1[[#This Row],[Store_Purchases]]+Table1[[#This Row],[Catalog_Purchases]]+Table1[[#This Row],[Web_Purchases]]+Table1[[#This Row],[Deal_Purchases]])</f>
        <v>5</v>
      </c>
      <c r="V420">
        <v>8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>SUM(Table1[[#This Row],[Accepted_Campaign_2]]+Table1[[#This Row],[Accepted_Campaign_1]]+Table1[[#This Row],[Accepted_Campaign_5]]+Table1[[#This Row],[Accepted_Campaign_4]]+Table1[[#This Row],[Accepted_Campaign_3]])</f>
        <v>0</v>
      </c>
      <c r="AC420">
        <v>0</v>
      </c>
      <c r="AD420">
        <v>0</v>
      </c>
    </row>
    <row r="421" spans="1:30" x14ac:dyDescent="0.25">
      <c r="A421">
        <v>41560</v>
      </c>
      <c r="B421">
        <v>7000</v>
      </c>
      <c r="C421">
        <v>1972</v>
      </c>
      <c r="D421" t="s">
        <v>16</v>
      </c>
      <c r="E421" t="s">
        <v>15</v>
      </c>
      <c r="F421" t="s">
        <v>9</v>
      </c>
      <c r="G421">
        <v>65704</v>
      </c>
      <c r="H421">
        <v>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f>SUM(Table1[[#This Row],[Gold Spending]]+Table1[[#This Row],[Sweet Spending]]+Table1[[#This Row],[Fish Spending]]+Table1[[#This Row],[Meat Spending]]+Table1[[#This Row],[Fruits Spending]]+Table1[[#This Row],[Wine Spending ]])</f>
        <v>817</v>
      </c>
      <c r="Q421">
        <v>1</v>
      </c>
      <c r="R421">
        <v>2</v>
      </c>
      <c r="S421">
        <v>10</v>
      </c>
      <c r="T421">
        <v>10</v>
      </c>
      <c r="U421">
        <f>SUM(Table1[[#This Row],[Store_Purchases]]+Table1[[#This Row],[Catalog_Purchases]]+Table1[[#This Row],[Web_Purchases]]+Table1[[#This Row],[Deal_Purchases]])</f>
        <v>23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f>SUM(Table1[[#This Row],[Accepted_Campaign_2]]+Table1[[#This Row],[Accepted_Campaign_1]]+Table1[[#This Row],[Accepted_Campaign_5]]+Table1[[#This Row],[Accepted_Campaign_4]]+Table1[[#This Row],[Accepted_Campaign_3]])</f>
        <v>0</v>
      </c>
      <c r="AC421">
        <v>0</v>
      </c>
      <c r="AD421">
        <v>0</v>
      </c>
    </row>
    <row r="422" spans="1:30" x14ac:dyDescent="0.25">
      <c r="A422">
        <v>41557</v>
      </c>
      <c r="B422">
        <v>1581</v>
      </c>
      <c r="C422">
        <v>1980</v>
      </c>
      <c r="D422" t="s">
        <v>8</v>
      </c>
      <c r="E422" t="s">
        <v>6</v>
      </c>
      <c r="F422" t="s">
        <v>11</v>
      </c>
      <c r="G422">
        <v>37406</v>
      </c>
      <c r="H422">
        <v>1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f>SUM(Table1[[#This Row],[Gold Spending]]+Table1[[#This Row],[Sweet Spending]]+Table1[[#This Row],[Fish Spending]]+Table1[[#This Row],[Meat Spending]]+Table1[[#This Row],[Fruits Spending]]+Table1[[#This Row],[Wine Spending ]])</f>
        <v>17</v>
      </c>
      <c r="Q422">
        <v>1</v>
      </c>
      <c r="R422">
        <v>1</v>
      </c>
      <c r="S422">
        <v>0</v>
      </c>
      <c r="T422">
        <v>2</v>
      </c>
      <c r="U422">
        <f>SUM(Table1[[#This Row],[Store_Purchases]]+Table1[[#This Row],[Catalog_Purchases]]+Table1[[#This Row],[Web_Purchases]]+Table1[[#This Row],[Deal_Purchases]])</f>
        <v>4</v>
      </c>
      <c r="V422">
        <v>8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f>SUM(Table1[[#This Row],[Accepted_Campaign_2]]+Table1[[#This Row],[Accepted_Campaign_1]]+Table1[[#This Row],[Accepted_Campaign_5]]+Table1[[#This Row],[Accepted_Campaign_4]]+Table1[[#This Row],[Accepted_Campaign_3]])</f>
        <v>0</v>
      </c>
      <c r="AC422">
        <v>1</v>
      </c>
      <c r="AD422">
        <v>0</v>
      </c>
    </row>
    <row r="423" spans="1:30" x14ac:dyDescent="0.25">
      <c r="A423">
        <v>41476</v>
      </c>
      <c r="B423">
        <v>7384</v>
      </c>
      <c r="C423">
        <v>1951</v>
      </c>
      <c r="D423" t="s">
        <v>8</v>
      </c>
      <c r="E423" t="s">
        <v>18</v>
      </c>
      <c r="F423" t="s">
        <v>12</v>
      </c>
      <c r="G423">
        <v>39767</v>
      </c>
      <c r="H423">
        <v>0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f>SUM(Table1[[#This Row],[Gold Spending]]+Table1[[#This Row],[Sweet Spending]]+Table1[[#This Row],[Fish Spending]]+Table1[[#This Row],[Meat Spending]]+Table1[[#This Row],[Fruits Spending]]+Table1[[#This Row],[Wine Spending ]])</f>
        <v>485</v>
      </c>
      <c r="Q423">
        <v>2</v>
      </c>
      <c r="R423">
        <v>7</v>
      </c>
      <c r="S423">
        <v>1</v>
      </c>
      <c r="T423">
        <v>7</v>
      </c>
      <c r="U423">
        <f>SUM(Table1[[#This Row],[Store_Purchases]]+Table1[[#This Row],[Catalog_Purchases]]+Table1[[#This Row],[Web_Purchases]]+Table1[[#This Row],[Deal_Purchases]])</f>
        <v>17</v>
      </c>
      <c r="V423">
        <v>8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>SUM(Table1[[#This Row],[Accepted_Campaign_2]]+Table1[[#This Row],[Accepted_Campaign_1]]+Table1[[#This Row],[Accepted_Campaign_5]]+Table1[[#This Row],[Accepted_Campaign_4]]+Table1[[#This Row],[Accepted_Campaign_3]])</f>
        <v>0</v>
      </c>
      <c r="AC423">
        <v>0</v>
      </c>
      <c r="AD423">
        <v>0</v>
      </c>
    </row>
    <row r="424" spans="1:30" x14ac:dyDescent="0.25">
      <c r="A424">
        <v>41414</v>
      </c>
      <c r="B424">
        <v>10552</v>
      </c>
      <c r="C424">
        <v>1979</v>
      </c>
      <c r="D424" t="s">
        <v>8</v>
      </c>
      <c r="E424" t="s">
        <v>15</v>
      </c>
      <c r="F424" t="s">
        <v>11</v>
      </c>
      <c r="G424">
        <v>54210</v>
      </c>
      <c r="H424">
        <v>1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f>SUM(Table1[[#This Row],[Gold Spending]]+Table1[[#This Row],[Sweet Spending]]+Table1[[#This Row],[Fish Spending]]+Table1[[#This Row],[Meat Spending]]+Table1[[#This Row],[Fruits Spending]]+Table1[[#This Row],[Wine Spending ]])</f>
        <v>367</v>
      </c>
      <c r="Q424">
        <v>2</v>
      </c>
      <c r="R424">
        <v>4</v>
      </c>
      <c r="S424">
        <v>1</v>
      </c>
      <c r="T424">
        <v>7</v>
      </c>
      <c r="U424">
        <f>SUM(Table1[[#This Row],[Store_Purchases]]+Table1[[#This Row],[Catalog_Purchases]]+Table1[[#This Row],[Web_Purchases]]+Table1[[#This Row],[Deal_Purchases]])</f>
        <v>14</v>
      </c>
      <c r="V424">
        <v>5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f>SUM(Table1[[#This Row],[Accepted_Campaign_2]]+Table1[[#This Row],[Accepted_Campaign_1]]+Table1[[#This Row],[Accepted_Campaign_5]]+Table1[[#This Row],[Accepted_Campaign_4]]+Table1[[#This Row],[Accepted_Campaign_3]])</f>
        <v>0</v>
      </c>
      <c r="AC424">
        <v>0</v>
      </c>
      <c r="AD424">
        <v>0</v>
      </c>
    </row>
    <row r="425" spans="1:30" x14ac:dyDescent="0.25">
      <c r="A425">
        <v>41412</v>
      </c>
      <c r="B425">
        <v>6409</v>
      </c>
      <c r="C425">
        <v>1967</v>
      </c>
      <c r="D425" t="s">
        <v>20</v>
      </c>
      <c r="E425" t="s">
        <v>6</v>
      </c>
      <c r="F425" t="s">
        <v>7</v>
      </c>
      <c r="G425">
        <v>57136</v>
      </c>
      <c r="H425">
        <v>0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f>SUM(Table1[[#This Row],[Gold Spending]]+Table1[[#This Row],[Sweet Spending]]+Table1[[#This Row],[Fish Spending]]+Table1[[#This Row],[Meat Spending]]+Table1[[#This Row],[Fruits Spending]]+Table1[[#This Row],[Wine Spending ]])</f>
        <v>1179</v>
      </c>
      <c r="Q425">
        <v>1</v>
      </c>
      <c r="R425">
        <v>7</v>
      </c>
      <c r="S425">
        <v>5</v>
      </c>
      <c r="T425">
        <v>7</v>
      </c>
      <c r="U425">
        <f>SUM(Table1[[#This Row],[Store_Purchases]]+Table1[[#This Row],[Catalog_Purchases]]+Table1[[#This Row],[Web_Purchases]]+Table1[[#This Row],[Deal_Purchases]])</f>
        <v>20</v>
      </c>
      <c r="V425">
        <v>6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>SUM(Table1[[#This Row],[Accepted_Campaign_2]]+Table1[[#This Row],[Accepted_Campaign_1]]+Table1[[#This Row],[Accepted_Campaign_5]]+Table1[[#This Row],[Accepted_Campaign_4]]+Table1[[#This Row],[Accepted_Campaign_3]])</f>
        <v>0</v>
      </c>
      <c r="AC425">
        <v>1</v>
      </c>
      <c r="AD425">
        <v>0</v>
      </c>
    </row>
    <row r="426" spans="1:30" x14ac:dyDescent="0.25">
      <c r="A426">
        <v>41371</v>
      </c>
      <c r="B426">
        <v>9507</v>
      </c>
      <c r="C426">
        <v>1975</v>
      </c>
      <c r="D426" t="s">
        <v>8</v>
      </c>
      <c r="E426" t="s">
        <v>6</v>
      </c>
      <c r="F426" t="s">
        <v>11</v>
      </c>
      <c r="G426">
        <v>40794</v>
      </c>
      <c r="H426">
        <v>1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f>SUM(Table1[[#This Row],[Gold Spending]]+Table1[[#This Row],[Sweet Spending]]+Table1[[#This Row],[Fish Spending]]+Table1[[#This Row],[Meat Spending]]+Table1[[#This Row],[Fruits Spending]]+Table1[[#This Row],[Wine Spending ]])</f>
        <v>434</v>
      </c>
      <c r="Q426">
        <v>2</v>
      </c>
      <c r="R426">
        <v>6</v>
      </c>
      <c r="S426">
        <v>3</v>
      </c>
      <c r="T426">
        <v>5</v>
      </c>
      <c r="U426">
        <f>SUM(Table1[[#This Row],[Store_Purchases]]+Table1[[#This Row],[Catalog_Purchases]]+Table1[[#This Row],[Web_Purchases]]+Table1[[#This Row],[Deal_Purchases]])</f>
        <v>16</v>
      </c>
      <c r="V426">
        <v>7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f>SUM(Table1[[#This Row],[Accepted_Campaign_2]]+Table1[[#This Row],[Accepted_Campaign_1]]+Table1[[#This Row],[Accepted_Campaign_5]]+Table1[[#This Row],[Accepted_Campaign_4]]+Table1[[#This Row],[Accepted_Campaign_3]])</f>
        <v>0</v>
      </c>
      <c r="AC426">
        <v>0</v>
      </c>
      <c r="AD426">
        <v>0</v>
      </c>
    </row>
    <row r="427" spans="1:30" x14ac:dyDescent="0.25">
      <c r="A427">
        <v>41336</v>
      </c>
      <c r="B427">
        <v>9560</v>
      </c>
      <c r="C427">
        <v>1965</v>
      </c>
      <c r="D427" t="s">
        <v>8</v>
      </c>
      <c r="E427" t="s">
        <v>6</v>
      </c>
      <c r="F427" t="s">
        <v>12</v>
      </c>
      <c r="G427">
        <v>83003</v>
      </c>
      <c r="H427">
        <v>0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f>SUM(Table1[[#This Row],[Gold Spending]]+Table1[[#This Row],[Sweet Spending]]+Table1[[#This Row],[Fish Spending]]+Table1[[#This Row],[Meat Spending]]+Table1[[#This Row],[Fruits Spending]]+Table1[[#This Row],[Wine Spending ]])</f>
        <v>1674</v>
      </c>
      <c r="Q427">
        <v>1</v>
      </c>
      <c r="R427">
        <v>7</v>
      </c>
      <c r="S427">
        <v>6</v>
      </c>
      <c r="T427">
        <v>8</v>
      </c>
      <c r="U427">
        <f>SUM(Table1[[#This Row],[Store_Purchases]]+Table1[[#This Row],[Catalog_Purchases]]+Table1[[#This Row],[Web_Purchases]]+Table1[[#This Row],[Deal_Purchases]])</f>
        <v>22</v>
      </c>
      <c r="V427">
        <v>3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f>SUM(Table1[[#This Row],[Accepted_Campaign_2]]+Table1[[#This Row],[Accepted_Campaign_1]]+Table1[[#This Row],[Accepted_Campaign_5]]+Table1[[#This Row],[Accepted_Campaign_4]]+Table1[[#This Row],[Accepted_Campaign_3]])</f>
        <v>1</v>
      </c>
      <c r="AC427">
        <v>1</v>
      </c>
      <c r="AD427">
        <v>0</v>
      </c>
    </row>
    <row r="428" spans="1:30" x14ac:dyDescent="0.25">
      <c r="A428">
        <v>41250</v>
      </c>
      <c r="B428">
        <v>10991</v>
      </c>
      <c r="C428">
        <v>1960</v>
      </c>
      <c r="D428" t="s">
        <v>10</v>
      </c>
      <c r="E428" t="s">
        <v>18</v>
      </c>
      <c r="F428" t="s">
        <v>11</v>
      </c>
      <c r="G428">
        <v>89058</v>
      </c>
      <c r="H428">
        <v>0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f>SUM(Table1[[#This Row],[Gold Spending]]+Table1[[#This Row],[Sweet Spending]]+Table1[[#This Row],[Fish Spending]]+Table1[[#This Row],[Meat Spending]]+Table1[[#This Row],[Fruits Spending]]+Table1[[#This Row],[Wine Spending ]])</f>
        <v>850</v>
      </c>
      <c r="Q428">
        <v>1</v>
      </c>
      <c r="R428">
        <v>5</v>
      </c>
      <c r="S428">
        <v>4</v>
      </c>
      <c r="T428">
        <v>4</v>
      </c>
      <c r="U428">
        <f>SUM(Table1[[#This Row],[Store_Purchases]]+Table1[[#This Row],[Catalog_Purchases]]+Table1[[#This Row],[Web_Purchases]]+Table1[[#This Row],[Deal_Purchases]])</f>
        <v>14</v>
      </c>
      <c r="V428">
        <v>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f>SUM(Table1[[#This Row],[Accepted_Campaign_2]]+Table1[[#This Row],[Accepted_Campaign_1]]+Table1[[#This Row],[Accepted_Campaign_5]]+Table1[[#This Row],[Accepted_Campaign_4]]+Table1[[#This Row],[Accepted_Campaign_3]])</f>
        <v>0</v>
      </c>
      <c r="AC428">
        <v>0</v>
      </c>
      <c r="AD428">
        <v>0</v>
      </c>
    </row>
    <row r="429" spans="1:30" x14ac:dyDescent="0.25">
      <c r="A429">
        <v>41241</v>
      </c>
      <c r="B429">
        <v>4712</v>
      </c>
      <c r="C429">
        <v>1991</v>
      </c>
      <c r="D429" t="s">
        <v>8</v>
      </c>
      <c r="E429" t="s">
        <v>15</v>
      </c>
      <c r="F429" t="s">
        <v>12</v>
      </c>
      <c r="G429">
        <v>20193</v>
      </c>
      <c r="H429">
        <v>0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f>SUM(Table1[[#This Row],[Gold Spending]]+Table1[[#This Row],[Sweet Spending]]+Table1[[#This Row],[Fish Spending]]+Table1[[#This Row],[Meat Spending]]+Table1[[#This Row],[Fruits Spending]]+Table1[[#This Row],[Wine Spending ]])</f>
        <v>82</v>
      </c>
      <c r="Q429">
        <v>1</v>
      </c>
      <c r="R429">
        <v>1</v>
      </c>
      <c r="S429">
        <v>1</v>
      </c>
      <c r="T429">
        <v>4</v>
      </c>
      <c r="U429">
        <f>SUM(Table1[[#This Row],[Store_Purchases]]+Table1[[#This Row],[Catalog_Purchases]]+Table1[[#This Row],[Web_Purchases]]+Table1[[#This Row],[Deal_Purchases]])</f>
        <v>7</v>
      </c>
      <c r="V429">
        <v>4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f>SUM(Table1[[#This Row],[Accepted_Campaign_2]]+Table1[[#This Row],[Accepted_Campaign_1]]+Table1[[#This Row],[Accepted_Campaign_5]]+Table1[[#This Row],[Accepted_Campaign_4]]+Table1[[#This Row],[Accepted_Campaign_3]])</f>
        <v>0</v>
      </c>
      <c r="AC429">
        <v>0</v>
      </c>
      <c r="AD429">
        <v>0</v>
      </c>
    </row>
    <row r="430" spans="1:30" x14ac:dyDescent="0.25">
      <c r="A430">
        <v>41209</v>
      </c>
      <c r="B430">
        <v>11056</v>
      </c>
      <c r="C430">
        <v>1974</v>
      </c>
      <c r="D430" t="s">
        <v>8</v>
      </c>
      <c r="E430" t="s">
        <v>6</v>
      </c>
      <c r="F430" t="s">
        <v>11</v>
      </c>
      <c r="G430">
        <v>72099</v>
      </c>
      <c r="H430">
        <v>0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f>SUM(Table1[[#This Row],[Gold Spending]]+Table1[[#This Row],[Sweet Spending]]+Table1[[#This Row],[Fish Spending]]+Table1[[#This Row],[Meat Spending]]+Table1[[#This Row],[Fruits Spending]]+Table1[[#This Row],[Wine Spending ]])</f>
        <v>1188</v>
      </c>
      <c r="Q430">
        <v>1</v>
      </c>
      <c r="R430">
        <v>3</v>
      </c>
      <c r="S430">
        <v>4</v>
      </c>
      <c r="T430">
        <v>10</v>
      </c>
      <c r="U430">
        <f>SUM(Table1[[#This Row],[Store_Purchases]]+Table1[[#This Row],[Catalog_Purchases]]+Table1[[#This Row],[Web_Purchases]]+Table1[[#This Row],[Deal_Purchases]])</f>
        <v>18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f>SUM(Table1[[#This Row],[Accepted_Campaign_2]]+Table1[[#This Row],[Accepted_Campaign_1]]+Table1[[#This Row],[Accepted_Campaign_5]]+Table1[[#This Row],[Accepted_Campaign_4]]+Table1[[#This Row],[Accepted_Campaign_3]])</f>
        <v>0</v>
      </c>
      <c r="AC430">
        <v>0</v>
      </c>
      <c r="AD430">
        <v>0</v>
      </c>
    </row>
    <row r="431" spans="1:30" x14ac:dyDescent="0.25">
      <c r="A431">
        <v>41167</v>
      </c>
      <c r="B431">
        <v>7414</v>
      </c>
      <c r="C431">
        <v>1971</v>
      </c>
      <c r="D431" t="s">
        <v>8</v>
      </c>
      <c r="E431" t="s">
        <v>6</v>
      </c>
      <c r="F431" t="s">
        <v>11</v>
      </c>
      <c r="G431">
        <v>43824</v>
      </c>
      <c r="H431">
        <v>2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f>SUM(Table1[[#This Row],[Gold Spending]]+Table1[[#This Row],[Sweet Spending]]+Table1[[#This Row],[Fish Spending]]+Table1[[#This Row],[Meat Spending]]+Table1[[#This Row],[Fruits Spending]]+Table1[[#This Row],[Wine Spending ]])</f>
        <v>186</v>
      </c>
      <c r="Q431">
        <v>4</v>
      </c>
      <c r="R431">
        <v>3</v>
      </c>
      <c r="S431">
        <v>1</v>
      </c>
      <c r="T431">
        <v>4</v>
      </c>
      <c r="U431">
        <f>SUM(Table1[[#This Row],[Store_Purchases]]+Table1[[#This Row],[Catalog_Purchases]]+Table1[[#This Row],[Web_Purchases]]+Table1[[#This Row],[Deal_Purchases]])</f>
        <v>12</v>
      </c>
      <c r="V431">
        <v>8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f>SUM(Table1[[#This Row],[Accepted_Campaign_2]]+Table1[[#This Row],[Accepted_Campaign_1]]+Table1[[#This Row],[Accepted_Campaign_5]]+Table1[[#This Row],[Accepted_Campaign_4]]+Table1[[#This Row],[Accepted_Campaign_3]])</f>
        <v>0</v>
      </c>
      <c r="AC431">
        <v>0</v>
      </c>
      <c r="AD431">
        <v>0</v>
      </c>
    </row>
    <row r="432" spans="1:30" x14ac:dyDescent="0.25">
      <c r="A432">
        <v>41159</v>
      </c>
      <c r="B432">
        <v>3076</v>
      </c>
      <c r="C432">
        <v>1975</v>
      </c>
      <c r="D432" t="s">
        <v>13</v>
      </c>
      <c r="E432" t="s">
        <v>6</v>
      </c>
      <c r="F432" t="s">
        <v>12</v>
      </c>
      <c r="G432">
        <v>66653</v>
      </c>
      <c r="H432">
        <v>2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f>SUM(Table1[[#This Row],[Gold Spending]]+Table1[[#This Row],[Sweet Spending]]+Table1[[#This Row],[Fish Spending]]+Table1[[#This Row],[Meat Spending]]+Table1[[#This Row],[Fruits Spending]]+Table1[[#This Row],[Wine Spending ]])</f>
        <v>612</v>
      </c>
      <c r="Q432">
        <v>4</v>
      </c>
      <c r="R432">
        <v>4</v>
      </c>
      <c r="S432">
        <v>2</v>
      </c>
      <c r="T432">
        <v>12</v>
      </c>
      <c r="U432">
        <f>SUM(Table1[[#This Row],[Store_Purchases]]+Table1[[#This Row],[Catalog_Purchases]]+Table1[[#This Row],[Web_Purchases]]+Table1[[#This Row],[Deal_Purchases]])</f>
        <v>22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f>SUM(Table1[[#This Row],[Accepted_Campaign_2]]+Table1[[#This Row],[Accepted_Campaign_1]]+Table1[[#This Row],[Accepted_Campaign_5]]+Table1[[#This Row],[Accepted_Campaign_4]]+Table1[[#This Row],[Accepted_Campaign_3]])</f>
        <v>0</v>
      </c>
      <c r="AC432">
        <v>0</v>
      </c>
      <c r="AD432">
        <v>0</v>
      </c>
    </row>
    <row r="433" spans="1:30" x14ac:dyDescent="0.25">
      <c r="A433">
        <v>41807</v>
      </c>
      <c r="B433">
        <v>6355</v>
      </c>
      <c r="C433">
        <v>1978</v>
      </c>
      <c r="D433" t="s">
        <v>8</v>
      </c>
      <c r="E433" t="s">
        <v>6</v>
      </c>
      <c r="F433" t="s">
        <v>11</v>
      </c>
      <c r="G433">
        <v>44359</v>
      </c>
      <c r="H433">
        <v>2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f>SUM(Table1[[#This Row],[Gold Spending]]+Table1[[#This Row],[Sweet Spending]]+Table1[[#This Row],[Fish Spending]]+Table1[[#This Row],[Meat Spending]]+Table1[[#This Row],[Fruits Spending]]+Table1[[#This Row],[Wine Spending ]])</f>
        <v>45</v>
      </c>
      <c r="Q433">
        <v>3</v>
      </c>
      <c r="R433">
        <v>2</v>
      </c>
      <c r="S433">
        <v>0</v>
      </c>
      <c r="T433">
        <v>4</v>
      </c>
      <c r="U433">
        <f>SUM(Table1[[#This Row],[Store_Purchases]]+Table1[[#This Row],[Catalog_Purchases]]+Table1[[#This Row],[Web_Purchases]]+Table1[[#This Row],[Deal_Purchases]])</f>
        <v>9</v>
      </c>
      <c r="V433">
        <v>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f>SUM(Table1[[#This Row],[Accepted_Campaign_2]]+Table1[[#This Row],[Accepted_Campaign_1]]+Table1[[#This Row],[Accepted_Campaign_5]]+Table1[[#This Row],[Accepted_Campaign_4]]+Table1[[#This Row],[Accepted_Campaign_3]])</f>
        <v>0</v>
      </c>
      <c r="AC433">
        <v>0</v>
      </c>
      <c r="AD433">
        <v>0</v>
      </c>
    </row>
    <row r="434" spans="1:30" x14ac:dyDescent="0.25">
      <c r="A434">
        <v>41788</v>
      </c>
      <c r="B434">
        <v>7959</v>
      </c>
      <c r="C434">
        <v>1961</v>
      </c>
      <c r="D434" t="s">
        <v>8</v>
      </c>
      <c r="E434" t="s">
        <v>6</v>
      </c>
      <c r="F434" t="s">
        <v>11</v>
      </c>
      <c r="G434">
        <v>79410</v>
      </c>
      <c r="H434">
        <v>0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f>SUM(Table1[[#This Row],[Gold Spending]]+Table1[[#This Row],[Sweet Spending]]+Table1[[#This Row],[Fish Spending]]+Table1[[#This Row],[Meat Spending]]+Table1[[#This Row],[Fruits Spending]]+Table1[[#This Row],[Wine Spending ]])</f>
        <v>1370</v>
      </c>
      <c r="Q434">
        <v>1</v>
      </c>
      <c r="R434">
        <v>3</v>
      </c>
      <c r="S434">
        <v>2</v>
      </c>
      <c r="T434">
        <v>5</v>
      </c>
      <c r="U434">
        <f>SUM(Table1[[#This Row],[Store_Purchases]]+Table1[[#This Row],[Catalog_Purchases]]+Table1[[#This Row],[Web_Purchases]]+Table1[[#This Row],[Deal_Purchases]])</f>
        <v>11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f>SUM(Table1[[#This Row],[Accepted_Campaign_2]]+Table1[[#This Row],[Accepted_Campaign_1]]+Table1[[#This Row],[Accepted_Campaign_5]]+Table1[[#This Row],[Accepted_Campaign_4]]+Table1[[#This Row],[Accepted_Campaign_3]])</f>
        <v>0</v>
      </c>
      <c r="AC434">
        <v>0</v>
      </c>
      <c r="AD434">
        <v>0</v>
      </c>
    </row>
    <row r="435" spans="1:30" x14ac:dyDescent="0.25">
      <c r="A435">
        <v>41782</v>
      </c>
      <c r="B435">
        <v>5512</v>
      </c>
      <c r="C435">
        <v>1977</v>
      </c>
      <c r="D435" t="s">
        <v>8</v>
      </c>
      <c r="E435" t="s">
        <v>18</v>
      </c>
      <c r="F435" t="s">
        <v>11</v>
      </c>
      <c r="G435">
        <v>55842</v>
      </c>
      <c r="H435">
        <v>1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f>SUM(Table1[[#This Row],[Gold Spending]]+Table1[[#This Row],[Sweet Spending]]+Table1[[#This Row],[Fish Spending]]+Table1[[#This Row],[Meat Spending]]+Table1[[#This Row],[Fruits Spending]]+Table1[[#This Row],[Wine Spending ]])</f>
        <v>518</v>
      </c>
      <c r="Q435">
        <v>1</v>
      </c>
      <c r="R435">
        <v>7</v>
      </c>
      <c r="S435">
        <v>1</v>
      </c>
      <c r="T435">
        <v>8</v>
      </c>
      <c r="U435">
        <f>SUM(Table1[[#This Row],[Store_Purchases]]+Table1[[#This Row],[Catalog_Purchases]]+Table1[[#This Row],[Web_Purchases]]+Table1[[#This Row],[Deal_Purchases]])</f>
        <v>17</v>
      </c>
      <c r="V435">
        <v>5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f>SUM(Table1[[#This Row],[Accepted_Campaign_2]]+Table1[[#This Row],[Accepted_Campaign_1]]+Table1[[#This Row],[Accepted_Campaign_5]]+Table1[[#This Row],[Accepted_Campaign_4]]+Table1[[#This Row],[Accepted_Campaign_3]])</f>
        <v>0</v>
      </c>
      <c r="AC435">
        <v>0</v>
      </c>
      <c r="AD435">
        <v>0</v>
      </c>
    </row>
    <row r="436" spans="1:30" x14ac:dyDescent="0.25">
      <c r="A436">
        <v>41771</v>
      </c>
      <c r="B436">
        <v>10102</v>
      </c>
      <c r="C436">
        <v>1966</v>
      </c>
      <c r="D436" t="s">
        <v>20</v>
      </c>
      <c r="E436" t="s">
        <v>6</v>
      </c>
      <c r="F436" t="s">
        <v>19</v>
      </c>
      <c r="G436">
        <v>79946</v>
      </c>
      <c r="H436">
        <v>0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f>SUM(Table1[[#This Row],[Gold Spending]]+Table1[[#This Row],[Sweet Spending]]+Table1[[#This Row],[Fish Spending]]+Table1[[#This Row],[Meat Spending]]+Table1[[#This Row],[Fruits Spending]]+Table1[[#This Row],[Wine Spending ]])</f>
        <v>1478</v>
      </c>
      <c r="Q436">
        <v>1</v>
      </c>
      <c r="R436">
        <v>5</v>
      </c>
      <c r="S436">
        <v>11</v>
      </c>
      <c r="T436">
        <v>5</v>
      </c>
      <c r="U436">
        <f>SUM(Table1[[#This Row],[Store_Purchases]]+Table1[[#This Row],[Catalog_Purchases]]+Table1[[#This Row],[Web_Purchases]]+Table1[[#This Row],[Deal_Purchases]])</f>
        <v>22</v>
      </c>
      <c r="V436">
        <v>3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f>SUM(Table1[[#This Row],[Accepted_Campaign_2]]+Table1[[#This Row],[Accepted_Campaign_1]]+Table1[[#This Row],[Accepted_Campaign_5]]+Table1[[#This Row],[Accepted_Campaign_4]]+Table1[[#This Row],[Accepted_Campaign_3]])</f>
        <v>0</v>
      </c>
      <c r="AC436">
        <v>0</v>
      </c>
      <c r="AD436">
        <v>0</v>
      </c>
    </row>
    <row r="437" spans="1:30" x14ac:dyDescent="0.25">
      <c r="A437">
        <v>41717</v>
      </c>
      <c r="B437">
        <v>9369</v>
      </c>
      <c r="C437">
        <v>1979</v>
      </c>
      <c r="D437" t="s">
        <v>16</v>
      </c>
      <c r="E437" t="s">
        <v>15</v>
      </c>
      <c r="F437" t="s">
        <v>9</v>
      </c>
      <c r="G437">
        <v>88194</v>
      </c>
      <c r="H437">
        <v>1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f>SUM(Table1[[#This Row],[Gold Spending]]+Table1[[#This Row],[Sweet Spending]]+Table1[[#This Row],[Fish Spending]]+Table1[[#This Row],[Meat Spending]]+Table1[[#This Row],[Fruits Spending]]+Table1[[#This Row],[Wine Spending ]])</f>
        <v>1274</v>
      </c>
      <c r="Q437">
        <v>1</v>
      </c>
      <c r="R437">
        <v>11</v>
      </c>
      <c r="S437">
        <v>10</v>
      </c>
      <c r="T437">
        <v>10</v>
      </c>
      <c r="U437">
        <f>SUM(Table1[[#This Row],[Store_Purchases]]+Table1[[#This Row],[Catalog_Purchases]]+Table1[[#This Row],[Web_Purchases]]+Table1[[#This Row],[Deal_Purchases]])</f>
        <v>32</v>
      </c>
      <c r="V437">
        <v>5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f>SUM(Table1[[#This Row],[Accepted_Campaign_2]]+Table1[[#This Row],[Accepted_Campaign_1]]+Table1[[#This Row],[Accepted_Campaign_5]]+Table1[[#This Row],[Accepted_Campaign_4]]+Table1[[#This Row],[Accepted_Campaign_3]])</f>
        <v>2</v>
      </c>
      <c r="AC437">
        <v>1</v>
      </c>
      <c r="AD437">
        <v>0</v>
      </c>
    </row>
    <row r="438" spans="1:30" x14ac:dyDescent="0.25">
      <c r="A438">
        <v>41699</v>
      </c>
      <c r="B438">
        <v>3711</v>
      </c>
      <c r="C438">
        <v>1944</v>
      </c>
      <c r="D438" t="s">
        <v>8</v>
      </c>
      <c r="E438" t="s">
        <v>18</v>
      </c>
      <c r="F438" t="s">
        <v>11</v>
      </c>
      <c r="G438">
        <v>80184</v>
      </c>
      <c r="H438">
        <v>0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f>SUM(Table1[[#This Row],[Gold Spending]]+Table1[[#This Row],[Sweet Spending]]+Table1[[#This Row],[Fish Spending]]+Table1[[#This Row],[Meat Spending]]+Table1[[#This Row],[Fruits Spending]]+Table1[[#This Row],[Wine Spending ]])</f>
        <v>1902</v>
      </c>
      <c r="Q438">
        <v>1</v>
      </c>
      <c r="R438">
        <v>6</v>
      </c>
      <c r="S438">
        <v>3</v>
      </c>
      <c r="T438">
        <v>10</v>
      </c>
      <c r="U438">
        <f>SUM(Table1[[#This Row],[Store_Purchases]]+Table1[[#This Row],[Catalog_Purchases]]+Table1[[#This Row],[Web_Purchases]]+Table1[[#This Row],[Deal_Purchases]])</f>
        <v>20</v>
      </c>
      <c r="V438">
        <v>3</v>
      </c>
      <c r="W438">
        <v>0</v>
      </c>
      <c r="X438">
        <v>0</v>
      </c>
      <c r="Y438">
        <v>1</v>
      </c>
      <c r="Z438">
        <v>1</v>
      </c>
      <c r="AA438">
        <v>0</v>
      </c>
      <c r="AB438">
        <f>SUM(Table1[[#This Row],[Accepted_Campaign_2]]+Table1[[#This Row],[Accepted_Campaign_1]]+Table1[[#This Row],[Accepted_Campaign_5]]+Table1[[#This Row],[Accepted_Campaign_4]]+Table1[[#This Row],[Accepted_Campaign_3]])</f>
        <v>2</v>
      </c>
      <c r="AC438">
        <v>0</v>
      </c>
      <c r="AD438">
        <v>0</v>
      </c>
    </row>
    <row r="439" spans="1:30" x14ac:dyDescent="0.25">
      <c r="A439">
        <v>41685</v>
      </c>
      <c r="B439">
        <v>6931</v>
      </c>
      <c r="C439">
        <v>1967</v>
      </c>
      <c r="D439" t="s">
        <v>8</v>
      </c>
      <c r="E439" t="s">
        <v>6</v>
      </c>
      <c r="F439" t="s">
        <v>7</v>
      </c>
      <c r="G439">
        <v>76982</v>
      </c>
      <c r="H439">
        <v>0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f>SUM(Table1[[#This Row],[Gold Spending]]+Table1[[#This Row],[Sweet Spending]]+Table1[[#This Row],[Fish Spending]]+Table1[[#This Row],[Meat Spending]]+Table1[[#This Row],[Fruits Spending]]+Table1[[#This Row],[Wine Spending ]])</f>
        <v>1062</v>
      </c>
      <c r="Q439">
        <v>1</v>
      </c>
      <c r="R439">
        <v>8</v>
      </c>
      <c r="S439">
        <v>3</v>
      </c>
      <c r="T439">
        <v>4</v>
      </c>
      <c r="U439">
        <f>SUM(Table1[[#This Row],[Store_Purchases]]+Table1[[#This Row],[Catalog_Purchases]]+Table1[[#This Row],[Web_Purchases]]+Table1[[#This Row],[Deal_Purchases]])</f>
        <v>16</v>
      </c>
      <c r="V439">
        <v>4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f>SUM(Table1[[#This Row],[Accepted_Campaign_2]]+Table1[[#This Row],[Accepted_Campaign_1]]+Table1[[#This Row],[Accepted_Campaign_5]]+Table1[[#This Row],[Accepted_Campaign_4]]+Table1[[#This Row],[Accepted_Campaign_3]])</f>
        <v>1</v>
      </c>
      <c r="AC439">
        <v>1</v>
      </c>
      <c r="AD439">
        <v>0</v>
      </c>
    </row>
    <row r="440" spans="1:30" x14ac:dyDescent="0.25">
      <c r="A440">
        <v>41631</v>
      </c>
      <c r="B440">
        <v>9596</v>
      </c>
      <c r="C440">
        <v>1980</v>
      </c>
      <c r="D440" t="s">
        <v>63</v>
      </c>
      <c r="E440" t="s">
        <v>14</v>
      </c>
      <c r="F440" t="s">
        <v>9</v>
      </c>
      <c r="G440">
        <v>65295</v>
      </c>
      <c r="H440">
        <v>0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f>SUM(Table1[[#This Row],[Gold Spending]]+Table1[[#This Row],[Sweet Spending]]+Table1[[#This Row],[Fish Spending]]+Table1[[#This Row],[Meat Spending]]+Table1[[#This Row],[Fruits Spending]]+Table1[[#This Row],[Wine Spending ]])</f>
        <v>664</v>
      </c>
      <c r="Q440">
        <v>1</v>
      </c>
      <c r="R440">
        <v>3</v>
      </c>
      <c r="S440">
        <v>3</v>
      </c>
      <c r="T440">
        <v>13</v>
      </c>
      <c r="U440">
        <f>SUM(Table1[[#This Row],[Store_Purchases]]+Table1[[#This Row],[Catalog_Purchases]]+Table1[[#This Row],[Web_Purchases]]+Table1[[#This Row],[Deal_Purchases]])</f>
        <v>20</v>
      </c>
      <c r="V440">
        <v>2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f>SUM(Table1[[#This Row],[Accepted_Campaign_2]]+Table1[[#This Row],[Accepted_Campaign_1]]+Table1[[#This Row],[Accepted_Campaign_5]]+Table1[[#This Row],[Accepted_Campaign_4]]+Table1[[#This Row],[Accepted_Campaign_3]])</f>
        <v>0</v>
      </c>
      <c r="AC440">
        <v>0</v>
      </c>
      <c r="AD440">
        <v>0</v>
      </c>
    </row>
    <row r="441" spans="1:30" x14ac:dyDescent="0.25">
      <c r="A441">
        <v>41612</v>
      </c>
      <c r="B441">
        <v>2727</v>
      </c>
      <c r="C441">
        <v>1973</v>
      </c>
      <c r="D441" t="s">
        <v>20</v>
      </c>
      <c r="E441" t="s">
        <v>6</v>
      </c>
      <c r="F441" t="s">
        <v>12</v>
      </c>
      <c r="G441">
        <v>57100</v>
      </c>
      <c r="H441">
        <v>0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f>SUM(Table1[[#This Row],[Gold Spending]]+Table1[[#This Row],[Sweet Spending]]+Table1[[#This Row],[Fish Spending]]+Table1[[#This Row],[Meat Spending]]+Table1[[#This Row],[Fruits Spending]]+Table1[[#This Row],[Wine Spending ]])</f>
        <v>409</v>
      </c>
      <c r="Q441">
        <v>1</v>
      </c>
      <c r="R441">
        <v>3</v>
      </c>
      <c r="S441">
        <v>3</v>
      </c>
      <c r="T441">
        <v>6</v>
      </c>
      <c r="U441">
        <f>SUM(Table1[[#This Row],[Store_Purchases]]+Table1[[#This Row],[Catalog_Purchases]]+Table1[[#This Row],[Web_Purchases]]+Table1[[#This Row],[Deal_Purchases]])</f>
        <v>13</v>
      </c>
      <c r="V441">
        <v>3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f>SUM(Table1[[#This Row],[Accepted_Campaign_2]]+Table1[[#This Row],[Accepted_Campaign_1]]+Table1[[#This Row],[Accepted_Campaign_5]]+Table1[[#This Row],[Accepted_Campaign_4]]+Table1[[#This Row],[Accepted_Campaign_3]])</f>
        <v>0</v>
      </c>
      <c r="AC441">
        <v>0</v>
      </c>
      <c r="AD441">
        <v>0</v>
      </c>
    </row>
    <row r="442" spans="1:30" x14ac:dyDescent="0.25">
      <c r="A442">
        <v>41607</v>
      </c>
      <c r="B442">
        <v>8416</v>
      </c>
      <c r="C442">
        <v>1981</v>
      </c>
      <c r="D442" t="s">
        <v>63</v>
      </c>
      <c r="E442" t="s">
        <v>6</v>
      </c>
      <c r="F442" t="s">
        <v>11</v>
      </c>
      <c r="G442">
        <v>29009</v>
      </c>
      <c r="H442">
        <v>1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442">
        <v>2</v>
      </c>
      <c r="R442">
        <v>2</v>
      </c>
      <c r="S442">
        <v>0</v>
      </c>
      <c r="T442">
        <v>3</v>
      </c>
      <c r="U442">
        <f>SUM(Table1[[#This Row],[Store_Purchases]]+Table1[[#This Row],[Catalog_Purchases]]+Table1[[#This Row],[Web_Purchases]]+Table1[[#This Row],[Deal_Purchases]])</f>
        <v>7</v>
      </c>
      <c r="V442">
        <v>6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f>SUM(Table1[[#This Row],[Accepted_Campaign_2]]+Table1[[#This Row],[Accepted_Campaign_1]]+Table1[[#This Row],[Accepted_Campaign_5]]+Table1[[#This Row],[Accepted_Campaign_4]]+Table1[[#This Row],[Accepted_Campaign_3]])</f>
        <v>0</v>
      </c>
      <c r="AC442">
        <v>0</v>
      </c>
      <c r="AD442">
        <v>0</v>
      </c>
    </row>
    <row r="443" spans="1:30" x14ac:dyDescent="0.25">
      <c r="A443">
        <v>41572</v>
      </c>
      <c r="B443">
        <v>3967</v>
      </c>
      <c r="C443">
        <v>1971</v>
      </c>
      <c r="D443" t="s">
        <v>10</v>
      </c>
      <c r="E443" t="s">
        <v>14</v>
      </c>
      <c r="F443" t="s">
        <v>11</v>
      </c>
      <c r="G443">
        <v>78931</v>
      </c>
      <c r="H443">
        <v>0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f>SUM(Table1[[#This Row],[Gold Spending]]+Table1[[#This Row],[Sweet Spending]]+Table1[[#This Row],[Fish Spending]]+Table1[[#This Row],[Meat Spending]]+Table1[[#This Row],[Fruits Spending]]+Table1[[#This Row],[Wine Spending ]])</f>
        <v>943</v>
      </c>
      <c r="Q443">
        <v>1</v>
      </c>
      <c r="R443">
        <v>2</v>
      </c>
      <c r="S443">
        <v>8</v>
      </c>
      <c r="T443">
        <v>13</v>
      </c>
      <c r="U443">
        <f>SUM(Table1[[#This Row],[Store_Purchases]]+Table1[[#This Row],[Catalog_Purchases]]+Table1[[#This Row],[Web_Purchases]]+Table1[[#This Row],[Deal_Purchases]])</f>
        <v>24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f>SUM(Table1[[#This Row],[Accepted_Campaign_2]]+Table1[[#This Row],[Accepted_Campaign_1]]+Table1[[#This Row],[Accepted_Campaign_5]]+Table1[[#This Row],[Accepted_Campaign_4]]+Table1[[#This Row],[Accepted_Campaign_3]])</f>
        <v>0</v>
      </c>
      <c r="AC443">
        <v>0</v>
      </c>
      <c r="AD443">
        <v>0</v>
      </c>
    </row>
    <row r="444" spans="1:30" x14ac:dyDescent="0.25">
      <c r="A444">
        <v>41549</v>
      </c>
      <c r="B444">
        <v>2139</v>
      </c>
      <c r="C444">
        <v>1975</v>
      </c>
      <c r="D444" t="s">
        <v>13</v>
      </c>
      <c r="E444" t="s">
        <v>18</v>
      </c>
      <c r="F444" t="s">
        <v>11</v>
      </c>
      <c r="G444">
        <v>7500</v>
      </c>
      <c r="H444">
        <v>1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f>SUM(Table1[[#This Row],[Gold Spending]]+Table1[[#This Row],[Sweet Spending]]+Table1[[#This Row],[Fish Spending]]+Table1[[#This Row],[Meat Spending]]+Table1[[#This Row],[Fruits Spending]]+Table1[[#This Row],[Wine Spending ]])</f>
        <v>31</v>
      </c>
      <c r="Q444">
        <v>3</v>
      </c>
      <c r="R444">
        <v>2</v>
      </c>
      <c r="S444">
        <v>0</v>
      </c>
      <c r="T444">
        <v>3</v>
      </c>
      <c r="U444">
        <f>SUM(Table1[[#This Row],[Store_Purchases]]+Table1[[#This Row],[Catalog_Purchases]]+Table1[[#This Row],[Web_Purchases]]+Table1[[#This Row],[Deal_Purchases]])</f>
        <v>8</v>
      </c>
      <c r="V444">
        <v>5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f>SUM(Table1[[#This Row],[Accepted_Campaign_2]]+Table1[[#This Row],[Accepted_Campaign_1]]+Table1[[#This Row],[Accepted_Campaign_5]]+Table1[[#This Row],[Accepted_Campaign_4]]+Table1[[#This Row],[Accepted_Campaign_3]])</f>
        <v>0</v>
      </c>
      <c r="AC444">
        <v>0</v>
      </c>
      <c r="AD444">
        <v>0</v>
      </c>
    </row>
    <row r="445" spans="1:30" x14ac:dyDescent="0.25">
      <c r="A445">
        <v>41535</v>
      </c>
      <c r="B445">
        <v>2162</v>
      </c>
      <c r="C445">
        <v>1976</v>
      </c>
      <c r="D445" t="s">
        <v>8</v>
      </c>
      <c r="E445" t="s">
        <v>6</v>
      </c>
      <c r="F445" t="s">
        <v>11</v>
      </c>
      <c r="G445">
        <v>56939</v>
      </c>
      <c r="H445">
        <v>1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f>SUM(Table1[[#This Row],[Gold Spending]]+Table1[[#This Row],[Sweet Spending]]+Table1[[#This Row],[Fish Spending]]+Table1[[#This Row],[Meat Spending]]+Table1[[#This Row],[Fruits Spending]]+Table1[[#This Row],[Wine Spending ]])</f>
        <v>561</v>
      </c>
      <c r="Q445">
        <v>2</v>
      </c>
      <c r="R445">
        <v>3</v>
      </c>
      <c r="S445">
        <v>3</v>
      </c>
      <c r="T445">
        <v>10</v>
      </c>
      <c r="U445">
        <f>SUM(Table1[[#This Row],[Store_Purchases]]+Table1[[#This Row],[Catalog_Purchases]]+Table1[[#This Row],[Web_Purchases]]+Table1[[#This Row],[Deal_Purchases]])</f>
        <v>18</v>
      </c>
      <c r="V445">
        <v>3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f>SUM(Table1[[#This Row],[Accepted_Campaign_2]]+Table1[[#This Row],[Accepted_Campaign_1]]+Table1[[#This Row],[Accepted_Campaign_5]]+Table1[[#This Row],[Accepted_Campaign_4]]+Table1[[#This Row],[Accepted_Campaign_3]])</f>
        <v>0</v>
      </c>
      <c r="AC445">
        <v>0</v>
      </c>
      <c r="AD445">
        <v>0</v>
      </c>
    </row>
    <row r="446" spans="1:30" x14ac:dyDescent="0.25">
      <c r="A446">
        <v>41503</v>
      </c>
      <c r="B446">
        <v>9242</v>
      </c>
      <c r="C446">
        <v>1990</v>
      </c>
      <c r="D446" t="s">
        <v>20</v>
      </c>
      <c r="E446" t="s">
        <v>6</v>
      </c>
      <c r="F446" t="s">
        <v>9</v>
      </c>
      <c r="G446">
        <v>64509</v>
      </c>
      <c r="H446">
        <v>0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f>SUM(Table1[[#This Row],[Gold Spending]]+Table1[[#This Row],[Sweet Spending]]+Table1[[#This Row],[Fish Spending]]+Table1[[#This Row],[Meat Spending]]+Table1[[#This Row],[Fruits Spending]]+Table1[[#This Row],[Wine Spending ]])</f>
        <v>1722</v>
      </c>
      <c r="Q446">
        <v>1</v>
      </c>
      <c r="R446">
        <v>6</v>
      </c>
      <c r="S446">
        <v>3</v>
      </c>
      <c r="T446">
        <v>9</v>
      </c>
      <c r="U446">
        <f>SUM(Table1[[#This Row],[Store_Purchases]]+Table1[[#This Row],[Catalog_Purchases]]+Table1[[#This Row],[Web_Purchases]]+Table1[[#This Row],[Deal_Purchases]])</f>
        <v>19</v>
      </c>
      <c r="V446">
        <v>4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f>SUM(Table1[[#This Row],[Accepted_Campaign_2]]+Table1[[#This Row],[Accepted_Campaign_1]]+Table1[[#This Row],[Accepted_Campaign_5]]+Table1[[#This Row],[Accepted_Campaign_4]]+Table1[[#This Row],[Accepted_Campaign_3]])</f>
        <v>1</v>
      </c>
      <c r="AC446">
        <v>1</v>
      </c>
      <c r="AD446">
        <v>0</v>
      </c>
    </row>
    <row r="447" spans="1:30" x14ac:dyDescent="0.25">
      <c r="A447">
        <v>41463</v>
      </c>
      <c r="B447">
        <v>10595</v>
      </c>
      <c r="C447">
        <v>1990</v>
      </c>
      <c r="D447" t="s">
        <v>8</v>
      </c>
      <c r="E447" t="s">
        <v>6</v>
      </c>
      <c r="F447" t="s">
        <v>11</v>
      </c>
      <c r="G447">
        <v>30093</v>
      </c>
      <c r="H447">
        <v>0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f>SUM(Table1[[#This Row],[Gold Spending]]+Table1[[#This Row],[Sweet Spending]]+Table1[[#This Row],[Fish Spending]]+Table1[[#This Row],[Meat Spending]]+Table1[[#This Row],[Fruits Spending]]+Table1[[#This Row],[Wine Spending ]])</f>
        <v>69</v>
      </c>
      <c r="Q447">
        <v>1</v>
      </c>
      <c r="R447">
        <v>2</v>
      </c>
      <c r="S447">
        <v>0</v>
      </c>
      <c r="T447">
        <v>3</v>
      </c>
      <c r="U447">
        <f>SUM(Table1[[#This Row],[Store_Purchases]]+Table1[[#This Row],[Catalog_Purchases]]+Table1[[#This Row],[Web_Purchases]]+Table1[[#This Row],[Deal_Purchases]])</f>
        <v>6</v>
      </c>
      <c r="V447">
        <v>7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f>SUM(Table1[[#This Row],[Accepted_Campaign_2]]+Table1[[#This Row],[Accepted_Campaign_1]]+Table1[[#This Row],[Accepted_Campaign_5]]+Table1[[#This Row],[Accepted_Campaign_4]]+Table1[[#This Row],[Accepted_Campaign_3]])</f>
        <v>0</v>
      </c>
      <c r="AC447">
        <v>0</v>
      </c>
      <c r="AD447">
        <v>0</v>
      </c>
    </row>
    <row r="448" spans="1:30" x14ac:dyDescent="0.25">
      <c r="A448">
        <v>41431</v>
      </c>
      <c r="B448">
        <v>4855</v>
      </c>
      <c r="C448">
        <v>1974</v>
      </c>
      <c r="D448" t="s">
        <v>63</v>
      </c>
      <c r="E448" t="s">
        <v>14</v>
      </c>
      <c r="F448" t="s">
        <v>12</v>
      </c>
      <c r="G448">
        <v>30351</v>
      </c>
      <c r="H448">
        <v>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448">
        <v>1</v>
      </c>
      <c r="R448">
        <v>3</v>
      </c>
      <c r="S448">
        <v>0</v>
      </c>
      <c r="T448">
        <v>2</v>
      </c>
      <c r="U448">
        <f>SUM(Table1[[#This Row],[Store_Purchases]]+Table1[[#This Row],[Catalog_Purchases]]+Table1[[#This Row],[Web_Purchases]]+Table1[[#This Row],[Deal_Purchases]])</f>
        <v>6</v>
      </c>
      <c r="V448">
        <v>9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f>SUM(Table1[[#This Row],[Accepted_Campaign_2]]+Table1[[#This Row],[Accepted_Campaign_1]]+Table1[[#This Row],[Accepted_Campaign_5]]+Table1[[#This Row],[Accepted_Campaign_4]]+Table1[[#This Row],[Accepted_Campaign_3]])</f>
        <v>0</v>
      </c>
      <c r="AC448">
        <v>1</v>
      </c>
      <c r="AD448">
        <v>0</v>
      </c>
    </row>
    <row r="449" spans="1:30" x14ac:dyDescent="0.25">
      <c r="A449">
        <v>41431</v>
      </c>
      <c r="B449">
        <v>5049</v>
      </c>
      <c r="C449">
        <v>1974</v>
      </c>
      <c r="D449" t="s">
        <v>8</v>
      </c>
      <c r="E449" t="s">
        <v>14</v>
      </c>
      <c r="F449" t="s">
        <v>12</v>
      </c>
      <c r="G449">
        <v>30351</v>
      </c>
      <c r="H449">
        <v>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449">
        <v>1</v>
      </c>
      <c r="R449">
        <v>3</v>
      </c>
      <c r="S449">
        <v>0</v>
      </c>
      <c r="T449">
        <v>2</v>
      </c>
      <c r="U449">
        <f>SUM(Table1[[#This Row],[Store_Purchases]]+Table1[[#This Row],[Catalog_Purchases]]+Table1[[#This Row],[Web_Purchases]]+Table1[[#This Row],[Deal_Purchases]])</f>
        <v>6</v>
      </c>
      <c r="V449">
        <v>9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f>SUM(Table1[[#This Row],[Accepted_Campaign_2]]+Table1[[#This Row],[Accepted_Campaign_1]]+Table1[[#This Row],[Accepted_Campaign_5]]+Table1[[#This Row],[Accepted_Campaign_4]]+Table1[[#This Row],[Accepted_Campaign_3]])</f>
        <v>0</v>
      </c>
      <c r="AC449">
        <v>0</v>
      </c>
      <c r="AD449">
        <v>0</v>
      </c>
    </row>
    <row r="450" spans="1:30" x14ac:dyDescent="0.25">
      <c r="A450">
        <v>41362</v>
      </c>
      <c r="B450">
        <v>4967</v>
      </c>
      <c r="C450">
        <v>1960</v>
      </c>
      <c r="D450" t="s">
        <v>20</v>
      </c>
      <c r="E450" t="s">
        <v>14</v>
      </c>
      <c r="F450" t="s">
        <v>12</v>
      </c>
      <c r="G450">
        <v>38201</v>
      </c>
      <c r="H450">
        <v>1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f>SUM(Table1[[#This Row],[Gold Spending]]+Table1[[#This Row],[Sweet Spending]]+Table1[[#This Row],[Fish Spending]]+Table1[[#This Row],[Meat Spending]]+Table1[[#This Row],[Fruits Spending]]+Table1[[#This Row],[Wine Spending ]])</f>
        <v>268</v>
      </c>
      <c r="Q450">
        <v>4</v>
      </c>
      <c r="R450">
        <v>5</v>
      </c>
      <c r="S450">
        <v>1</v>
      </c>
      <c r="T450">
        <v>5</v>
      </c>
      <c r="U450">
        <f>SUM(Table1[[#This Row],[Store_Purchases]]+Table1[[#This Row],[Catalog_Purchases]]+Table1[[#This Row],[Web_Purchases]]+Table1[[#This Row],[Deal_Purchases]])</f>
        <v>15</v>
      </c>
      <c r="V450">
        <v>8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f>SUM(Table1[[#This Row],[Accepted_Campaign_2]]+Table1[[#This Row],[Accepted_Campaign_1]]+Table1[[#This Row],[Accepted_Campaign_5]]+Table1[[#This Row],[Accepted_Campaign_4]]+Table1[[#This Row],[Accepted_Campaign_3]])</f>
        <v>0</v>
      </c>
      <c r="AC450">
        <v>0</v>
      </c>
      <c r="AD450">
        <v>0</v>
      </c>
    </row>
    <row r="451" spans="1:30" x14ac:dyDescent="0.25">
      <c r="A451">
        <v>41325</v>
      </c>
      <c r="B451">
        <v>5255</v>
      </c>
      <c r="C451">
        <v>1986</v>
      </c>
      <c r="D451" t="s">
        <v>13</v>
      </c>
      <c r="E451" t="s">
        <v>6</v>
      </c>
      <c r="F451" t="s">
        <v>9</v>
      </c>
      <c r="G451">
        <v>53790.45</v>
      </c>
      <c r="H451">
        <v>1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f>SUM(Table1[[#This Row],[Gold Spending]]+Table1[[#This Row],[Sweet Spending]]+Table1[[#This Row],[Fish Spending]]+Table1[[#This Row],[Meat Spending]]+Table1[[#This Row],[Fruits Spending]]+Table1[[#This Row],[Wine Spending ]])</f>
        <v>637</v>
      </c>
      <c r="Q451">
        <v>0</v>
      </c>
      <c r="R451">
        <v>27</v>
      </c>
      <c r="S451">
        <v>0</v>
      </c>
      <c r="T451">
        <v>0</v>
      </c>
      <c r="U451">
        <f>SUM(Table1[[#This Row],[Store_Purchases]]+Table1[[#This Row],[Catalog_Purchases]]+Table1[[#This Row],[Web_Purchases]]+Table1[[#This Row],[Deal_Purchases]])</f>
        <v>27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f>SUM(Table1[[#This Row],[Accepted_Campaign_2]]+Table1[[#This Row],[Accepted_Campaign_1]]+Table1[[#This Row],[Accepted_Campaign_5]]+Table1[[#This Row],[Accepted_Campaign_4]]+Table1[[#This Row],[Accepted_Campaign_3]])</f>
        <v>0</v>
      </c>
      <c r="AC451">
        <v>0</v>
      </c>
      <c r="AD451">
        <v>0</v>
      </c>
    </row>
    <row r="452" spans="1:30" x14ac:dyDescent="0.25">
      <c r="A452">
        <v>41255</v>
      </c>
      <c r="B452">
        <v>9215</v>
      </c>
      <c r="C452">
        <v>1980</v>
      </c>
      <c r="D452" t="s">
        <v>10</v>
      </c>
      <c r="E452" t="s">
        <v>14</v>
      </c>
      <c r="F452" t="s">
        <v>11</v>
      </c>
      <c r="G452">
        <v>43974</v>
      </c>
      <c r="H452">
        <v>1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f>SUM(Table1[[#This Row],[Gold Spending]]+Table1[[#This Row],[Sweet Spending]]+Table1[[#This Row],[Fish Spending]]+Table1[[#This Row],[Meat Spending]]+Table1[[#This Row],[Fruits Spending]]+Table1[[#This Row],[Wine Spending ]])</f>
        <v>551</v>
      </c>
      <c r="Q452">
        <v>5</v>
      </c>
      <c r="R452">
        <v>6</v>
      </c>
      <c r="S452">
        <v>4</v>
      </c>
      <c r="T452">
        <v>6</v>
      </c>
      <c r="U452">
        <f>SUM(Table1[[#This Row],[Store_Purchases]]+Table1[[#This Row],[Catalog_Purchases]]+Table1[[#This Row],[Web_Purchases]]+Table1[[#This Row],[Deal_Purchases]])</f>
        <v>21</v>
      </c>
      <c r="V452">
        <v>7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f>SUM(Table1[[#This Row],[Accepted_Campaign_2]]+Table1[[#This Row],[Accepted_Campaign_1]]+Table1[[#This Row],[Accepted_Campaign_5]]+Table1[[#This Row],[Accepted_Campaign_4]]+Table1[[#This Row],[Accepted_Campaign_3]])</f>
        <v>0</v>
      </c>
      <c r="AC452">
        <v>0</v>
      </c>
      <c r="AD452">
        <v>0</v>
      </c>
    </row>
    <row r="453" spans="1:30" x14ac:dyDescent="0.25">
      <c r="A453">
        <v>41250</v>
      </c>
      <c r="B453">
        <v>3525</v>
      </c>
      <c r="C453">
        <v>1970</v>
      </c>
      <c r="D453" t="s">
        <v>8</v>
      </c>
      <c r="E453" t="s">
        <v>6</v>
      </c>
      <c r="F453" t="s">
        <v>12</v>
      </c>
      <c r="G453">
        <v>38200</v>
      </c>
      <c r="H453">
        <v>2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f>SUM(Table1[[#This Row],[Gold Spending]]+Table1[[#This Row],[Sweet Spending]]+Table1[[#This Row],[Fish Spending]]+Table1[[#This Row],[Meat Spending]]+Table1[[#This Row],[Fruits Spending]]+Table1[[#This Row],[Wine Spending ]])</f>
        <v>17</v>
      </c>
      <c r="Q453">
        <v>1</v>
      </c>
      <c r="R453">
        <v>1</v>
      </c>
      <c r="S453">
        <v>0</v>
      </c>
      <c r="T453">
        <v>2</v>
      </c>
      <c r="U453">
        <f>SUM(Table1[[#This Row],[Store_Purchases]]+Table1[[#This Row],[Catalog_Purchases]]+Table1[[#This Row],[Web_Purchases]]+Table1[[#This Row],[Deal_Purchases]])</f>
        <v>4</v>
      </c>
      <c r="V453">
        <v>7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f>SUM(Table1[[#This Row],[Accepted_Campaign_2]]+Table1[[#This Row],[Accepted_Campaign_1]]+Table1[[#This Row],[Accepted_Campaign_5]]+Table1[[#This Row],[Accepted_Campaign_4]]+Table1[[#This Row],[Accepted_Campaign_3]])</f>
        <v>0</v>
      </c>
      <c r="AC453">
        <v>0</v>
      </c>
      <c r="AD453">
        <v>0</v>
      </c>
    </row>
    <row r="454" spans="1:30" x14ac:dyDescent="0.25">
      <c r="A454">
        <v>41175</v>
      </c>
      <c r="B454">
        <v>3619</v>
      </c>
      <c r="C454">
        <v>1960</v>
      </c>
      <c r="D454" t="s">
        <v>13</v>
      </c>
      <c r="E454" t="s">
        <v>15</v>
      </c>
      <c r="F454" t="s">
        <v>7</v>
      </c>
      <c r="G454">
        <v>87305</v>
      </c>
      <c r="H454">
        <v>0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f>SUM(Table1[[#This Row],[Gold Spending]]+Table1[[#This Row],[Sweet Spending]]+Table1[[#This Row],[Fish Spending]]+Table1[[#This Row],[Meat Spending]]+Table1[[#This Row],[Fruits Spending]]+Table1[[#This Row],[Wine Spending ]])</f>
        <v>1152</v>
      </c>
      <c r="Q454">
        <v>1</v>
      </c>
      <c r="R454">
        <v>5</v>
      </c>
      <c r="S454">
        <v>3</v>
      </c>
      <c r="T454">
        <v>8</v>
      </c>
      <c r="U454">
        <f>SUM(Table1[[#This Row],[Store_Purchases]]+Table1[[#This Row],[Catalog_Purchases]]+Table1[[#This Row],[Web_Purchases]]+Table1[[#This Row],[Deal_Purchases]])</f>
        <v>17</v>
      </c>
      <c r="V454">
        <v>2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f>SUM(Table1[[#This Row],[Accepted_Campaign_2]]+Table1[[#This Row],[Accepted_Campaign_1]]+Table1[[#This Row],[Accepted_Campaign_5]]+Table1[[#This Row],[Accepted_Campaign_4]]+Table1[[#This Row],[Accepted_Campaign_3]])</f>
        <v>1</v>
      </c>
      <c r="AC454">
        <v>1</v>
      </c>
      <c r="AD454">
        <v>0</v>
      </c>
    </row>
    <row r="455" spans="1:30" x14ac:dyDescent="0.25">
      <c r="A455">
        <v>41164</v>
      </c>
      <c r="B455">
        <v>4415</v>
      </c>
      <c r="C455">
        <v>1961</v>
      </c>
      <c r="D455" t="s">
        <v>8</v>
      </c>
      <c r="E455" t="s">
        <v>6</v>
      </c>
      <c r="F455" t="s">
        <v>11</v>
      </c>
      <c r="G455">
        <v>16860</v>
      </c>
      <c r="H455">
        <v>2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f>SUM(Table1[[#This Row],[Gold Spending]]+Table1[[#This Row],[Sweet Spending]]+Table1[[#This Row],[Fish Spending]]+Table1[[#This Row],[Meat Spending]]+Table1[[#This Row],[Fruits Spending]]+Table1[[#This Row],[Wine Spending ]])</f>
        <v>38</v>
      </c>
      <c r="Q455">
        <v>3</v>
      </c>
      <c r="R455">
        <v>1</v>
      </c>
      <c r="S455">
        <v>1</v>
      </c>
      <c r="T455">
        <v>3</v>
      </c>
      <c r="U455">
        <f>SUM(Table1[[#This Row],[Store_Purchases]]+Table1[[#This Row],[Catalog_Purchases]]+Table1[[#This Row],[Web_Purchases]]+Table1[[#This Row],[Deal_Purchases]])</f>
        <v>8</v>
      </c>
      <c r="V455">
        <v>7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f>SUM(Table1[[#This Row],[Accepted_Campaign_2]]+Table1[[#This Row],[Accepted_Campaign_1]]+Table1[[#This Row],[Accepted_Campaign_5]]+Table1[[#This Row],[Accepted_Campaign_4]]+Table1[[#This Row],[Accepted_Campaign_3]])</f>
        <v>0</v>
      </c>
      <c r="AC455">
        <v>0</v>
      </c>
      <c r="AD455">
        <v>0</v>
      </c>
    </row>
    <row r="456" spans="1:30" x14ac:dyDescent="0.25">
      <c r="A456">
        <v>41151</v>
      </c>
      <c r="B456">
        <v>3645</v>
      </c>
      <c r="C456">
        <v>1972</v>
      </c>
      <c r="D456" t="s">
        <v>8</v>
      </c>
      <c r="E456" t="s">
        <v>14</v>
      </c>
      <c r="F456" t="s">
        <v>9</v>
      </c>
      <c r="G456">
        <v>27213</v>
      </c>
      <c r="H456">
        <v>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f>SUM(Table1[[#This Row],[Gold Spending]]+Table1[[#This Row],[Sweet Spending]]+Table1[[#This Row],[Fish Spending]]+Table1[[#This Row],[Meat Spending]]+Table1[[#This Row],[Fruits Spending]]+Table1[[#This Row],[Wine Spending ]])</f>
        <v>70</v>
      </c>
      <c r="Q456">
        <v>3</v>
      </c>
      <c r="R456">
        <v>2</v>
      </c>
      <c r="S456">
        <v>0</v>
      </c>
      <c r="T456">
        <v>4</v>
      </c>
      <c r="U456">
        <f>SUM(Table1[[#This Row],[Store_Purchases]]+Table1[[#This Row],[Catalog_Purchases]]+Table1[[#This Row],[Web_Purchases]]+Table1[[#This Row],[Deal_Purchases]])</f>
        <v>9</v>
      </c>
      <c r="V456">
        <v>8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f>SUM(Table1[[#This Row],[Accepted_Campaign_2]]+Table1[[#This Row],[Accepted_Campaign_1]]+Table1[[#This Row],[Accepted_Campaign_5]]+Table1[[#This Row],[Accepted_Campaign_4]]+Table1[[#This Row],[Accepted_Campaign_3]])</f>
        <v>0</v>
      </c>
      <c r="AC456">
        <v>1</v>
      </c>
      <c r="AD456">
        <v>0</v>
      </c>
    </row>
    <row r="457" spans="1:30" x14ac:dyDescent="0.25">
      <c r="A457">
        <v>41122</v>
      </c>
      <c r="B457">
        <v>4692</v>
      </c>
      <c r="C457">
        <v>1976</v>
      </c>
      <c r="D457" t="s">
        <v>13</v>
      </c>
      <c r="E457" t="s">
        <v>6</v>
      </c>
      <c r="F457" t="s">
        <v>11</v>
      </c>
      <c r="G457">
        <v>7500</v>
      </c>
      <c r="H457">
        <v>1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f>SUM(Table1[[#This Row],[Gold Spending]]+Table1[[#This Row],[Sweet Spending]]+Table1[[#This Row],[Fish Spending]]+Table1[[#This Row],[Meat Spending]]+Table1[[#This Row],[Fruits Spending]]+Table1[[#This Row],[Wine Spending ]])</f>
        <v>71</v>
      </c>
      <c r="Q457">
        <v>5</v>
      </c>
      <c r="R457">
        <v>4</v>
      </c>
      <c r="S457">
        <v>1</v>
      </c>
      <c r="T457">
        <v>2</v>
      </c>
      <c r="U457">
        <f>SUM(Table1[[#This Row],[Store_Purchases]]+Table1[[#This Row],[Catalog_Purchases]]+Table1[[#This Row],[Web_Purchases]]+Table1[[#This Row],[Deal_Purchases]])</f>
        <v>12</v>
      </c>
      <c r="V457">
        <v>9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f>SUM(Table1[[#This Row],[Accepted_Campaign_2]]+Table1[[#This Row],[Accepted_Campaign_1]]+Table1[[#This Row],[Accepted_Campaign_5]]+Table1[[#This Row],[Accepted_Campaign_4]]+Table1[[#This Row],[Accepted_Campaign_3]])</f>
        <v>1</v>
      </c>
      <c r="AC457">
        <v>1</v>
      </c>
      <c r="AD457">
        <v>0</v>
      </c>
    </row>
    <row r="458" spans="1:30" x14ac:dyDescent="0.25">
      <c r="A458">
        <v>41812</v>
      </c>
      <c r="B458">
        <v>3955</v>
      </c>
      <c r="C458">
        <v>1965</v>
      </c>
      <c r="D458" t="s">
        <v>20</v>
      </c>
      <c r="E458" t="s">
        <v>6</v>
      </c>
      <c r="F458" t="s">
        <v>7</v>
      </c>
      <c r="G458">
        <v>4861</v>
      </c>
      <c r="H458">
        <v>0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f>SUM(Table1[[#This Row],[Gold Spending]]+Table1[[#This Row],[Sweet Spending]]+Table1[[#This Row],[Fish Spending]]+Table1[[#This Row],[Meat Spending]]+Table1[[#This Row],[Fruits Spending]]+Table1[[#This Row],[Wine Spending ]])</f>
        <v>6</v>
      </c>
      <c r="Q458">
        <v>0</v>
      </c>
      <c r="R458">
        <v>0</v>
      </c>
      <c r="S458">
        <v>0</v>
      </c>
      <c r="T458">
        <v>0</v>
      </c>
      <c r="U458">
        <f>SUM(Table1[[#This Row],[Store_Purchases]]+Table1[[#This Row],[Catalog_Purchases]]+Table1[[#This Row],[Web_Purchases]]+Table1[[#This Row],[Deal_Purchases]])</f>
        <v>0</v>
      </c>
      <c r="V458">
        <v>14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f>SUM(Table1[[#This Row],[Accepted_Campaign_2]]+Table1[[#This Row],[Accepted_Campaign_1]]+Table1[[#This Row],[Accepted_Campaign_5]]+Table1[[#This Row],[Accepted_Campaign_4]]+Table1[[#This Row],[Accepted_Campaign_3]])</f>
        <v>0</v>
      </c>
      <c r="AC458">
        <v>0</v>
      </c>
      <c r="AD458">
        <v>0</v>
      </c>
    </row>
    <row r="459" spans="1:30" x14ac:dyDescent="0.25">
      <c r="A459">
        <v>41747</v>
      </c>
      <c r="B459">
        <v>5313</v>
      </c>
      <c r="C459">
        <v>1971</v>
      </c>
      <c r="D459" t="s">
        <v>8</v>
      </c>
      <c r="E459" t="s">
        <v>18</v>
      </c>
      <c r="F459" t="s">
        <v>11</v>
      </c>
      <c r="G459">
        <v>38196</v>
      </c>
      <c r="H459">
        <v>2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459">
        <v>3</v>
      </c>
      <c r="R459">
        <v>2</v>
      </c>
      <c r="S459">
        <v>0</v>
      </c>
      <c r="T459">
        <v>4</v>
      </c>
      <c r="U459">
        <f>SUM(Table1[[#This Row],[Store_Purchases]]+Table1[[#This Row],[Catalog_Purchases]]+Table1[[#This Row],[Web_Purchases]]+Table1[[#This Row],[Deal_Purchases]])</f>
        <v>9</v>
      </c>
      <c r="V459">
        <v>5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f>SUM(Table1[[#This Row],[Accepted_Campaign_2]]+Table1[[#This Row],[Accepted_Campaign_1]]+Table1[[#This Row],[Accepted_Campaign_5]]+Table1[[#This Row],[Accepted_Campaign_4]]+Table1[[#This Row],[Accepted_Campaign_3]])</f>
        <v>0</v>
      </c>
      <c r="AC459">
        <v>0</v>
      </c>
      <c r="AD459">
        <v>0</v>
      </c>
    </row>
    <row r="460" spans="1:30" x14ac:dyDescent="0.25">
      <c r="A460">
        <v>41678</v>
      </c>
      <c r="B460">
        <v>7196</v>
      </c>
      <c r="C460">
        <v>1950</v>
      </c>
      <c r="D460" t="s">
        <v>10</v>
      </c>
      <c r="E460" t="s">
        <v>14</v>
      </c>
      <c r="F460" t="s">
        <v>11</v>
      </c>
      <c r="G460">
        <v>41145</v>
      </c>
      <c r="H460">
        <v>2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f>SUM(Table1[[#This Row],[Gold Spending]]+Table1[[#This Row],[Sweet Spending]]+Table1[[#This Row],[Fish Spending]]+Table1[[#This Row],[Meat Spending]]+Table1[[#This Row],[Fruits Spending]]+Table1[[#This Row],[Wine Spending ]])</f>
        <v>13</v>
      </c>
      <c r="Q460">
        <v>1</v>
      </c>
      <c r="R460">
        <v>0</v>
      </c>
      <c r="S460">
        <v>0</v>
      </c>
      <c r="T460">
        <v>3</v>
      </c>
      <c r="U460">
        <f>SUM(Table1[[#This Row],[Store_Purchases]]+Table1[[#This Row],[Catalog_Purchases]]+Table1[[#This Row],[Web_Purchases]]+Table1[[#This Row],[Deal_Purchases]])</f>
        <v>4</v>
      </c>
      <c r="V460">
        <v>3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f>SUM(Table1[[#This Row],[Accepted_Campaign_2]]+Table1[[#This Row],[Accepted_Campaign_1]]+Table1[[#This Row],[Accepted_Campaign_5]]+Table1[[#This Row],[Accepted_Campaign_4]]+Table1[[#This Row],[Accepted_Campaign_3]])</f>
        <v>0</v>
      </c>
      <c r="AC460">
        <v>0</v>
      </c>
      <c r="AD460">
        <v>0</v>
      </c>
    </row>
    <row r="461" spans="1:30" x14ac:dyDescent="0.25">
      <c r="A461">
        <v>41667</v>
      </c>
      <c r="B461">
        <v>1381</v>
      </c>
      <c r="C461">
        <v>1982</v>
      </c>
      <c r="D461" t="s">
        <v>8</v>
      </c>
      <c r="E461" t="s">
        <v>14</v>
      </c>
      <c r="F461" t="s">
        <v>9</v>
      </c>
      <c r="G461">
        <v>38513</v>
      </c>
      <c r="H461">
        <v>1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f>SUM(Table1[[#This Row],[Gold Spending]]+Table1[[#This Row],[Sweet Spending]]+Table1[[#This Row],[Fish Spending]]+Table1[[#This Row],[Meat Spending]]+Table1[[#This Row],[Fruits Spending]]+Table1[[#This Row],[Wine Spending ]])</f>
        <v>324</v>
      </c>
      <c r="Q461">
        <v>5</v>
      </c>
      <c r="R461">
        <v>6</v>
      </c>
      <c r="S461">
        <v>1</v>
      </c>
      <c r="T461">
        <v>5</v>
      </c>
      <c r="U461">
        <f>SUM(Table1[[#This Row],[Store_Purchases]]+Table1[[#This Row],[Catalog_Purchases]]+Table1[[#This Row],[Web_Purchases]]+Table1[[#This Row],[Deal_Purchases]])</f>
        <v>17</v>
      </c>
      <c r="V461">
        <v>8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f>SUM(Table1[[#This Row],[Accepted_Campaign_2]]+Table1[[#This Row],[Accepted_Campaign_1]]+Table1[[#This Row],[Accepted_Campaign_5]]+Table1[[#This Row],[Accepted_Campaign_4]]+Table1[[#This Row],[Accepted_Campaign_3]])</f>
        <v>0</v>
      </c>
      <c r="AC461">
        <v>1</v>
      </c>
      <c r="AD461">
        <v>0</v>
      </c>
    </row>
    <row r="462" spans="1:30" x14ac:dyDescent="0.25">
      <c r="A462">
        <v>41664</v>
      </c>
      <c r="B462">
        <v>10951</v>
      </c>
      <c r="C462">
        <v>1968</v>
      </c>
      <c r="D462" t="s">
        <v>8</v>
      </c>
      <c r="E462" t="s">
        <v>6</v>
      </c>
      <c r="F462" t="s">
        <v>11</v>
      </c>
      <c r="G462">
        <v>45688</v>
      </c>
      <c r="H462">
        <v>1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f>SUM(Table1[[#This Row],[Gold Spending]]+Table1[[#This Row],[Sweet Spending]]+Table1[[#This Row],[Fish Spending]]+Table1[[#This Row],[Meat Spending]]+Table1[[#This Row],[Fruits Spending]]+Table1[[#This Row],[Wine Spending ]])</f>
        <v>306</v>
      </c>
      <c r="Q462">
        <v>2</v>
      </c>
      <c r="R462">
        <v>3</v>
      </c>
      <c r="S462">
        <v>1</v>
      </c>
      <c r="T462">
        <v>8</v>
      </c>
      <c r="U462">
        <f>SUM(Table1[[#This Row],[Store_Purchases]]+Table1[[#This Row],[Catalog_Purchases]]+Table1[[#This Row],[Web_Purchases]]+Table1[[#This Row],[Deal_Purchases]])</f>
        <v>14</v>
      </c>
      <c r="V462">
        <v>4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f>SUM(Table1[[#This Row],[Accepted_Campaign_2]]+Table1[[#This Row],[Accepted_Campaign_1]]+Table1[[#This Row],[Accepted_Campaign_5]]+Table1[[#This Row],[Accepted_Campaign_4]]+Table1[[#This Row],[Accepted_Campaign_3]])</f>
        <v>1</v>
      </c>
      <c r="AC462">
        <v>0</v>
      </c>
      <c r="AD462">
        <v>0</v>
      </c>
    </row>
    <row r="463" spans="1:30" x14ac:dyDescent="0.25">
      <c r="A463">
        <v>41605</v>
      </c>
      <c r="B463">
        <v>4322</v>
      </c>
      <c r="C463">
        <v>1958</v>
      </c>
      <c r="D463" t="s">
        <v>8</v>
      </c>
      <c r="E463" t="s">
        <v>14</v>
      </c>
      <c r="F463" t="s">
        <v>12</v>
      </c>
      <c r="G463">
        <v>77863</v>
      </c>
      <c r="H463">
        <v>0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f>SUM(Table1[[#This Row],[Gold Spending]]+Table1[[#This Row],[Sweet Spending]]+Table1[[#This Row],[Fish Spending]]+Table1[[#This Row],[Meat Spending]]+Table1[[#This Row],[Fruits Spending]]+Table1[[#This Row],[Wine Spending ]])</f>
        <v>1291</v>
      </c>
      <c r="Q463">
        <v>1</v>
      </c>
      <c r="R463">
        <v>4</v>
      </c>
      <c r="S463">
        <v>5</v>
      </c>
      <c r="T463">
        <v>10</v>
      </c>
      <c r="U463">
        <f>SUM(Table1[[#This Row],[Store_Purchases]]+Table1[[#This Row],[Catalog_Purchases]]+Table1[[#This Row],[Web_Purchases]]+Table1[[#This Row],[Deal_Purchases]])</f>
        <v>20</v>
      </c>
      <c r="V463">
        <v>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f>SUM(Table1[[#This Row],[Accepted_Campaign_2]]+Table1[[#This Row],[Accepted_Campaign_1]]+Table1[[#This Row],[Accepted_Campaign_5]]+Table1[[#This Row],[Accepted_Campaign_4]]+Table1[[#This Row],[Accepted_Campaign_3]])</f>
        <v>0</v>
      </c>
      <c r="AC463">
        <v>0</v>
      </c>
      <c r="AD463">
        <v>0</v>
      </c>
    </row>
    <row r="464" spans="1:30" x14ac:dyDescent="0.25">
      <c r="A464">
        <v>41566</v>
      </c>
      <c r="B464">
        <v>7444</v>
      </c>
      <c r="C464">
        <v>1969</v>
      </c>
      <c r="D464" t="s">
        <v>8</v>
      </c>
      <c r="E464" t="s">
        <v>18</v>
      </c>
      <c r="F464" t="s">
        <v>11</v>
      </c>
      <c r="G464">
        <v>42169</v>
      </c>
      <c r="H464">
        <v>2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f>SUM(Table1[[#This Row],[Gold Spending]]+Table1[[#This Row],[Sweet Spending]]+Table1[[#This Row],[Fish Spending]]+Table1[[#This Row],[Meat Spending]]+Table1[[#This Row],[Fruits Spending]]+Table1[[#This Row],[Wine Spending ]])</f>
        <v>30</v>
      </c>
      <c r="Q464">
        <v>2</v>
      </c>
      <c r="R464">
        <v>1</v>
      </c>
      <c r="S464">
        <v>0</v>
      </c>
      <c r="T464">
        <v>3</v>
      </c>
      <c r="U464">
        <f>SUM(Table1[[#This Row],[Store_Purchases]]+Table1[[#This Row],[Catalog_Purchases]]+Table1[[#This Row],[Web_Purchases]]+Table1[[#This Row],[Deal_Purchases]])</f>
        <v>6</v>
      </c>
      <c r="V464">
        <v>8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f>SUM(Table1[[#This Row],[Accepted_Campaign_2]]+Table1[[#This Row],[Accepted_Campaign_1]]+Table1[[#This Row],[Accepted_Campaign_5]]+Table1[[#This Row],[Accepted_Campaign_4]]+Table1[[#This Row],[Accepted_Campaign_3]])</f>
        <v>0</v>
      </c>
      <c r="AC464">
        <v>0</v>
      </c>
      <c r="AD464">
        <v>0</v>
      </c>
    </row>
    <row r="465" spans="1:30" x14ac:dyDescent="0.25">
      <c r="A465">
        <v>41401</v>
      </c>
      <c r="B465">
        <v>2942</v>
      </c>
      <c r="C465">
        <v>1964</v>
      </c>
      <c r="D465" t="s">
        <v>8</v>
      </c>
      <c r="E465" t="s">
        <v>6</v>
      </c>
      <c r="F465" t="s">
        <v>9</v>
      </c>
      <c r="G465">
        <v>45906</v>
      </c>
      <c r="H465">
        <v>1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f>SUM(Table1[[#This Row],[Gold Spending]]+Table1[[#This Row],[Sweet Spending]]+Table1[[#This Row],[Fish Spending]]+Table1[[#This Row],[Meat Spending]]+Table1[[#This Row],[Fruits Spending]]+Table1[[#This Row],[Wine Spending ]])</f>
        <v>486</v>
      </c>
      <c r="Q465">
        <v>2</v>
      </c>
      <c r="R465">
        <v>5</v>
      </c>
      <c r="S465">
        <v>4</v>
      </c>
      <c r="T465">
        <v>4</v>
      </c>
      <c r="U465">
        <f>SUM(Table1[[#This Row],[Store_Purchases]]+Table1[[#This Row],[Catalog_Purchases]]+Table1[[#This Row],[Web_Purchases]]+Table1[[#This Row],[Deal_Purchases]])</f>
        <v>15</v>
      </c>
      <c r="V465">
        <v>5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f>SUM(Table1[[#This Row],[Accepted_Campaign_2]]+Table1[[#This Row],[Accepted_Campaign_1]]+Table1[[#This Row],[Accepted_Campaign_5]]+Table1[[#This Row],[Accepted_Campaign_4]]+Table1[[#This Row],[Accepted_Campaign_3]])</f>
        <v>1</v>
      </c>
      <c r="AC465">
        <v>0</v>
      </c>
      <c r="AD465">
        <v>0</v>
      </c>
    </row>
    <row r="466" spans="1:30" x14ac:dyDescent="0.25">
      <c r="A466">
        <v>41340</v>
      </c>
      <c r="B466">
        <v>2874</v>
      </c>
      <c r="C466">
        <v>1988</v>
      </c>
      <c r="D466" t="s">
        <v>20</v>
      </c>
      <c r="E466" t="s">
        <v>15</v>
      </c>
      <c r="F466" t="s">
        <v>7</v>
      </c>
      <c r="G466">
        <v>35388</v>
      </c>
      <c r="H466">
        <v>1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f>SUM(Table1[[#This Row],[Gold Spending]]+Table1[[#This Row],[Sweet Spending]]+Table1[[#This Row],[Fish Spending]]+Table1[[#This Row],[Meat Spending]]+Table1[[#This Row],[Fruits Spending]]+Table1[[#This Row],[Wine Spending ]])</f>
        <v>32</v>
      </c>
      <c r="Q466">
        <v>1</v>
      </c>
      <c r="R466">
        <v>1</v>
      </c>
      <c r="S466">
        <v>0</v>
      </c>
      <c r="T466">
        <v>3</v>
      </c>
      <c r="U466">
        <f>SUM(Table1[[#This Row],[Store_Purchases]]+Table1[[#This Row],[Catalog_Purchases]]+Table1[[#This Row],[Web_Purchases]]+Table1[[#This Row],[Deal_Purchases]])</f>
        <v>5</v>
      </c>
      <c r="V466">
        <v>7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f>SUM(Table1[[#This Row],[Accepted_Campaign_2]]+Table1[[#This Row],[Accepted_Campaign_1]]+Table1[[#This Row],[Accepted_Campaign_5]]+Table1[[#This Row],[Accepted_Campaign_4]]+Table1[[#This Row],[Accepted_Campaign_3]])</f>
        <v>0</v>
      </c>
      <c r="AC466">
        <v>0</v>
      </c>
      <c r="AD466">
        <v>0</v>
      </c>
    </row>
    <row r="467" spans="1:30" x14ac:dyDescent="0.25">
      <c r="A467">
        <v>41333</v>
      </c>
      <c r="B467">
        <v>3667</v>
      </c>
      <c r="C467">
        <v>1969</v>
      </c>
      <c r="D467" t="s">
        <v>16</v>
      </c>
      <c r="E467" t="s">
        <v>6</v>
      </c>
      <c r="F467" t="s">
        <v>11</v>
      </c>
      <c r="G467">
        <v>80952</v>
      </c>
      <c r="H467">
        <v>0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f>SUM(Table1[[#This Row],[Gold Spending]]+Table1[[#This Row],[Sweet Spending]]+Table1[[#This Row],[Fish Spending]]+Table1[[#This Row],[Meat Spending]]+Table1[[#This Row],[Fruits Spending]]+Table1[[#This Row],[Wine Spending ]])</f>
        <v>1757</v>
      </c>
      <c r="Q467">
        <v>1</v>
      </c>
      <c r="R467">
        <v>8</v>
      </c>
      <c r="S467">
        <v>5</v>
      </c>
      <c r="T467">
        <v>11</v>
      </c>
      <c r="U467">
        <f>SUM(Table1[[#This Row],[Store_Purchases]]+Table1[[#This Row],[Catalog_Purchases]]+Table1[[#This Row],[Web_Purchases]]+Table1[[#This Row],[Deal_Purchases]])</f>
        <v>25</v>
      </c>
      <c r="V467">
        <v>8</v>
      </c>
      <c r="W467">
        <v>0</v>
      </c>
      <c r="X467">
        <v>1</v>
      </c>
      <c r="Y467">
        <v>1</v>
      </c>
      <c r="Z467">
        <v>1</v>
      </c>
      <c r="AA467">
        <v>0</v>
      </c>
      <c r="AB467">
        <f>SUM(Table1[[#This Row],[Accepted_Campaign_2]]+Table1[[#This Row],[Accepted_Campaign_1]]+Table1[[#This Row],[Accepted_Campaign_5]]+Table1[[#This Row],[Accepted_Campaign_4]]+Table1[[#This Row],[Accepted_Campaign_3]])</f>
        <v>3</v>
      </c>
      <c r="AC467">
        <v>1</v>
      </c>
      <c r="AD467">
        <v>0</v>
      </c>
    </row>
    <row r="468" spans="1:30" x14ac:dyDescent="0.25">
      <c r="A468">
        <v>41317</v>
      </c>
      <c r="B468">
        <v>3697</v>
      </c>
      <c r="C468">
        <v>1954</v>
      </c>
      <c r="D468" t="s">
        <v>10</v>
      </c>
      <c r="E468" t="s">
        <v>6</v>
      </c>
      <c r="F468" t="s">
        <v>12</v>
      </c>
      <c r="G468">
        <v>39898</v>
      </c>
      <c r="H468">
        <v>1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f>SUM(Table1[[#This Row],[Gold Spending]]+Table1[[#This Row],[Sweet Spending]]+Table1[[#This Row],[Fish Spending]]+Table1[[#This Row],[Meat Spending]]+Table1[[#This Row],[Fruits Spending]]+Table1[[#This Row],[Wine Spending ]])</f>
        <v>134</v>
      </c>
      <c r="Q468">
        <v>2</v>
      </c>
      <c r="R468">
        <v>3</v>
      </c>
      <c r="S468">
        <v>0</v>
      </c>
      <c r="T468">
        <v>4</v>
      </c>
      <c r="U468">
        <f>SUM(Table1[[#This Row],[Store_Purchases]]+Table1[[#This Row],[Catalog_Purchases]]+Table1[[#This Row],[Web_Purchases]]+Table1[[#This Row],[Deal_Purchases]])</f>
        <v>9</v>
      </c>
      <c r="V468">
        <v>7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f>SUM(Table1[[#This Row],[Accepted_Campaign_2]]+Table1[[#This Row],[Accepted_Campaign_1]]+Table1[[#This Row],[Accepted_Campaign_5]]+Table1[[#This Row],[Accepted_Campaign_4]]+Table1[[#This Row],[Accepted_Campaign_3]])</f>
        <v>0</v>
      </c>
      <c r="AC468">
        <v>0</v>
      </c>
      <c r="AD468">
        <v>0</v>
      </c>
    </row>
    <row r="469" spans="1:30" x14ac:dyDescent="0.25">
      <c r="A469">
        <v>41317</v>
      </c>
      <c r="B469">
        <v>9955</v>
      </c>
      <c r="C469">
        <v>1954</v>
      </c>
      <c r="D469" t="s">
        <v>8</v>
      </c>
      <c r="E469" t="s">
        <v>6</v>
      </c>
      <c r="F469" t="s">
        <v>12</v>
      </c>
      <c r="G469">
        <v>39898</v>
      </c>
      <c r="H469">
        <v>1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f>SUM(Table1[[#This Row],[Gold Spending]]+Table1[[#This Row],[Sweet Spending]]+Table1[[#This Row],[Fish Spending]]+Table1[[#This Row],[Meat Spending]]+Table1[[#This Row],[Fruits Spending]]+Table1[[#This Row],[Wine Spending ]])</f>
        <v>134</v>
      </c>
      <c r="Q469">
        <v>2</v>
      </c>
      <c r="R469">
        <v>3</v>
      </c>
      <c r="S469">
        <v>0</v>
      </c>
      <c r="T469">
        <v>4</v>
      </c>
      <c r="U469">
        <f>SUM(Table1[[#This Row],[Store_Purchases]]+Table1[[#This Row],[Catalog_Purchases]]+Table1[[#This Row],[Web_Purchases]]+Table1[[#This Row],[Deal_Purchases]])</f>
        <v>9</v>
      </c>
      <c r="V469">
        <v>7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f>SUM(Table1[[#This Row],[Accepted_Campaign_2]]+Table1[[#This Row],[Accepted_Campaign_1]]+Table1[[#This Row],[Accepted_Campaign_5]]+Table1[[#This Row],[Accepted_Campaign_4]]+Table1[[#This Row],[Accepted_Campaign_3]])</f>
        <v>0</v>
      </c>
      <c r="AC469">
        <v>0</v>
      </c>
      <c r="AD469">
        <v>0</v>
      </c>
    </row>
    <row r="470" spans="1:30" x14ac:dyDescent="0.25">
      <c r="A470">
        <v>41303</v>
      </c>
      <c r="B470">
        <v>5320</v>
      </c>
      <c r="C470">
        <v>1973</v>
      </c>
      <c r="D470" t="s">
        <v>20</v>
      </c>
      <c r="E470" t="s">
        <v>18</v>
      </c>
      <c r="F470" t="s">
        <v>7</v>
      </c>
      <c r="G470">
        <v>44051</v>
      </c>
      <c r="H470">
        <v>2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f>SUM(Table1[[#This Row],[Gold Spending]]+Table1[[#This Row],[Sweet Spending]]+Table1[[#This Row],[Fish Spending]]+Table1[[#This Row],[Meat Spending]]+Table1[[#This Row],[Fruits Spending]]+Table1[[#This Row],[Wine Spending ]])</f>
        <v>171</v>
      </c>
      <c r="Q470">
        <v>4</v>
      </c>
      <c r="R470">
        <v>3</v>
      </c>
      <c r="S470">
        <v>1</v>
      </c>
      <c r="T470">
        <v>4</v>
      </c>
      <c r="U470">
        <f>SUM(Table1[[#This Row],[Store_Purchases]]+Table1[[#This Row],[Catalog_Purchases]]+Table1[[#This Row],[Web_Purchases]]+Table1[[#This Row],[Deal_Purchases]])</f>
        <v>12</v>
      </c>
      <c r="V470">
        <v>6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f>SUM(Table1[[#This Row],[Accepted_Campaign_2]]+Table1[[#This Row],[Accepted_Campaign_1]]+Table1[[#This Row],[Accepted_Campaign_5]]+Table1[[#This Row],[Accepted_Campaign_4]]+Table1[[#This Row],[Accepted_Campaign_3]])</f>
        <v>0</v>
      </c>
      <c r="AC470">
        <v>1</v>
      </c>
      <c r="AD470">
        <v>0</v>
      </c>
    </row>
    <row r="471" spans="1:30" x14ac:dyDescent="0.25">
      <c r="A471">
        <v>41291</v>
      </c>
      <c r="B471">
        <v>6422</v>
      </c>
      <c r="C471">
        <v>1954</v>
      </c>
      <c r="D471" t="s">
        <v>17</v>
      </c>
      <c r="E471" t="s">
        <v>6</v>
      </c>
      <c r="F471" t="s">
        <v>11</v>
      </c>
      <c r="G471">
        <v>86718</v>
      </c>
      <c r="H471">
        <v>0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f>SUM(Table1[[#This Row],[Gold Spending]]+Table1[[#This Row],[Sweet Spending]]+Table1[[#This Row],[Fish Spending]]+Table1[[#This Row],[Meat Spending]]+Table1[[#This Row],[Fruits Spending]]+Table1[[#This Row],[Wine Spending ]])</f>
        <v>1270</v>
      </c>
      <c r="Q471">
        <v>1</v>
      </c>
      <c r="R471">
        <v>5</v>
      </c>
      <c r="S471">
        <v>6</v>
      </c>
      <c r="T471">
        <v>5</v>
      </c>
      <c r="U471">
        <f>SUM(Table1[[#This Row],[Store_Purchases]]+Table1[[#This Row],[Catalog_Purchases]]+Table1[[#This Row],[Web_Purchases]]+Table1[[#This Row],[Deal_Purchases]])</f>
        <v>17</v>
      </c>
      <c r="V471">
        <v>2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f>SUM(Table1[[#This Row],[Accepted_Campaign_2]]+Table1[[#This Row],[Accepted_Campaign_1]]+Table1[[#This Row],[Accepted_Campaign_5]]+Table1[[#This Row],[Accepted_Campaign_4]]+Table1[[#This Row],[Accepted_Campaign_3]])</f>
        <v>0</v>
      </c>
      <c r="AC471">
        <v>0</v>
      </c>
      <c r="AD471">
        <v>0</v>
      </c>
    </row>
    <row r="472" spans="1:30" x14ac:dyDescent="0.25">
      <c r="A472">
        <v>41285</v>
      </c>
      <c r="B472">
        <v>3690</v>
      </c>
      <c r="C472">
        <v>1986</v>
      </c>
      <c r="D472" t="s">
        <v>8</v>
      </c>
      <c r="E472" t="s">
        <v>18</v>
      </c>
      <c r="F472" t="s">
        <v>11</v>
      </c>
      <c r="G472">
        <v>80141</v>
      </c>
      <c r="H472">
        <v>0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f>SUM(Table1[[#This Row],[Gold Spending]]+Table1[[#This Row],[Sweet Spending]]+Table1[[#This Row],[Fish Spending]]+Table1[[#This Row],[Meat Spending]]+Table1[[#This Row],[Fruits Spending]]+Table1[[#This Row],[Wine Spending ]])</f>
        <v>2091</v>
      </c>
      <c r="Q472">
        <v>1</v>
      </c>
      <c r="R472">
        <v>7</v>
      </c>
      <c r="S472">
        <v>4</v>
      </c>
      <c r="T472">
        <v>10</v>
      </c>
      <c r="U472">
        <f>SUM(Table1[[#This Row],[Store_Purchases]]+Table1[[#This Row],[Catalog_Purchases]]+Table1[[#This Row],[Web_Purchases]]+Table1[[#This Row],[Deal_Purchases]])</f>
        <v>22</v>
      </c>
      <c r="V472">
        <v>6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f>SUM(Table1[[#This Row],[Accepted_Campaign_2]]+Table1[[#This Row],[Accepted_Campaign_1]]+Table1[[#This Row],[Accepted_Campaign_5]]+Table1[[#This Row],[Accepted_Campaign_4]]+Table1[[#This Row],[Accepted_Campaign_3]])</f>
        <v>1</v>
      </c>
      <c r="AC472">
        <v>1</v>
      </c>
      <c r="AD472">
        <v>0</v>
      </c>
    </row>
    <row r="473" spans="1:30" x14ac:dyDescent="0.25">
      <c r="A473">
        <v>41233</v>
      </c>
      <c r="B473">
        <v>2408</v>
      </c>
      <c r="C473">
        <v>1976</v>
      </c>
      <c r="D473" t="s">
        <v>17</v>
      </c>
      <c r="E473" t="s">
        <v>6</v>
      </c>
      <c r="F473" t="s">
        <v>11</v>
      </c>
      <c r="G473">
        <v>58597</v>
      </c>
      <c r="H473">
        <v>2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f>SUM(Table1[[#This Row],[Gold Spending]]+Table1[[#This Row],[Sweet Spending]]+Table1[[#This Row],[Fish Spending]]+Table1[[#This Row],[Meat Spending]]+Table1[[#This Row],[Fruits Spending]]+Table1[[#This Row],[Wine Spending ]])</f>
        <v>733</v>
      </c>
      <c r="Q473">
        <v>12</v>
      </c>
      <c r="R473">
        <v>7</v>
      </c>
      <c r="S473">
        <v>4</v>
      </c>
      <c r="T473">
        <v>9</v>
      </c>
      <c r="U473">
        <f>SUM(Table1[[#This Row],[Store_Purchases]]+Table1[[#This Row],[Catalog_Purchases]]+Table1[[#This Row],[Web_Purchases]]+Table1[[#This Row],[Deal_Purchases]])</f>
        <v>32</v>
      </c>
      <c r="V473">
        <v>7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f>SUM(Table1[[#This Row],[Accepted_Campaign_2]]+Table1[[#This Row],[Accepted_Campaign_1]]+Table1[[#This Row],[Accepted_Campaign_5]]+Table1[[#This Row],[Accepted_Campaign_4]]+Table1[[#This Row],[Accepted_Campaign_3]])</f>
        <v>0</v>
      </c>
      <c r="AC473">
        <v>0</v>
      </c>
      <c r="AD473">
        <v>0</v>
      </c>
    </row>
    <row r="474" spans="1:30" x14ac:dyDescent="0.25">
      <c r="A474">
        <v>41218</v>
      </c>
      <c r="B474">
        <v>9260</v>
      </c>
      <c r="C474">
        <v>1945</v>
      </c>
      <c r="D474" t="s">
        <v>10</v>
      </c>
      <c r="E474" t="s">
        <v>14</v>
      </c>
      <c r="F474" t="s">
        <v>11</v>
      </c>
      <c r="G474">
        <v>70356</v>
      </c>
      <c r="H474">
        <v>0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f>SUM(Table1[[#This Row],[Gold Spending]]+Table1[[#This Row],[Sweet Spending]]+Table1[[#This Row],[Fish Spending]]+Table1[[#This Row],[Meat Spending]]+Table1[[#This Row],[Fruits Spending]]+Table1[[#This Row],[Wine Spending ]])</f>
        <v>1706</v>
      </c>
      <c r="Q474">
        <v>2</v>
      </c>
      <c r="R474">
        <v>10</v>
      </c>
      <c r="S474">
        <v>6</v>
      </c>
      <c r="T474">
        <v>9</v>
      </c>
      <c r="U474">
        <f>SUM(Table1[[#This Row],[Store_Purchases]]+Table1[[#This Row],[Catalog_Purchases]]+Table1[[#This Row],[Web_Purchases]]+Table1[[#This Row],[Deal_Purchases]])</f>
        <v>27</v>
      </c>
      <c r="V474">
        <v>6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f>SUM(Table1[[#This Row],[Accepted_Campaign_2]]+Table1[[#This Row],[Accepted_Campaign_1]]+Table1[[#This Row],[Accepted_Campaign_5]]+Table1[[#This Row],[Accepted_Campaign_4]]+Table1[[#This Row],[Accepted_Campaign_3]])</f>
        <v>0</v>
      </c>
      <c r="AC474">
        <v>0</v>
      </c>
      <c r="AD474">
        <v>0</v>
      </c>
    </row>
    <row r="475" spans="1:30" x14ac:dyDescent="0.25">
      <c r="A475">
        <v>41216</v>
      </c>
      <c r="B475">
        <v>9648</v>
      </c>
      <c r="C475">
        <v>1967</v>
      </c>
      <c r="D475" t="s">
        <v>8</v>
      </c>
      <c r="E475" t="s">
        <v>6</v>
      </c>
      <c r="F475" t="s">
        <v>9</v>
      </c>
      <c r="G475">
        <v>46904</v>
      </c>
      <c r="H475">
        <v>2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f>SUM(Table1[[#This Row],[Gold Spending]]+Table1[[#This Row],[Sweet Spending]]+Table1[[#This Row],[Fish Spending]]+Table1[[#This Row],[Meat Spending]]+Table1[[#This Row],[Fruits Spending]]+Table1[[#This Row],[Wine Spending ]])</f>
        <v>253</v>
      </c>
      <c r="Q475">
        <v>4</v>
      </c>
      <c r="R475">
        <v>5</v>
      </c>
      <c r="S475">
        <v>1</v>
      </c>
      <c r="T475">
        <v>4</v>
      </c>
      <c r="U475">
        <f>SUM(Table1[[#This Row],[Store_Purchases]]+Table1[[#This Row],[Catalog_Purchases]]+Table1[[#This Row],[Web_Purchases]]+Table1[[#This Row],[Deal_Purchases]])</f>
        <v>14</v>
      </c>
      <c r="V475">
        <v>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f>SUM(Table1[[#This Row],[Accepted_Campaign_2]]+Table1[[#This Row],[Accepted_Campaign_1]]+Table1[[#This Row],[Accepted_Campaign_5]]+Table1[[#This Row],[Accepted_Campaign_4]]+Table1[[#This Row],[Accepted_Campaign_3]])</f>
        <v>0</v>
      </c>
      <c r="AC475">
        <v>0</v>
      </c>
      <c r="AD475">
        <v>0</v>
      </c>
    </row>
    <row r="476" spans="1:30" x14ac:dyDescent="0.25">
      <c r="A476">
        <v>41152</v>
      </c>
      <c r="B476">
        <v>4939</v>
      </c>
      <c r="C476">
        <v>1946</v>
      </c>
      <c r="D476" t="s">
        <v>63</v>
      </c>
      <c r="E476" t="s">
        <v>6</v>
      </c>
      <c r="F476" t="s">
        <v>12</v>
      </c>
      <c r="G476">
        <v>37760</v>
      </c>
      <c r="H476">
        <v>0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f>SUM(Table1[[#This Row],[Gold Spending]]+Table1[[#This Row],[Sweet Spending]]+Table1[[#This Row],[Fish Spending]]+Table1[[#This Row],[Meat Spending]]+Table1[[#This Row],[Fruits Spending]]+Table1[[#This Row],[Wine Spending ]])</f>
        <v>317</v>
      </c>
      <c r="Q476">
        <v>2</v>
      </c>
      <c r="R476">
        <v>4</v>
      </c>
      <c r="S476">
        <v>1</v>
      </c>
      <c r="T476">
        <v>6</v>
      </c>
      <c r="U476">
        <f>SUM(Table1[[#This Row],[Store_Purchases]]+Table1[[#This Row],[Catalog_Purchases]]+Table1[[#This Row],[Web_Purchases]]+Table1[[#This Row],[Deal_Purchases]])</f>
        <v>13</v>
      </c>
      <c r="V476">
        <v>7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f>SUM(Table1[[#This Row],[Accepted_Campaign_2]]+Table1[[#This Row],[Accepted_Campaign_1]]+Table1[[#This Row],[Accepted_Campaign_5]]+Table1[[#This Row],[Accepted_Campaign_4]]+Table1[[#This Row],[Accepted_Campaign_3]])</f>
        <v>0</v>
      </c>
      <c r="AC476">
        <v>0</v>
      </c>
      <c r="AD476">
        <v>0</v>
      </c>
    </row>
    <row r="477" spans="1:30" x14ac:dyDescent="0.25">
      <c r="A477">
        <v>41152</v>
      </c>
      <c r="B477">
        <v>8652</v>
      </c>
      <c r="C477">
        <v>1946</v>
      </c>
      <c r="D477" t="s">
        <v>20</v>
      </c>
      <c r="E477" t="s">
        <v>6</v>
      </c>
      <c r="F477" t="s">
        <v>12</v>
      </c>
      <c r="G477">
        <v>37760</v>
      </c>
      <c r="H477">
        <v>0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f>SUM(Table1[[#This Row],[Gold Spending]]+Table1[[#This Row],[Sweet Spending]]+Table1[[#This Row],[Fish Spending]]+Table1[[#This Row],[Meat Spending]]+Table1[[#This Row],[Fruits Spending]]+Table1[[#This Row],[Wine Spending ]])</f>
        <v>317</v>
      </c>
      <c r="Q477">
        <v>2</v>
      </c>
      <c r="R477">
        <v>4</v>
      </c>
      <c r="S477">
        <v>1</v>
      </c>
      <c r="T477">
        <v>6</v>
      </c>
      <c r="U477">
        <f>SUM(Table1[[#This Row],[Store_Purchases]]+Table1[[#This Row],[Catalog_Purchases]]+Table1[[#This Row],[Web_Purchases]]+Table1[[#This Row],[Deal_Purchases]])</f>
        <v>13</v>
      </c>
      <c r="V477">
        <v>7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f>SUM(Table1[[#This Row],[Accepted_Campaign_2]]+Table1[[#This Row],[Accepted_Campaign_1]]+Table1[[#This Row],[Accepted_Campaign_5]]+Table1[[#This Row],[Accepted_Campaign_4]]+Table1[[#This Row],[Accepted_Campaign_3]])</f>
        <v>0</v>
      </c>
      <c r="AC477">
        <v>0</v>
      </c>
      <c r="AD477">
        <v>0</v>
      </c>
    </row>
    <row r="478" spans="1:30" x14ac:dyDescent="0.25">
      <c r="A478">
        <v>41133</v>
      </c>
      <c r="B478">
        <v>4702</v>
      </c>
      <c r="C478">
        <v>1964</v>
      </c>
      <c r="D478" t="s">
        <v>8</v>
      </c>
      <c r="E478" t="s">
        <v>6</v>
      </c>
      <c r="F478" t="s">
        <v>9</v>
      </c>
      <c r="G478">
        <v>61839</v>
      </c>
      <c r="H478">
        <v>0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f>SUM(Table1[[#This Row],[Gold Spending]]+Table1[[#This Row],[Sweet Spending]]+Table1[[#This Row],[Fish Spending]]+Table1[[#This Row],[Meat Spending]]+Table1[[#This Row],[Fruits Spending]]+Table1[[#This Row],[Wine Spending ]])</f>
        <v>1895</v>
      </c>
      <c r="Q478">
        <v>1</v>
      </c>
      <c r="R478">
        <v>4</v>
      </c>
      <c r="S478">
        <v>8</v>
      </c>
      <c r="T478">
        <v>4</v>
      </c>
      <c r="U478">
        <f>SUM(Table1[[#This Row],[Store_Purchases]]+Table1[[#This Row],[Catalog_Purchases]]+Table1[[#This Row],[Web_Purchases]]+Table1[[#This Row],[Deal_Purchases]])</f>
        <v>17</v>
      </c>
      <c r="V478">
        <v>8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f>SUM(Table1[[#This Row],[Accepted_Campaign_2]]+Table1[[#This Row],[Accepted_Campaign_1]]+Table1[[#This Row],[Accepted_Campaign_5]]+Table1[[#This Row],[Accepted_Campaign_4]]+Table1[[#This Row],[Accepted_Campaign_3]])</f>
        <v>0</v>
      </c>
      <c r="AC478">
        <v>0</v>
      </c>
      <c r="AD478">
        <v>0</v>
      </c>
    </row>
    <row r="479" spans="1:30" x14ac:dyDescent="0.25">
      <c r="A479">
        <v>41774</v>
      </c>
      <c r="B479">
        <v>2587</v>
      </c>
      <c r="C479">
        <v>1972</v>
      </c>
      <c r="D479" t="s">
        <v>13</v>
      </c>
      <c r="E479" t="s">
        <v>14</v>
      </c>
      <c r="F479" t="s">
        <v>11</v>
      </c>
      <c r="G479">
        <v>29791</v>
      </c>
      <c r="H479">
        <v>1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f>SUM(Table1[[#This Row],[Gold Spending]]+Table1[[#This Row],[Sweet Spending]]+Table1[[#This Row],[Fish Spending]]+Table1[[#This Row],[Meat Spending]]+Table1[[#This Row],[Fruits Spending]]+Table1[[#This Row],[Wine Spending ]])</f>
        <v>20</v>
      </c>
      <c r="Q479">
        <v>2</v>
      </c>
      <c r="R479">
        <v>2</v>
      </c>
      <c r="S479">
        <v>0</v>
      </c>
      <c r="T479">
        <v>3</v>
      </c>
      <c r="U479">
        <f>SUM(Table1[[#This Row],[Store_Purchases]]+Table1[[#This Row],[Catalog_Purchases]]+Table1[[#This Row],[Web_Purchases]]+Table1[[#This Row],[Deal_Purchases]])</f>
        <v>7</v>
      </c>
      <c r="V479">
        <v>5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f>SUM(Table1[[#This Row],[Accepted_Campaign_2]]+Table1[[#This Row],[Accepted_Campaign_1]]+Table1[[#This Row],[Accepted_Campaign_5]]+Table1[[#This Row],[Accepted_Campaign_4]]+Table1[[#This Row],[Accepted_Campaign_3]])</f>
        <v>0</v>
      </c>
      <c r="AC479">
        <v>0</v>
      </c>
      <c r="AD479">
        <v>0</v>
      </c>
    </row>
    <row r="480" spans="1:30" x14ac:dyDescent="0.25">
      <c r="A480">
        <v>41741</v>
      </c>
      <c r="B480">
        <v>2811</v>
      </c>
      <c r="C480">
        <v>1963</v>
      </c>
      <c r="D480" t="s">
        <v>8</v>
      </c>
      <c r="E480" t="s">
        <v>14</v>
      </c>
      <c r="F480" t="s">
        <v>9</v>
      </c>
      <c r="G480">
        <v>48918</v>
      </c>
      <c r="H480">
        <v>2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f>SUM(Table1[[#This Row],[Gold Spending]]+Table1[[#This Row],[Sweet Spending]]+Table1[[#This Row],[Fish Spending]]+Table1[[#This Row],[Meat Spending]]+Table1[[#This Row],[Fruits Spending]]+Table1[[#This Row],[Wine Spending ]])</f>
        <v>62</v>
      </c>
      <c r="Q480">
        <v>2</v>
      </c>
      <c r="R480">
        <v>1</v>
      </c>
      <c r="S480">
        <v>0</v>
      </c>
      <c r="T480">
        <v>4</v>
      </c>
      <c r="U480">
        <f>SUM(Table1[[#This Row],[Store_Purchases]]+Table1[[#This Row],[Catalog_Purchases]]+Table1[[#This Row],[Web_Purchases]]+Table1[[#This Row],[Deal_Purchases]])</f>
        <v>7</v>
      </c>
      <c r="V480">
        <v>4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f>SUM(Table1[[#This Row],[Accepted_Campaign_2]]+Table1[[#This Row],[Accepted_Campaign_1]]+Table1[[#This Row],[Accepted_Campaign_5]]+Table1[[#This Row],[Accepted_Campaign_4]]+Table1[[#This Row],[Accepted_Campaign_3]])</f>
        <v>0</v>
      </c>
      <c r="AC480">
        <v>0</v>
      </c>
      <c r="AD480">
        <v>0</v>
      </c>
    </row>
    <row r="481" spans="1:30" x14ac:dyDescent="0.25">
      <c r="A481">
        <v>41741</v>
      </c>
      <c r="B481">
        <v>9150</v>
      </c>
      <c r="C481">
        <v>1963</v>
      </c>
      <c r="D481" t="s">
        <v>8</v>
      </c>
      <c r="E481" t="s">
        <v>14</v>
      </c>
      <c r="F481" t="s">
        <v>9</v>
      </c>
      <c r="G481">
        <v>48918</v>
      </c>
      <c r="H481">
        <v>2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f>SUM(Table1[[#This Row],[Gold Spending]]+Table1[[#This Row],[Sweet Spending]]+Table1[[#This Row],[Fish Spending]]+Table1[[#This Row],[Meat Spending]]+Table1[[#This Row],[Fruits Spending]]+Table1[[#This Row],[Wine Spending ]])</f>
        <v>62</v>
      </c>
      <c r="Q481">
        <v>2</v>
      </c>
      <c r="R481">
        <v>1</v>
      </c>
      <c r="S481">
        <v>0</v>
      </c>
      <c r="T481">
        <v>4</v>
      </c>
      <c r="U481">
        <f>SUM(Table1[[#This Row],[Store_Purchases]]+Table1[[#This Row],[Catalog_Purchases]]+Table1[[#This Row],[Web_Purchases]]+Table1[[#This Row],[Deal_Purchases]])</f>
        <v>7</v>
      </c>
      <c r="V481">
        <v>4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f>SUM(Table1[[#This Row],[Accepted_Campaign_2]]+Table1[[#This Row],[Accepted_Campaign_1]]+Table1[[#This Row],[Accepted_Campaign_5]]+Table1[[#This Row],[Accepted_Campaign_4]]+Table1[[#This Row],[Accepted_Campaign_3]])</f>
        <v>0</v>
      </c>
      <c r="AC481">
        <v>0</v>
      </c>
      <c r="AD481">
        <v>0</v>
      </c>
    </row>
    <row r="482" spans="1:30" x14ac:dyDescent="0.25">
      <c r="A482">
        <v>41735</v>
      </c>
      <c r="B482">
        <v>10127</v>
      </c>
      <c r="C482">
        <v>1965</v>
      </c>
      <c r="D482" t="s">
        <v>10</v>
      </c>
      <c r="E482" t="s">
        <v>6</v>
      </c>
      <c r="F482" t="s">
        <v>11</v>
      </c>
      <c r="G482">
        <v>58692</v>
      </c>
      <c r="H482">
        <v>1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f>SUM(Table1[[#This Row],[Gold Spending]]+Table1[[#This Row],[Sweet Spending]]+Table1[[#This Row],[Fish Spending]]+Table1[[#This Row],[Meat Spending]]+Table1[[#This Row],[Fruits Spending]]+Table1[[#This Row],[Wine Spending ]])</f>
        <v>395</v>
      </c>
      <c r="Q482">
        <v>1</v>
      </c>
      <c r="R482">
        <v>8</v>
      </c>
      <c r="S482">
        <v>2</v>
      </c>
      <c r="T482">
        <v>4</v>
      </c>
      <c r="U482">
        <f>SUM(Table1[[#This Row],[Store_Purchases]]+Table1[[#This Row],[Catalog_Purchases]]+Table1[[#This Row],[Web_Purchases]]+Table1[[#This Row],[Deal_Purchases]])</f>
        <v>15</v>
      </c>
      <c r="V482">
        <v>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f>SUM(Table1[[#This Row],[Accepted_Campaign_2]]+Table1[[#This Row],[Accepted_Campaign_1]]+Table1[[#This Row],[Accepted_Campaign_5]]+Table1[[#This Row],[Accepted_Campaign_4]]+Table1[[#This Row],[Accepted_Campaign_3]])</f>
        <v>0</v>
      </c>
      <c r="AC482">
        <v>0</v>
      </c>
      <c r="AD482">
        <v>0</v>
      </c>
    </row>
    <row r="483" spans="1:30" x14ac:dyDescent="0.25">
      <c r="A483">
        <v>41717</v>
      </c>
      <c r="B483">
        <v>5493</v>
      </c>
      <c r="C483">
        <v>1976</v>
      </c>
      <c r="D483" t="s">
        <v>8</v>
      </c>
      <c r="E483" t="s">
        <v>6</v>
      </c>
      <c r="F483" t="s">
        <v>11</v>
      </c>
      <c r="G483">
        <v>39356</v>
      </c>
      <c r="H483">
        <v>2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f>SUM(Table1[[#This Row],[Gold Spending]]+Table1[[#This Row],[Sweet Spending]]+Table1[[#This Row],[Fish Spending]]+Table1[[#This Row],[Meat Spending]]+Table1[[#This Row],[Fruits Spending]]+Table1[[#This Row],[Wine Spending ]])</f>
        <v>23</v>
      </c>
      <c r="Q483">
        <v>1</v>
      </c>
      <c r="R483">
        <v>1</v>
      </c>
      <c r="S483">
        <v>0</v>
      </c>
      <c r="T483">
        <v>2</v>
      </c>
      <c r="U483">
        <f>SUM(Table1[[#This Row],[Store_Purchases]]+Table1[[#This Row],[Catalog_Purchases]]+Table1[[#This Row],[Web_Purchases]]+Table1[[#This Row],[Deal_Purchases]])</f>
        <v>4</v>
      </c>
      <c r="V483">
        <v>6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f>SUM(Table1[[#This Row],[Accepted_Campaign_2]]+Table1[[#This Row],[Accepted_Campaign_1]]+Table1[[#This Row],[Accepted_Campaign_5]]+Table1[[#This Row],[Accepted_Campaign_4]]+Table1[[#This Row],[Accepted_Campaign_3]])</f>
        <v>1</v>
      </c>
      <c r="AC483">
        <v>0</v>
      </c>
      <c r="AD483">
        <v>0</v>
      </c>
    </row>
    <row r="484" spans="1:30" x14ac:dyDescent="0.25">
      <c r="A484">
        <v>41676</v>
      </c>
      <c r="B484">
        <v>2666</v>
      </c>
      <c r="C484">
        <v>1972</v>
      </c>
      <c r="D484" t="s">
        <v>10</v>
      </c>
      <c r="E484" t="s">
        <v>18</v>
      </c>
      <c r="F484" t="s">
        <v>11</v>
      </c>
      <c r="G484">
        <v>76234</v>
      </c>
      <c r="H484">
        <v>1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f>SUM(Table1[[#This Row],[Gold Spending]]+Table1[[#This Row],[Sweet Spending]]+Table1[[#This Row],[Fish Spending]]+Table1[[#This Row],[Meat Spending]]+Table1[[#This Row],[Fruits Spending]]+Table1[[#This Row],[Wine Spending ]])</f>
        <v>907</v>
      </c>
      <c r="Q484">
        <v>1</v>
      </c>
      <c r="R484">
        <v>8</v>
      </c>
      <c r="S484">
        <v>3</v>
      </c>
      <c r="T484">
        <v>11</v>
      </c>
      <c r="U484">
        <f>SUM(Table1[[#This Row],[Store_Purchases]]+Table1[[#This Row],[Catalog_Purchases]]+Table1[[#This Row],[Web_Purchases]]+Table1[[#This Row],[Deal_Purchases]])</f>
        <v>23</v>
      </c>
      <c r="V484">
        <v>3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f>SUM(Table1[[#This Row],[Accepted_Campaign_2]]+Table1[[#This Row],[Accepted_Campaign_1]]+Table1[[#This Row],[Accepted_Campaign_5]]+Table1[[#This Row],[Accepted_Campaign_4]]+Table1[[#This Row],[Accepted_Campaign_3]])</f>
        <v>1</v>
      </c>
      <c r="AC484">
        <v>0</v>
      </c>
      <c r="AD484">
        <v>0</v>
      </c>
    </row>
    <row r="485" spans="1:30" x14ac:dyDescent="0.25">
      <c r="A485">
        <v>41552</v>
      </c>
      <c r="B485">
        <v>10099</v>
      </c>
      <c r="C485">
        <v>1984</v>
      </c>
      <c r="D485" t="s">
        <v>20</v>
      </c>
      <c r="E485" t="s">
        <v>6</v>
      </c>
      <c r="F485" t="s">
        <v>11</v>
      </c>
      <c r="G485">
        <v>55434</v>
      </c>
      <c r="H485">
        <v>1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f>SUM(Table1[[#This Row],[Gold Spending]]+Table1[[#This Row],[Sweet Spending]]+Table1[[#This Row],[Fish Spending]]+Table1[[#This Row],[Meat Spending]]+Table1[[#This Row],[Fruits Spending]]+Table1[[#This Row],[Wine Spending ]])</f>
        <v>882</v>
      </c>
      <c r="Q485">
        <v>3</v>
      </c>
      <c r="R485">
        <v>5</v>
      </c>
      <c r="S485">
        <v>3</v>
      </c>
      <c r="T485">
        <v>13</v>
      </c>
      <c r="U485">
        <f>SUM(Table1[[#This Row],[Store_Purchases]]+Table1[[#This Row],[Catalog_Purchases]]+Table1[[#This Row],[Web_Purchases]]+Table1[[#This Row],[Deal_Purchases]])</f>
        <v>24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f>SUM(Table1[[#This Row],[Accepted_Campaign_2]]+Table1[[#This Row],[Accepted_Campaign_1]]+Table1[[#This Row],[Accepted_Campaign_5]]+Table1[[#This Row],[Accepted_Campaign_4]]+Table1[[#This Row],[Accepted_Campaign_3]])</f>
        <v>0</v>
      </c>
      <c r="AC485">
        <v>0</v>
      </c>
      <c r="AD485">
        <v>0</v>
      </c>
    </row>
    <row r="486" spans="1:30" x14ac:dyDescent="0.25">
      <c r="A486">
        <v>41545</v>
      </c>
      <c r="B486">
        <v>10562</v>
      </c>
      <c r="C486">
        <v>1946</v>
      </c>
      <c r="D486" t="s">
        <v>17</v>
      </c>
      <c r="E486" t="s">
        <v>18</v>
      </c>
      <c r="F486" t="s">
        <v>11</v>
      </c>
      <c r="G486">
        <v>66835</v>
      </c>
      <c r="H486">
        <v>0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f>SUM(Table1[[#This Row],[Gold Spending]]+Table1[[#This Row],[Sweet Spending]]+Table1[[#This Row],[Fish Spending]]+Table1[[#This Row],[Meat Spending]]+Table1[[#This Row],[Fruits Spending]]+Table1[[#This Row],[Wine Spending ]])</f>
        <v>1033</v>
      </c>
      <c r="Q486">
        <v>1</v>
      </c>
      <c r="R486">
        <v>6</v>
      </c>
      <c r="S486">
        <v>4</v>
      </c>
      <c r="T486">
        <v>13</v>
      </c>
      <c r="U486">
        <f>SUM(Table1[[#This Row],[Store_Purchases]]+Table1[[#This Row],[Catalog_Purchases]]+Table1[[#This Row],[Web_Purchases]]+Table1[[#This Row],[Deal_Purchases]])</f>
        <v>24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f>SUM(Table1[[#This Row],[Accepted_Campaign_2]]+Table1[[#This Row],[Accepted_Campaign_1]]+Table1[[#This Row],[Accepted_Campaign_5]]+Table1[[#This Row],[Accepted_Campaign_4]]+Table1[[#This Row],[Accepted_Campaign_3]])</f>
        <v>0</v>
      </c>
      <c r="AC486">
        <v>0</v>
      </c>
      <c r="AD486">
        <v>0</v>
      </c>
    </row>
    <row r="487" spans="1:30" x14ac:dyDescent="0.25">
      <c r="A487">
        <v>41545</v>
      </c>
      <c r="B487">
        <v>7881</v>
      </c>
      <c r="C487">
        <v>1946</v>
      </c>
      <c r="D487" t="s">
        <v>8</v>
      </c>
      <c r="E487" t="s">
        <v>18</v>
      </c>
      <c r="F487" t="s">
        <v>11</v>
      </c>
      <c r="G487">
        <v>66835</v>
      </c>
      <c r="H487">
        <v>0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f>SUM(Table1[[#This Row],[Gold Spending]]+Table1[[#This Row],[Sweet Spending]]+Table1[[#This Row],[Fish Spending]]+Table1[[#This Row],[Meat Spending]]+Table1[[#This Row],[Fruits Spending]]+Table1[[#This Row],[Wine Spending ]])</f>
        <v>1033</v>
      </c>
      <c r="Q487">
        <v>1</v>
      </c>
      <c r="R487">
        <v>6</v>
      </c>
      <c r="S487">
        <v>4</v>
      </c>
      <c r="T487">
        <v>13</v>
      </c>
      <c r="U487">
        <f>SUM(Table1[[#This Row],[Store_Purchases]]+Table1[[#This Row],[Catalog_Purchases]]+Table1[[#This Row],[Web_Purchases]]+Table1[[#This Row],[Deal_Purchases]])</f>
        <v>24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f>SUM(Table1[[#This Row],[Accepted_Campaign_2]]+Table1[[#This Row],[Accepted_Campaign_1]]+Table1[[#This Row],[Accepted_Campaign_5]]+Table1[[#This Row],[Accepted_Campaign_4]]+Table1[[#This Row],[Accepted_Campaign_3]])</f>
        <v>0</v>
      </c>
      <c r="AC487">
        <v>0</v>
      </c>
      <c r="AD487">
        <v>0</v>
      </c>
    </row>
    <row r="488" spans="1:30" x14ac:dyDescent="0.25">
      <c r="A488">
        <v>41484</v>
      </c>
      <c r="B488">
        <v>6721</v>
      </c>
      <c r="C488">
        <v>1951</v>
      </c>
      <c r="D488" t="s">
        <v>10</v>
      </c>
      <c r="E488" t="s">
        <v>6</v>
      </c>
      <c r="F488" t="s">
        <v>11</v>
      </c>
      <c r="G488">
        <v>71965</v>
      </c>
      <c r="H488">
        <v>1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f>SUM(Table1[[#This Row],[Gold Spending]]+Table1[[#This Row],[Sweet Spending]]+Table1[[#This Row],[Fish Spending]]+Table1[[#This Row],[Meat Spending]]+Table1[[#This Row],[Fruits Spending]]+Table1[[#This Row],[Wine Spending ]])</f>
        <v>1213</v>
      </c>
      <c r="Q488">
        <v>3</v>
      </c>
      <c r="R488">
        <v>6</v>
      </c>
      <c r="S488">
        <v>3</v>
      </c>
      <c r="T488">
        <v>5</v>
      </c>
      <c r="U488">
        <f>SUM(Table1[[#This Row],[Store_Purchases]]+Table1[[#This Row],[Catalog_Purchases]]+Table1[[#This Row],[Web_Purchases]]+Table1[[#This Row],[Deal_Purchases]])</f>
        <v>17</v>
      </c>
      <c r="V488">
        <v>3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f>SUM(Table1[[#This Row],[Accepted_Campaign_2]]+Table1[[#This Row],[Accepted_Campaign_1]]+Table1[[#This Row],[Accepted_Campaign_5]]+Table1[[#This Row],[Accepted_Campaign_4]]+Table1[[#This Row],[Accepted_Campaign_3]])</f>
        <v>0</v>
      </c>
      <c r="AC488">
        <v>0</v>
      </c>
      <c r="AD488">
        <v>0</v>
      </c>
    </row>
    <row r="489" spans="1:30" x14ac:dyDescent="0.25">
      <c r="A489">
        <v>41454</v>
      </c>
      <c r="B489">
        <v>5204</v>
      </c>
      <c r="C489">
        <v>1971</v>
      </c>
      <c r="D489" t="s">
        <v>8</v>
      </c>
      <c r="E489" t="s">
        <v>6</v>
      </c>
      <c r="F489" t="s">
        <v>12</v>
      </c>
      <c r="G489">
        <v>74538</v>
      </c>
      <c r="H489">
        <v>0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f>SUM(Table1[[#This Row],[Gold Spending]]+Table1[[#This Row],[Sweet Spending]]+Table1[[#This Row],[Fish Spending]]+Table1[[#This Row],[Meat Spending]]+Table1[[#This Row],[Fruits Spending]]+Table1[[#This Row],[Wine Spending ]])</f>
        <v>1461</v>
      </c>
      <c r="Q489">
        <v>1</v>
      </c>
      <c r="R489">
        <v>8</v>
      </c>
      <c r="S489">
        <v>8</v>
      </c>
      <c r="T489">
        <v>5</v>
      </c>
      <c r="U489">
        <f>SUM(Table1[[#This Row],[Store_Purchases]]+Table1[[#This Row],[Catalog_Purchases]]+Table1[[#This Row],[Web_Purchases]]+Table1[[#This Row],[Deal_Purchases]])</f>
        <v>22</v>
      </c>
      <c r="V489">
        <v>3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f>SUM(Table1[[#This Row],[Accepted_Campaign_2]]+Table1[[#This Row],[Accepted_Campaign_1]]+Table1[[#This Row],[Accepted_Campaign_5]]+Table1[[#This Row],[Accepted_Campaign_4]]+Table1[[#This Row],[Accepted_Campaign_3]])</f>
        <v>1</v>
      </c>
      <c r="AC489">
        <v>1</v>
      </c>
      <c r="AD489">
        <v>0</v>
      </c>
    </row>
    <row r="490" spans="1:30" x14ac:dyDescent="0.25">
      <c r="A490">
        <v>41442</v>
      </c>
      <c r="B490">
        <v>5209</v>
      </c>
      <c r="C490">
        <v>1954</v>
      </c>
      <c r="D490" t="s">
        <v>20</v>
      </c>
      <c r="E490" t="s">
        <v>6</v>
      </c>
      <c r="F490" t="s">
        <v>7</v>
      </c>
      <c r="G490">
        <v>50002</v>
      </c>
      <c r="H490">
        <v>1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f>SUM(Table1[[#This Row],[Gold Spending]]+Table1[[#This Row],[Sweet Spending]]+Table1[[#This Row],[Fish Spending]]+Table1[[#This Row],[Meat Spending]]+Table1[[#This Row],[Fruits Spending]]+Table1[[#This Row],[Wine Spending ]])</f>
        <v>638</v>
      </c>
      <c r="Q490">
        <v>2</v>
      </c>
      <c r="R490">
        <v>8</v>
      </c>
      <c r="S490">
        <v>2</v>
      </c>
      <c r="T490">
        <v>7</v>
      </c>
      <c r="U490">
        <f>SUM(Table1[[#This Row],[Store_Purchases]]+Table1[[#This Row],[Catalog_Purchases]]+Table1[[#This Row],[Web_Purchases]]+Table1[[#This Row],[Deal_Purchases]])</f>
        <v>19</v>
      </c>
      <c r="V490">
        <v>7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f>SUM(Table1[[#This Row],[Accepted_Campaign_2]]+Table1[[#This Row],[Accepted_Campaign_1]]+Table1[[#This Row],[Accepted_Campaign_5]]+Table1[[#This Row],[Accepted_Campaign_4]]+Table1[[#This Row],[Accepted_Campaign_3]])</f>
        <v>0</v>
      </c>
      <c r="AC490">
        <v>0</v>
      </c>
      <c r="AD490">
        <v>0</v>
      </c>
    </row>
    <row r="491" spans="1:30" x14ac:dyDescent="0.25">
      <c r="A491">
        <v>41433</v>
      </c>
      <c r="B491">
        <v>10128</v>
      </c>
      <c r="C491">
        <v>1958</v>
      </c>
      <c r="D491" t="s">
        <v>10</v>
      </c>
      <c r="E491" t="s">
        <v>6</v>
      </c>
      <c r="F491" t="s">
        <v>12</v>
      </c>
      <c r="G491">
        <v>53977</v>
      </c>
      <c r="H491">
        <v>1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f>SUM(Table1[[#This Row],[Gold Spending]]+Table1[[#This Row],[Sweet Spending]]+Table1[[#This Row],[Fish Spending]]+Table1[[#This Row],[Meat Spending]]+Table1[[#This Row],[Fruits Spending]]+Table1[[#This Row],[Wine Spending ]])</f>
        <v>907</v>
      </c>
      <c r="Q491">
        <v>5</v>
      </c>
      <c r="R491">
        <v>5</v>
      </c>
      <c r="S491">
        <v>5</v>
      </c>
      <c r="T491">
        <v>12</v>
      </c>
      <c r="U491">
        <f>SUM(Table1[[#This Row],[Store_Purchases]]+Table1[[#This Row],[Catalog_Purchases]]+Table1[[#This Row],[Web_Purchases]]+Table1[[#This Row],[Deal_Purchases]])</f>
        <v>27</v>
      </c>
      <c r="V491">
        <v>5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f>SUM(Table1[[#This Row],[Accepted_Campaign_2]]+Table1[[#This Row],[Accepted_Campaign_1]]+Table1[[#This Row],[Accepted_Campaign_5]]+Table1[[#This Row],[Accepted_Campaign_4]]+Table1[[#This Row],[Accepted_Campaign_3]])</f>
        <v>0</v>
      </c>
      <c r="AC491">
        <v>0</v>
      </c>
      <c r="AD491">
        <v>0</v>
      </c>
    </row>
    <row r="492" spans="1:30" x14ac:dyDescent="0.25">
      <c r="A492">
        <v>41433</v>
      </c>
      <c r="B492">
        <v>9284</v>
      </c>
      <c r="C492">
        <v>1958</v>
      </c>
      <c r="D492" t="s">
        <v>8</v>
      </c>
      <c r="E492" t="s">
        <v>6</v>
      </c>
      <c r="F492" t="s">
        <v>12</v>
      </c>
      <c r="G492">
        <v>53977</v>
      </c>
      <c r="H492">
        <v>1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f>SUM(Table1[[#This Row],[Gold Spending]]+Table1[[#This Row],[Sweet Spending]]+Table1[[#This Row],[Fish Spending]]+Table1[[#This Row],[Meat Spending]]+Table1[[#This Row],[Fruits Spending]]+Table1[[#This Row],[Wine Spending ]])</f>
        <v>907</v>
      </c>
      <c r="Q492">
        <v>5</v>
      </c>
      <c r="R492">
        <v>5</v>
      </c>
      <c r="S492">
        <v>5</v>
      </c>
      <c r="T492">
        <v>12</v>
      </c>
      <c r="U492">
        <f>SUM(Table1[[#This Row],[Store_Purchases]]+Table1[[#This Row],[Catalog_Purchases]]+Table1[[#This Row],[Web_Purchases]]+Table1[[#This Row],[Deal_Purchases]])</f>
        <v>27</v>
      </c>
      <c r="V492">
        <v>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f>SUM(Table1[[#This Row],[Accepted_Campaign_2]]+Table1[[#This Row],[Accepted_Campaign_1]]+Table1[[#This Row],[Accepted_Campaign_5]]+Table1[[#This Row],[Accepted_Campaign_4]]+Table1[[#This Row],[Accepted_Campaign_3]])</f>
        <v>0</v>
      </c>
      <c r="AC492">
        <v>0</v>
      </c>
      <c r="AD492">
        <v>0</v>
      </c>
    </row>
    <row r="493" spans="1:30" x14ac:dyDescent="0.25">
      <c r="A493">
        <v>41420</v>
      </c>
      <c r="B493">
        <v>8643</v>
      </c>
      <c r="C493">
        <v>1971</v>
      </c>
      <c r="D493" t="s">
        <v>17</v>
      </c>
      <c r="E493" t="s">
        <v>6</v>
      </c>
      <c r="F493" t="s">
        <v>12</v>
      </c>
      <c r="G493">
        <v>69930</v>
      </c>
      <c r="H493">
        <v>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f>SUM(Table1[[#This Row],[Gold Spending]]+Table1[[#This Row],[Sweet Spending]]+Table1[[#This Row],[Fish Spending]]+Table1[[#This Row],[Meat Spending]]+Table1[[#This Row],[Fruits Spending]]+Table1[[#This Row],[Wine Spending ]])</f>
        <v>1662</v>
      </c>
      <c r="Q493">
        <v>1</v>
      </c>
      <c r="R493">
        <v>4</v>
      </c>
      <c r="S493">
        <v>5</v>
      </c>
      <c r="T493">
        <v>12</v>
      </c>
      <c r="U493">
        <f>SUM(Table1[[#This Row],[Store_Purchases]]+Table1[[#This Row],[Catalog_Purchases]]+Table1[[#This Row],[Web_Purchases]]+Table1[[#This Row],[Deal_Purchases]])</f>
        <v>22</v>
      </c>
      <c r="V493">
        <v>3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f>SUM(Table1[[#This Row],[Accepted_Campaign_2]]+Table1[[#This Row],[Accepted_Campaign_1]]+Table1[[#This Row],[Accepted_Campaign_5]]+Table1[[#This Row],[Accepted_Campaign_4]]+Table1[[#This Row],[Accepted_Campaign_3]])</f>
        <v>0</v>
      </c>
      <c r="AC493">
        <v>0</v>
      </c>
      <c r="AD493">
        <v>0</v>
      </c>
    </row>
    <row r="494" spans="1:30" x14ac:dyDescent="0.25">
      <c r="A494">
        <v>41350</v>
      </c>
      <c r="B494">
        <v>1685</v>
      </c>
      <c r="C494">
        <v>1967</v>
      </c>
      <c r="D494" t="s">
        <v>10</v>
      </c>
      <c r="E494" t="s">
        <v>14</v>
      </c>
      <c r="F494" t="s">
        <v>12</v>
      </c>
      <c r="G494">
        <v>62981</v>
      </c>
      <c r="H494">
        <v>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f>SUM(Table1[[#This Row],[Gold Spending]]+Table1[[#This Row],[Sweet Spending]]+Table1[[#This Row],[Fish Spending]]+Table1[[#This Row],[Meat Spending]]+Table1[[#This Row],[Fruits Spending]]+Table1[[#This Row],[Wine Spending ]])</f>
        <v>1482</v>
      </c>
      <c r="Q494">
        <v>1</v>
      </c>
      <c r="R494">
        <v>4</v>
      </c>
      <c r="S494">
        <v>5</v>
      </c>
      <c r="T494">
        <v>13</v>
      </c>
      <c r="U494">
        <f>SUM(Table1[[#This Row],[Store_Purchases]]+Table1[[#This Row],[Catalog_Purchases]]+Table1[[#This Row],[Web_Purchases]]+Table1[[#This Row],[Deal_Purchases]])</f>
        <v>23</v>
      </c>
      <c r="V494">
        <v>3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f>SUM(Table1[[#This Row],[Accepted_Campaign_2]]+Table1[[#This Row],[Accepted_Campaign_1]]+Table1[[#This Row],[Accepted_Campaign_5]]+Table1[[#This Row],[Accepted_Campaign_4]]+Table1[[#This Row],[Accepted_Campaign_3]])</f>
        <v>1</v>
      </c>
      <c r="AC494">
        <v>0</v>
      </c>
      <c r="AD494">
        <v>0</v>
      </c>
    </row>
    <row r="495" spans="1:30" x14ac:dyDescent="0.25">
      <c r="A495">
        <v>41295</v>
      </c>
      <c r="B495">
        <v>2877</v>
      </c>
      <c r="C495">
        <v>1974</v>
      </c>
      <c r="D495" t="s">
        <v>20</v>
      </c>
      <c r="E495" t="s">
        <v>18</v>
      </c>
      <c r="F495" t="s">
        <v>12</v>
      </c>
      <c r="G495">
        <v>46014</v>
      </c>
      <c r="H495">
        <v>2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f>SUM(Table1[[#This Row],[Gold Spending]]+Table1[[#This Row],[Sweet Spending]]+Table1[[#This Row],[Fish Spending]]+Table1[[#This Row],[Meat Spending]]+Table1[[#This Row],[Fruits Spending]]+Table1[[#This Row],[Wine Spending ]])</f>
        <v>541</v>
      </c>
      <c r="Q495">
        <v>10</v>
      </c>
      <c r="R495">
        <v>7</v>
      </c>
      <c r="S495">
        <v>1</v>
      </c>
      <c r="T495">
        <v>8</v>
      </c>
      <c r="U495">
        <f>SUM(Table1[[#This Row],[Store_Purchases]]+Table1[[#This Row],[Catalog_Purchases]]+Table1[[#This Row],[Web_Purchases]]+Table1[[#This Row],[Deal_Purchases]])</f>
        <v>26</v>
      </c>
      <c r="V495">
        <v>7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f>SUM(Table1[[#This Row],[Accepted_Campaign_2]]+Table1[[#This Row],[Accepted_Campaign_1]]+Table1[[#This Row],[Accepted_Campaign_5]]+Table1[[#This Row],[Accepted_Campaign_4]]+Table1[[#This Row],[Accepted_Campaign_3]])</f>
        <v>0</v>
      </c>
      <c r="AC495">
        <v>0</v>
      </c>
      <c r="AD495">
        <v>0</v>
      </c>
    </row>
    <row r="496" spans="1:30" x14ac:dyDescent="0.25">
      <c r="A496">
        <v>41221</v>
      </c>
      <c r="B496">
        <v>8369</v>
      </c>
      <c r="C496">
        <v>1987</v>
      </c>
      <c r="D496" t="s">
        <v>8</v>
      </c>
      <c r="E496" t="s">
        <v>6</v>
      </c>
      <c r="F496" t="s">
        <v>12</v>
      </c>
      <c r="G496">
        <v>18227</v>
      </c>
      <c r="H496">
        <v>1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f>SUM(Table1[[#This Row],[Gold Spending]]+Table1[[#This Row],[Sweet Spending]]+Table1[[#This Row],[Fish Spending]]+Table1[[#This Row],[Meat Spending]]+Table1[[#This Row],[Fruits Spending]]+Table1[[#This Row],[Wine Spending ]])</f>
        <v>28</v>
      </c>
      <c r="Q496">
        <v>1</v>
      </c>
      <c r="R496">
        <v>0</v>
      </c>
      <c r="S496">
        <v>1</v>
      </c>
      <c r="T496">
        <v>2</v>
      </c>
      <c r="U496">
        <f>SUM(Table1[[#This Row],[Store_Purchases]]+Table1[[#This Row],[Catalog_Purchases]]+Table1[[#This Row],[Web_Purchases]]+Table1[[#This Row],[Deal_Purchases]])</f>
        <v>4</v>
      </c>
      <c r="V496">
        <v>8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f>SUM(Table1[[#This Row],[Accepted_Campaign_2]]+Table1[[#This Row],[Accepted_Campaign_1]]+Table1[[#This Row],[Accepted_Campaign_5]]+Table1[[#This Row],[Accepted_Campaign_4]]+Table1[[#This Row],[Accepted_Campaign_3]])</f>
        <v>0</v>
      </c>
      <c r="AC496">
        <v>0</v>
      </c>
      <c r="AD496">
        <v>0</v>
      </c>
    </row>
    <row r="497" spans="1:30" x14ac:dyDescent="0.25">
      <c r="A497">
        <v>41159</v>
      </c>
      <c r="B497">
        <v>6233</v>
      </c>
      <c r="C497">
        <v>1976</v>
      </c>
      <c r="D497" t="s">
        <v>8</v>
      </c>
      <c r="E497" t="s">
        <v>6</v>
      </c>
      <c r="F497" t="s">
        <v>11</v>
      </c>
      <c r="G497">
        <v>65991</v>
      </c>
      <c r="H497">
        <v>1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f>SUM(Table1[[#This Row],[Gold Spending]]+Table1[[#This Row],[Sweet Spending]]+Table1[[#This Row],[Fish Spending]]+Table1[[#This Row],[Meat Spending]]+Table1[[#This Row],[Fruits Spending]]+Table1[[#This Row],[Wine Spending ]])</f>
        <v>971</v>
      </c>
      <c r="Q497">
        <v>3</v>
      </c>
      <c r="R497">
        <v>9</v>
      </c>
      <c r="S497">
        <v>5</v>
      </c>
      <c r="T497">
        <v>10</v>
      </c>
      <c r="U497">
        <f>SUM(Table1[[#This Row],[Store_Purchases]]+Table1[[#This Row],[Catalog_Purchases]]+Table1[[#This Row],[Web_Purchases]]+Table1[[#This Row],[Deal_Purchases]])</f>
        <v>27</v>
      </c>
      <c r="V497">
        <v>7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f>SUM(Table1[[#This Row],[Accepted_Campaign_2]]+Table1[[#This Row],[Accepted_Campaign_1]]+Table1[[#This Row],[Accepted_Campaign_5]]+Table1[[#This Row],[Accepted_Campaign_4]]+Table1[[#This Row],[Accepted_Campaign_3]])</f>
        <v>0</v>
      </c>
      <c r="AC497">
        <v>0</v>
      </c>
      <c r="AD497">
        <v>0</v>
      </c>
    </row>
    <row r="498" spans="1:30" x14ac:dyDescent="0.25">
      <c r="A498">
        <v>41147</v>
      </c>
      <c r="B498">
        <v>195</v>
      </c>
      <c r="C498">
        <v>1972</v>
      </c>
      <c r="D498" t="s">
        <v>8</v>
      </c>
      <c r="E498" t="s">
        <v>6</v>
      </c>
      <c r="F498" t="s">
        <v>9</v>
      </c>
      <c r="G498">
        <v>38808</v>
      </c>
      <c r="H498">
        <v>1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f>SUM(Table1[[#This Row],[Gold Spending]]+Table1[[#This Row],[Sweet Spending]]+Table1[[#This Row],[Fish Spending]]+Table1[[#This Row],[Meat Spending]]+Table1[[#This Row],[Fruits Spending]]+Table1[[#This Row],[Wine Spending ]])</f>
        <v>246</v>
      </c>
      <c r="Q498">
        <v>4</v>
      </c>
      <c r="R498">
        <v>5</v>
      </c>
      <c r="S498">
        <v>1</v>
      </c>
      <c r="T498">
        <v>4</v>
      </c>
      <c r="U498">
        <f>SUM(Table1[[#This Row],[Store_Purchases]]+Table1[[#This Row],[Catalog_Purchases]]+Table1[[#This Row],[Web_Purchases]]+Table1[[#This Row],[Deal_Purchases]])</f>
        <v>14</v>
      </c>
      <c r="V498">
        <v>8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f>SUM(Table1[[#This Row],[Accepted_Campaign_2]]+Table1[[#This Row],[Accepted_Campaign_1]]+Table1[[#This Row],[Accepted_Campaign_5]]+Table1[[#This Row],[Accepted_Campaign_4]]+Table1[[#This Row],[Accepted_Campaign_3]])</f>
        <v>1</v>
      </c>
      <c r="AC498">
        <v>1</v>
      </c>
      <c r="AD498">
        <v>0</v>
      </c>
    </row>
    <row r="499" spans="1:30" x14ac:dyDescent="0.25">
      <c r="A499">
        <v>41125</v>
      </c>
      <c r="B499">
        <v>1501</v>
      </c>
      <c r="C499">
        <v>1982</v>
      </c>
      <c r="D499" t="s">
        <v>63</v>
      </c>
      <c r="E499" t="s">
        <v>14</v>
      </c>
      <c r="F499" t="s">
        <v>11</v>
      </c>
      <c r="G499">
        <v>160803</v>
      </c>
      <c r="H499">
        <v>0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f>SUM(Table1[[#This Row],[Gold Spending]]+Table1[[#This Row],[Sweet Spending]]+Table1[[#This Row],[Fish Spending]]+Table1[[#This Row],[Meat Spending]]+Table1[[#This Row],[Fruits Spending]]+Table1[[#This Row],[Wine Spending ]])</f>
        <v>1717</v>
      </c>
      <c r="Q499">
        <v>15</v>
      </c>
      <c r="R499">
        <v>0</v>
      </c>
      <c r="S499">
        <v>28</v>
      </c>
      <c r="T499">
        <v>1</v>
      </c>
      <c r="U499">
        <f>SUM(Table1[[#This Row],[Store_Purchases]]+Table1[[#This Row],[Catalog_Purchases]]+Table1[[#This Row],[Web_Purchases]]+Table1[[#This Row],[Deal_Purchases]])</f>
        <v>44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f>SUM(Table1[[#This Row],[Accepted_Campaign_2]]+Table1[[#This Row],[Accepted_Campaign_1]]+Table1[[#This Row],[Accepted_Campaign_5]]+Table1[[#This Row],[Accepted_Campaign_4]]+Table1[[#This Row],[Accepted_Campaign_3]])</f>
        <v>0</v>
      </c>
      <c r="AC499">
        <v>0</v>
      </c>
      <c r="AD499">
        <v>0</v>
      </c>
    </row>
    <row r="500" spans="1:30" x14ac:dyDescent="0.25">
      <c r="A500">
        <v>41788</v>
      </c>
      <c r="B500">
        <v>10846</v>
      </c>
      <c r="C500">
        <v>1978</v>
      </c>
      <c r="D500" t="s">
        <v>10</v>
      </c>
      <c r="E500" t="s">
        <v>18</v>
      </c>
      <c r="F500" t="s">
        <v>11</v>
      </c>
      <c r="G500">
        <v>43783</v>
      </c>
      <c r="H500">
        <v>1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f>SUM(Table1[[#This Row],[Gold Spending]]+Table1[[#This Row],[Sweet Spending]]+Table1[[#This Row],[Fish Spending]]+Table1[[#This Row],[Meat Spending]]+Table1[[#This Row],[Fruits Spending]]+Table1[[#This Row],[Wine Spending ]])</f>
        <v>629</v>
      </c>
      <c r="Q500">
        <v>6</v>
      </c>
      <c r="R500">
        <v>7</v>
      </c>
      <c r="S500">
        <v>1</v>
      </c>
      <c r="T500">
        <v>8</v>
      </c>
      <c r="U500">
        <f>SUM(Table1[[#This Row],[Store_Purchases]]+Table1[[#This Row],[Catalog_Purchases]]+Table1[[#This Row],[Web_Purchases]]+Table1[[#This Row],[Deal_Purchases]])</f>
        <v>22</v>
      </c>
      <c r="V500">
        <v>7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f>SUM(Table1[[#This Row],[Accepted_Campaign_2]]+Table1[[#This Row],[Accepted_Campaign_1]]+Table1[[#This Row],[Accepted_Campaign_5]]+Table1[[#This Row],[Accepted_Campaign_4]]+Table1[[#This Row],[Accepted_Campaign_3]])</f>
        <v>1</v>
      </c>
      <c r="AC500">
        <v>0</v>
      </c>
      <c r="AD500">
        <v>0</v>
      </c>
    </row>
    <row r="501" spans="1:30" x14ac:dyDescent="0.25">
      <c r="A501">
        <v>41759</v>
      </c>
      <c r="B501">
        <v>8341</v>
      </c>
      <c r="C501">
        <v>1969</v>
      </c>
      <c r="D501" t="s">
        <v>8</v>
      </c>
      <c r="E501" t="s">
        <v>14</v>
      </c>
      <c r="F501" t="s">
        <v>11</v>
      </c>
      <c r="G501">
        <v>30396</v>
      </c>
      <c r="H501">
        <v>1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f>SUM(Table1[[#This Row],[Gold Spending]]+Table1[[#This Row],[Sweet Spending]]+Table1[[#This Row],[Fish Spending]]+Table1[[#This Row],[Meat Spending]]+Table1[[#This Row],[Fruits Spending]]+Table1[[#This Row],[Wine Spending ]])</f>
        <v>34</v>
      </c>
      <c r="Q501">
        <v>2</v>
      </c>
      <c r="R501">
        <v>1</v>
      </c>
      <c r="S501">
        <v>1</v>
      </c>
      <c r="T501">
        <v>2</v>
      </c>
      <c r="U501">
        <f>SUM(Table1[[#This Row],[Store_Purchases]]+Table1[[#This Row],[Catalog_Purchases]]+Table1[[#This Row],[Web_Purchases]]+Table1[[#This Row],[Deal_Purchases]])</f>
        <v>6</v>
      </c>
      <c r="V501">
        <v>7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f>SUM(Table1[[#This Row],[Accepted_Campaign_2]]+Table1[[#This Row],[Accepted_Campaign_1]]+Table1[[#This Row],[Accepted_Campaign_5]]+Table1[[#This Row],[Accepted_Campaign_4]]+Table1[[#This Row],[Accepted_Campaign_3]])</f>
        <v>1</v>
      </c>
      <c r="AC501">
        <v>1</v>
      </c>
      <c r="AD501">
        <v>0</v>
      </c>
    </row>
    <row r="502" spans="1:30" x14ac:dyDescent="0.25">
      <c r="A502">
        <v>41740</v>
      </c>
      <c r="B502">
        <v>10766</v>
      </c>
      <c r="C502">
        <v>1964</v>
      </c>
      <c r="D502" t="s">
        <v>8</v>
      </c>
      <c r="E502" t="s">
        <v>14</v>
      </c>
      <c r="F502" t="s">
        <v>11</v>
      </c>
      <c r="G502">
        <v>65526</v>
      </c>
      <c r="H502">
        <v>1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f>SUM(Table1[[#This Row],[Gold Spending]]+Table1[[#This Row],[Sweet Spending]]+Table1[[#This Row],[Fish Spending]]+Table1[[#This Row],[Meat Spending]]+Table1[[#This Row],[Fruits Spending]]+Table1[[#This Row],[Wine Spending ]])</f>
        <v>506</v>
      </c>
      <c r="Q502">
        <v>1</v>
      </c>
      <c r="R502">
        <v>4</v>
      </c>
      <c r="S502">
        <v>4</v>
      </c>
      <c r="T502">
        <v>8</v>
      </c>
      <c r="U502">
        <f>SUM(Table1[[#This Row],[Store_Purchases]]+Table1[[#This Row],[Catalog_Purchases]]+Table1[[#This Row],[Web_Purchases]]+Table1[[#This Row],[Deal_Purchases]])</f>
        <v>17</v>
      </c>
      <c r="V502">
        <v>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f>SUM(Table1[[#This Row],[Accepted_Campaign_2]]+Table1[[#This Row],[Accepted_Campaign_1]]+Table1[[#This Row],[Accepted_Campaign_5]]+Table1[[#This Row],[Accepted_Campaign_4]]+Table1[[#This Row],[Accepted_Campaign_3]])</f>
        <v>0</v>
      </c>
      <c r="AC502">
        <v>0</v>
      </c>
      <c r="AD502">
        <v>0</v>
      </c>
    </row>
    <row r="503" spans="1:30" x14ac:dyDescent="0.25">
      <c r="A503">
        <v>41740</v>
      </c>
      <c r="B503">
        <v>9971</v>
      </c>
      <c r="C503">
        <v>1964</v>
      </c>
      <c r="D503" t="s">
        <v>20</v>
      </c>
      <c r="E503" t="s">
        <v>14</v>
      </c>
      <c r="F503" t="s">
        <v>11</v>
      </c>
      <c r="G503">
        <v>65526</v>
      </c>
      <c r="H503">
        <v>1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f>SUM(Table1[[#This Row],[Gold Spending]]+Table1[[#This Row],[Sweet Spending]]+Table1[[#This Row],[Fish Spending]]+Table1[[#This Row],[Meat Spending]]+Table1[[#This Row],[Fruits Spending]]+Table1[[#This Row],[Wine Spending ]])</f>
        <v>506</v>
      </c>
      <c r="Q503">
        <v>1</v>
      </c>
      <c r="R503">
        <v>4</v>
      </c>
      <c r="S503">
        <v>4</v>
      </c>
      <c r="T503">
        <v>8</v>
      </c>
      <c r="U503">
        <f>SUM(Table1[[#This Row],[Store_Purchases]]+Table1[[#This Row],[Catalog_Purchases]]+Table1[[#This Row],[Web_Purchases]]+Table1[[#This Row],[Deal_Purchases]])</f>
        <v>17</v>
      </c>
      <c r="V503">
        <v>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f>SUM(Table1[[#This Row],[Accepted_Campaign_2]]+Table1[[#This Row],[Accepted_Campaign_1]]+Table1[[#This Row],[Accepted_Campaign_5]]+Table1[[#This Row],[Accepted_Campaign_4]]+Table1[[#This Row],[Accepted_Campaign_3]])</f>
        <v>0</v>
      </c>
      <c r="AC503">
        <v>0</v>
      </c>
      <c r="AD503">
        <v>0</v>
      </c>
    </row>
    <row r="504" spans="1:30" x14ac:dyDescent="0.25">
      <c r="A504">
        <v>41736</v>
      </c>
      <c r="B504">
        <v>1740</v>
      </c>
      <c r="C504">
        <v>1944</v>
      </c>
      <c r="D504" t="s">
        <v>8</v>
      </c>
      <c r="E504" t="s">
        <v>6</v>
      </c>
      <c r="F504" t="s">
        <v>11</v>
      </c>
      <c r="G504">
        <v>55956</v>
      </c>
      <c r="H504">
        <v>0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f>SUM(Table1[[#This Row],[Gold Spending]]+Table1[[#This Row],[Sweet Spending]]+Table1[[#This Row],[Fish Spending]]+Table1[[#This Row],[Meat Spending]]+Table1[[#This Row],[Fruits Spending]]+Table1[[#This Row],[Wine Spending ]])</f>
        <v>999</v>
      </c>
      <c r="Q504">
        <v>2</v>
      </c>
      <c r="R504">
        <v>7</v>
      </c>
      <c r="S504">
        <v>3</v>
      </c>
      <c r="T504">
        <v>4</v>
      </c>
      <c r="U504">
        <f>SUM(Table1[[#This Row],[Store_Purchases]]+Table1[[#This Row],[Catalog_Purchases]]+Table1[[#This Row],[Web_Purchases]]+Table1[[#This Row],[Deal_Purchases]])</f>
        <v>16</v>
      </c>
      <c r="V504">
        <v>4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f>SUM(Table1[[#This Row],[Accepted_Campaign_2]]+Table1[[#This Row],[Accepted_Campaign_1]]+Table1[[#This Row],[Accepted_Campaign_5]]+Table1[[#This Row],[Accepted_Campaign_4]]+Table1[[#This Row],[Accepted_Campaign_3]])</f>
        <v>1</v>
      </c>
      <c r="AC504">
        <v>0</v>
      </c>
      <c r="AD504">
        <v>0</v>
      </c>
    </row>
    <row r="505" spans="1:30" x14ac:dyDescent="0.25">
      <c r="A505">
        <v>41734</v>
      </c>
      <c r="B505">
        <v>8737</v>
      </c>
      <c r="C505">
        <v>1978</v>
      </c>
      <c r="D505" t="s">
        <v>8</v>
      </c>
      <c r="E505" t="s">
        <v>6</v>
      </c>
      <c r="F505" t="s">
        <v>7</v>
      </c>
      <c r="G505">
        <v>55563</v>
      </c>
      <c r="H505">
        <v>1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f>SUM(Table1[[#This Row],[Gold Spending]]+Table1[[#This Row],[Sweet Spending]]+Table1[[#This Row],[Fish Spending]]+Table1[[#This Row],[Meat Spending]]+Table1[[#This Row],[Fruits Spending]]+Table1[[#This Row],[Wine Spending ]])</f>
        <v>43</v>
      </c>
      <c r="Q505">
        <v>1</v>
      </c>
      <c r="R505">
        <v>2</v>
      </c>
      <c r="S505">
        <v>0</v>
      </c>
      <c r="T505">
        <v>3</v>
      </c>
      <c r="U505">
        <f>SUM(Table1[[#This Row],[Store_Purchases]]+Table1[[#This Row],[Catalog_Purchases]]+Table1[[#This Row],[Web_Purchases]]+Table1[[#This Row],[Deal_Purchases]])</f>
        <v>6</v>
      </c>
      <c r="V505">
        <v>3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f>SUM(Table1[[#This Row],[Accepted_Campaign_2]]+Table1[[#This Row],[Accepted_Campaign_1]]+Table1[[#This Row],[Accepted_Campaign_5]]+Table1[[#This Row],[Accepted_Campaign_4]]+Table1[[#This Row],[Accepted_Campaign_3]])</f>
        <v>0</v>
      </c>
      <c r="AC505">
        <v>0</v>
      </c>
      <c r="AD505">
        <v>0</v>
      </c>
    </row>
    <row r="506" spans="1:30" x14ac:dyDescent="0.25">
      <c r="A506">
        <v>41710</v>
      </c>
      <c r="B506">
        <v>6466</v>
      </c>
      <c r="C506">
        <v>1965</v>
      </c>
      <c r="D506" t="s">
        <v>8</v>
      </c>
      <c r="E506" t="s">
        <v>14</v>
      </c>
      <c r="F506" t="s">
        <v>11</v>
      </c>
      <c r="G506">
        <v>57236</v>
      </c>
      <c r="H506">
        <v>2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f>SUM(Table1[[#This Row],[Gold Spending]]+Table1[[#This Row],[Sweet Spending]]+Table1[[#This Row],[Fish Spending]]+Table1[[#This Row],[Meat Spending]]+Table1[[#This Row],[Fruits Spending]]+Table1[[#This Row],[Wine Spending ]])</f>
        <v>121</v>
      </c>
      <c r="Q506">
        <v>3</v>
      </c>
      <c r="R506">
        <v>2</v>
      </c>
      <c r="S506">
        <v>1</v>
      </c>
      <c r="T506">
        <v>4</v>
      </c>
      <c r="U506">
        <f>SUM(Table1[[#This Row],[Store_Purchases]]+Table1[[#This Row],[Catalog_Purchases]]+Table1[[#This Row],[Web_Purchases]]+Table1[[#This Row],[Deal_Purchases]])</f>
        <v>10</v>
      </c>
      <c r="V506">
        <v>3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f>SUM(Table1[[#This Row],[Accepted_Campaign_2]]+Table1[[#This Row],[Accepted_Campaign_1]]+Table1[[#This Row],[Accepted_Campaign_5]]+Table1[[#This Row],[Accepted_Campaign_4]]+Table1[[#This Row],[Accepted_Campaign_3]])</f>
        <v>0</v>
      </c>
      <c r="AC506">
        <v>0</v>
      </c>
      <c r="AD506">
        <v>0</v>
      </c>
    </row>
    <row r="507" spans="1:30" x14ac:dyDescent="0.25">
      <c r="A507">
        <v>41556</v>
      </c>
      <c r="B507">
        <v>10430</v>
      </c>
      <c r="C507">
        <v>1973</v>
      </c>
      <c r="D507" t="s">
        <v>13</v>
      </c>
      <c r="E507" t="s">
        <v>6</v>
      </c>
      <c r="F507" t="s">
        <v>7</v>
      </c>
      <c r="G507">
        <v>89694</v>
      </c>
      <c r="H507">
        <v>2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f>SUM(Table1[[#This Row],[Gold Spending]]+Table1[[#This Row],[Sweet Spending]]+Table1[[#This Row],[Fish Spending]]+Table1[[#This Row],[Meat Spending]]+Table1[[#This Row],[Fruits Spending]]+Table1[[#This Row],[Wine Spending ]])</f>
        <v>1472</v>
      </c>
      <c r="Q507">
        <v>3</v>
      </c>
      <c r="R507">
        <v>4</v>
      </c>
      <c r="S507">
        <v>3</v>
      </c>
      <c r="T507">
        <v>4</v>
      </c>
      <c r="U507">
        <f>SUM(Table1[[#This Row],[Store_Purchases]]+Table1[[#This Row],[Catalog_Purchases]]+Table1[[#This Row],[Web_Purchases]]+Table1[[#This Row],[Deal_Purchases]])</f>
        <v>14</v>
      </c>
      <c r="V507">
        <v>5</v>
      </c>
      <c r="W507">
        <v>0</v>
      </c>
      <c r="X507">
        <v>1</v>
      </c>
      <c r="Y507">
        <v>1</v>
      </c>
      <c r="Z507">
        <v>1</v>
      </c>
      <c r="AA507">
        <v>0</v>
      </c>
      <c r="AB507">
        <f>SUM(Table1[[#This Row],[Accepted_Campaign_2]]+Table1[[#This Row],[Accepted_Campaign_1]]+Table1[[#This Row],[Accepted_Campaign_5]]+Table1[[#This Row],[Accepted_Campaign_4]]+Table1[[#This Row],[Accepted_Campaign_3]])</f>
        <v>3</v>
      </c>
      <c r="AC507">
        <v>0</v>
      </c>
      <c r="AD507">
        <v>0</v>
      </c>
    </row>
    <row r="508" spans="1:30" x14ac:dyDescent="0.25">
      <c r="A508">
        <v>41450</v>
      </c>
      <c r="B508">
        <v>8773</v>
      </c>
      <c r="C508">
        <v>1971</v>
      </c>
      <c r="D508" t="s">
        <v>63</v>
      </c>
      <c r="E508" t="s">
        <v>18</v>
      </c>
      <c r="F508" t="s">
        <v>12</v>
      </c>
      <c r="G508">
        <v>57420</v>
      </c>
      <c r="H508">
        <v>1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f>SUM(Table1[[#This Row],[Gold Spending]]+Table1[[#This Row],[Sweet Spending]]+Table1[[#This Row],[Fish Spending]]+Table1[[#This Row],[Meat Spending]]+Table1[[#This Row],[Fruits Spending]]+Table1[[#This Row],[Wine Spending ]])</f>
        <v>322</v>
      </c>
      <c r="Q508">
        <v>3</v>
      </c>
      <c r="R508">
        <v>5</v>
      </c>
      <c r="S508">
        <v>1</v>
      </c>
      <c r="T508">
        <v>6</v>
      </c>
      <c r="U508">
        <f>SUM(Table1[[#This Row],[Store_Purchases]]+Table1[[#This Row],[Catalog_Purchases]]+Table1[[#This Row],[Web_Purchases]]+Table1[[#This Row],[Deal_Purchases]])</f>
        <v>15</v>
      </c>
      <c r="V508">
        <v>7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f>SUM(Table1[[#This Row],[Accepted_Campaign_2]]+Table1[[#This Row],[Accepted_Campaign_1]]+Table1[[#This Row],[Accepted_Campaign_5]]+Table1[[#This Row],[Accepted_Campaign_4]]+Table1[[#This Row],[Accepted_Campaign_3]])</f>
        <v>1</v>
      </c>
      <c r="AC508">
        <v>0</v>
      </c>
      <c r="AD508">
        <v>0</v>
      </c>
    </row>
    <row r="509" spans="1:30" x14ac:dyDescent="0.25">
      <c r="A509">
        <v>41377</v>
      </c>
      <c r="B509">
        <v>2371</v>
      </c>
      <c r="C509">
        <v>1972</v>
      </c>
      <c r="D509" t="s">
        <v>16</v>
      </c>
      <c r="E509" t="s">
        <v>6</v>
      </c>
      <c r="F509" t="s">
        <v>11</v>
      </c>
      <c r="G509">
        <v>33622</v>
      </c>
      <c r="H509">
        <v>2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f>SUM(Table1[[#This Row],[Gold Spending]]+Table1[[#This Row],[Sweet Spending]]+Table1[[#This Row],[Fish Spending]]+Table1[[#This Row],[Meat Spending]]+Table1[[#This Row],[Fruits Spending]]+Table1[[#This Row],[Wine Spending ]])</f>
        <v>81</v>
      </c>
      <c r="Q509">
        <v>3</v>
      </c>
      <c r="R509">
        <v>2</v>
      </c>
      <c r="S509">
        <v>0</v>
      </c>
      <c r="T509">
        <v>4</v>
      </c>
      <c r="U509">
        <f>SUM(Table1[[#This Row],[Store_Purchases]]+Table1[[#This Row],[Catalog_Purchases]]+Table1[[#This Row],[Web_Purchases]]+Table1[[#This Row],[Deal_Purchases]])</f>
        <v>9</v>
      </c>
      <c r="V509">
        <v>7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f>SUM(Table1[[#This Row],[Accepted_Campaign_2]]+Table1[[#This Row],[Accepted_Campaign_1]]+Table1[[#This Row],[Accepted_Campaign_5]]+Table1[[#This Row],[Accepted_Campaign_4]]+Table1[[#This Row],[Accepted_Campaign_3]])</f>
        <v>0</v>
      </c>
      <c r="AC509">
        <v>0</v>
      </c>
      <c r="AD509">
        <v>0</v>
      </c>
    </row>
    <row r="510" spans="1:30" x14ac:dyDescent="0.25">
      <c r="A510">
        <v>41318</v>
      </c>
      <c r="B510">
        <v>7786</v>
      </c>
      <c r="C510">
        <v>1986</v>
      </c>
      <c r="D510" t="s">
        <v>8</v>
      </c>
      <c r="E510" t="s">
        <v>14</v>
      </c>
      <c r="F510" t="s">
        <v>9</v>
      </c>
      <c r="G510">
        <v>29999</v>
      </c>
      <c r="H510">
        <v>1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f>SUM(Table1[[#This Row],[Gold Spending]]+Table1[[#This Row],[Sweet Spending]]+Table1[[#This Row],[Fish Spending]]+Table1[[#This Row],[Meat Spending]]+Table1[[#This Row],[Fruits Spending]]+Table1[[#This Row],[Wine Spending ]])</f>
        <v>160</v>
      </c>
      <c r="Q510">
        <v>4</v>
      </c>
      <c r="R510">
        <v>3</v>
      </c>
      <c r="S510">
        <v>1</v>
      </c>
      <c r="T510">
        <v>4</v>
      </c>
      <c r="U510">
        <f>SUM(Table1[[#This Row],[Store_Purchases]]+Table1[[#This Row],[Catalog_Purchases]]+Table1[[#This Row],[Web_Purchases]]+Table1[[#This Row],[Deal_Purchases]])</f>
        <v>12</v>
      </c>
      <c r="V510">
        <v>8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f>SUM(Table1[[#This Row],[Accepted_Campaign_2]]+Table1[[#This Row],[Accepted_Campaign_1]]+Table1[[#This Row],[Accepted_Campaign_5]]+Table1[[#This Row],[Accepted_Campaign_4]]+Table1[[#This Row],[Accepted_Campaign_3]])</f>
        <v>0</v>
      </c>
      <c r="AC510">
        <v>0</v>
      </c>
      <c r="AD510">
        <v>0</v>
      </c>
    </row>
    <row r="511" spans="1:30" x14ac:dyDescent="0.25">
      <c r="A511">
        <v>41249</v>
      </c>
      <c r="B511">
        <v>4088</v>
      </c>
      <c r="C511">
        <v>1962</v>
      </c>
      <c r="D511" t="s">
        <v>8</v>
      </c>
      <c r="E511" t="s">
        <v>14</v>
      </c>
      <c r="F511" t="s">
        <v>12</v>
      </c>
      <c r="G511">
        <v>31497</v>
      </c>
      <c r="H511">
        <v>1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f>SUM(Table1[[#This Row],[Gold Spending]]+Table1[[#This Row],[Sweet Spending]]+Table1[[#This Row],[Fish Spending]]+Table1[[#This Row],[Meat Spending]]+Table1[[#This Row],[Fruits Spending]]+Table1[[#This Row],[Wine Spending ]])</f>
        <v>155</v>
      </c>
      <c r="Q511">
        <v>2</v>
      </c>
      <c r="R511">
        <v>3</v>
      </c>
      <c r="S511">
        <v>1</v>
      </c>
      <c r="T511">
        <v>4</v>
      </c>
      <c r="U511">
        <f>SUM(Table1[[#This Row],[Store_Purchases]]+Table1[[#This Row],[Catalog_Purchases]]+Table1[[#This Row],[Web_Purchases]]+Table1[[#This Row],[Deal_Purchases]])</f>
        <v>10</v>
      </c>
      <c r="V511">
        <v>8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f>SUM(Table1[[#This Row],[Accepted_Campaign_2]]+Table1[[#This Row],[Accepted_Campaign_1]]+Table1[[#This Row],[Accepted_Campaign_5]]+Table1[[#This Row],[Accepted_Campaign_4]]+Table1[[#This Row],[Accepted_Campaign_3]])</f>
        <v>0</v>
      </c>
      <c r="AC511">
        <v>0</v>
      </c>
      <c r="AD511">
        <v>0</v>
      </c>
    </row>
    <row r="512" spans="1:30" x14ac:dyDescent="0.25">
      <c r="A512">
        <v>41249</v>
      </c>
      <c r="B512">
        <v>4971</v>
      </c>
      <c r="C512">
        <v>1962</v>
      </c>
      <c r="D512" t="s">
        <v>20</v>
      </c>
      <c r="E512" t="s">
        <v>14</v>
      </c>
      <c r="F512" t="s">
        <v>12</v>
      </c>
      <c r="G512">
        <v>31497</v>
      </c>
      <c r="H512">
        <v>1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f>SUM(Table1[[#This Row],[Gold Spending]]+Table1[[#This Row],[Sweet Spending]]+Table1[[#This Row],[Fish Spending]]+Table1[[#This Row],[Meat Spending]]+Table1[[#This Row],[Fruits Spending]]+Table1[[#This Row],[Wine Spending ]])</f>
        <v>155</v>
      </c>
      <c r="Q512">
        <v>2</v>
      </c>
      <c r="R512">
        <v>3</v>
      </c>
      <c r="S512">
        <v>1</v>
      </c>
      <c r="T512">
        <v>4</v>
      </c>
      <c r="U512">
        <f>SUM(Table1[[#This Row],[Store_Purchases]]+Table1[[#This Row],[Catalog_Purchases]]+Table1[[#This Row],[Web_Purchases]]+Table1[[#This Row],[Deal_Purchases]])</f>
        <v>10</v>
      </c>
      <c r="V512">
        <v>8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f>SUM(Table1[[#This Row],[Accepted_Campaign_2]]+Table1[[#This Row],[Accepted_Campaign_1]]+Table1[[#This Row],[Accepted_Campaign_5]]+Table1[[#This Row],[Accepted_Campaign_4]]+Table1[[#This Row],[Accepted_Campaign_3]])</f>
        <v>0</v>
      </c>
      <c r="AC512">
        <v>0</v>
      </c>
      <c r="AD512">
        <v>0</v>
      </c>
    </row>
    <row r="513" spans="1:30" x14ac:dyDescent="0.25">
      <c r="A513">
        <v>41806</v>
      </c>
      <c r="B513">
        <v>10560</v>
      </c>
      <c r="C513">
        <v>1980</v>
      </c>
      <c r="D513" t="s">
        <v>8</v>
      </c>
      <c r="E513" t="s">
        <v>14</v>
      </c>
      <c r="F513" t="s">
        <v>9</v>
      </c>
      <c r="G513">
        <v>36802</v>
      </c>
      <c r="H513">
        <v>1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f>SUM(Table1[[#This Row],[Gold Spending]]+Table1[[#This Row],[Sweet Spending]]+Table1[[#This Row],[Fish Spending]]+Table1[[#This Row],[Meat Spending]]+Table1[[#This Row],[Fruits Spending]]+Table1[[#This Row],[Wine Spending ]])</f>
        <v>20</v>
      </c>
      <c r="Q513">
        <v>1</v>
      </c>
      <c r="R513">
        <v>1</v>
      </c>
      <c r="S513">
        <v>0</v>
      </c>
      <c r="T513">
        <v>3</v>
      </c>
      <c r="U513">
        <f>SUM(Table1[[#This Row],[Store_Purchases]]+Table1[[#This Row],[Catalog_Purchases]]+Table1[[#This Row],[Web_Purchases]]+Table1[[#This Row],[Deal_Purchases]])</f>
        <v>5</v>
      </c>
      <c r="V513">
        <v>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f>SUM(Table1[[#This Row],[Accepted_Campaign_2]]+Table1[[#This Row],[Accepted_Campaign_1]]+Table1[[#This Row],[Accepted_Campaign_5]]+Table1[[#This Row],[Accepted_Campaign_4]]+Table1[[#This Row],[Accepted_Campaign_3]])</f>
        <v>0</v>
      </c>
      <c r="AC513">
        <v>0</v>
      </c>
      <c r="AD513">
        <v>0</v>
      </c>
    </row>
    <row r="514" spans="1:30" x14ac:dyDescent="0.25">
      <c r="A514">
        <v>41793</v>
      </c>
      <c r="B514">
        <v>6892</v>
      </c>
      <c r="C514">
        <v>1968</v>
      </c>
      <c r="D514" t="s">
        <v>8</v>
      </c>
      <c r="E514" t="s">
        <v>6</v>
      </c>
      <c r="F514" t="s">
        <v>7</v>
      </c>
      <c r="G514">
        <v>61671</v>
      </c>
      <c r="H514">
        <v>1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f>SUM(Table1[[#This Row],[Gold Spending]]+Table1[[#This Row],[Sweet Spending]]+Table1[[#This Row],[Fish Spending]]+Table1[[#This Row],[Meat Spending]]+Table1[[#This Row],[Fruits Spending]]+Table1[[#This Row],[Wine Spending ]])</f>
        <v>732</v>
      </c>
      <c r="Q514">
        <v>8</v>
      </c>
      <c r="R514">
        <v>10</v>
      </c>
      <c r="S514">
        <v>4</v>
      </c>
      <c r="T514">
        <v>6</v>
      </c>
      <c r="U514">
        <f>SUM(Table1[[#This Row],[Store_Purchases]]+Table1[[#This Row],[Catalog_Purchases]]+Table1[[#This Row],[Web_Purchases]]+Table1[[#This Row],[Deal_Purchases]])</f>
        <v>28</v>
      </c>
      <c r="V514">
        <v>8</v>
      </c>
      <c r="W514">
        <v>0</v>
      </c>
      <c r="X514">
        <v>1</v>
      </c>
      <c r="Y514">
        <v>0</v>
      </c>
      <c r="Z514">
        <v>1</v>
      </c>
      <c r="AA514">
        <v>0</v>
      </c>
      <c r="AB514">
        <f>SUM(Table1[[#This Row],[Accepted_Campaign_2]]+Table1[[#This Row],[Accepted_Campaign_1]]+Table1[[#This Row],[Accepted_Campaign_5]]+Table1[[#This Row],[Accepted_Campaign_4]]+Table1[[#This Row],[Accepted_Campaign_3]])</f>
        <v>2</v>
      </c>
      <c r="AC514">
        <v>0</v>
      </c>
      <c r="AD514">
        <v>0</v>
      </c>
    </row>
    <row r="515" spans="1:30" x14ac:dyDescent="0.25">
      <c r="A515">
        <v>41776</v>
      </c>
      <c r="B515">
        <v>11004</v>
      </c>
      <c r="C515">
        <v>1893</v>
      </c>
      <c r="D515" t="s">
        <v>20</v>
      </c>
      <c r="E515" t="s">
        <v>15</v>
      </c>
      <c r="F515" t="s">
        <v>9</v>
      </c>
      <c r="G515">
        <v>60182</v>
      </c>
      <c r="H515">
        <v>1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515">
        <v>1</v>
      </c>
      <c r="R515">
        <v>1</v>
      </c>
      <c r="S515">
        <v>0</v>
      </c>
      <c r="T515">
        <v>2</v>
      </c>
      <c r="U515">
        <f>SUM(Table1[[#This Row],[Store_Purchases]]+Table1[[#This Row],[Catalog_Purchases]]+Table1[[#This Row],[Web_Purchases]]+Table1[[#This Row],[Deal_Purchases]])</f>
        <v>4</v>
      </c>
      <c r="V515">
        <v>4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f>SUM(Table1[[#This Row],[Accepted_Campaign_2]]+Table1[[#This Row],[Accepted_Campaign_1]]+Table1[[#This Row],[Accepted_Campaign_5]]+Table1[[#This Row],[Accepted_Campaign_4]]+Table1[[#This Row],[Accepted_Campaign_3]])</f>
        <v>0</v>
      </c>
      <c r="AC515">
        <v>0</v>
      </c>
      <c r="AD515">
        <v>0</v>
      </c>
    </row>
    <row r="516" spans="1:30" x14ac:dyDescent="0.25">
      <c r="A516">
        <v>41723</v>
      </c>
      <c r="B516">
        <v>1818</v>
      </c>
      <c r="C516">
        <v>1971</v>
      </c>
      <c r="D516" t="s">
        <v>10</v>
      </c>
      <c r="E516" t="s">
        <v>14</v>
      </c>
      <c r="F516" t="s">
        <v>12</v>
      </c>
      <c r="G516">
        <v>29732</v>
      </c>
      <c r="H516">
        <v>1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f>SUM(Table1[[#This Row],[Gold Spending]]+Table1[[#This Row],[Sweet Spending]]+Table1[[#This Row],[Fish Spending]]+Table1[[#This Row],[Meat Spending]]+Table1[[#This Row],[Fruits Spending]]+Table1[[#This Row],[Wine Spending ]])</f>
        <v>38</v>
      </c>
      <c r="Q516">
        <v>1</v>
      </c>
      <c r="R516">
        <v>2</v>
      </c>
      <c r="S516">
        <v>0</v>
      </c>
      <c r="T516">
        <v>2</v>
      </c>
      <c r="U516">
        <f>SUM(Table1[[#This Row],[Store_Purchases]]+Table1[[#This Row],[Catalog_Purchases]]+Table1[[#This Row],[Web_Purchases]]+Table1[[#This Row],[Deal_Purchases]])</f>
        <v>5</v>
      </c>
      <c r="V516">
        <v>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f>SUM(Table1[[#This Row],[Accepted_Campaign_2]]+Table1[[#This Row],[Accepted_Campaign_1]]+Table1[[#This Row],[Accepted_Campaign_5]]+Table1[[#This Row],[Accepted_Campaign_4]]+Table1[[#This Row],[Accepted_Campaign_3]])</f>
        <v>0</v>
      </c>
      <c r="AC516">
        <v>0</v>
      </c>
      <c r="AD516">
        <v>0</v>
      </c>
    </row>
    <row r="517" spans="1:30" x14ac:dyDescent="0.25">
      <c r="A517">
        <v>41708</v>
      </c>
      <c r="B517">
        <v>9485</v>
      </c>
      <c r="C517">
        <v>1986</v>
      </c>
      <c r="D517" t="s">
        <v>20</v>
      </c>
      <c r="E517" t="s">
        <v>14</v>
      </c>
      <c r="F517" t="s">
        <v>11</v>
      </c>
      <c r="G517">
        <v>45921</v>
      </c>
      <c r="H517">
        <v>0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f>SUM(Table1[[#This Row],[Gold Spending]]+Table1[[#This Row],[Sweet Spending]]+Table1[[#This Row],[Fish Spending]]+Table1[[#This Row],[Meat Spending]]+Table1[[#This Row],[Fruits Spending]]+Table1[[#This Row],[Wine Spending ]])</f>
        <v>199</v>
      </c>
      <c r="Q517">
        <v>1</v>
      </c>
      <c r="R517">
        <v>2</v>
      </c>
      <c r="S517">
        <v>1</v>
      </c>
      <c r="T517">
        <v>6</v>
      </c>
      <c r="U517">
        <f>SUM(Table1[[#This Row],[Store_Purchases]]+Table1[[#This Row],[Catalog_Purchases]]+Table1[[#This Row],[Web_Purchases]]+Table1[[#This Row],[Deal_Purchases]])</f>
        <v>10</v>
      </c>
      <c r="V517">
        <v>4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f>SUM(Table1[[#This Row],[Accepted_Campaign_2]]+Table1[[#This Row],[Accepted_Campaign_1]]+Table1[[#This Row],[Accepted_Campaign_5]]+Table1[[#This Row],[Accepted_Campaign_4]]+Table1[[#This Row],[Accepted_Campaign_3]])</f>
        <v>0</v>
      </c>
      <c r="AC517">
        <v>0</v>
      </c>
      <c r="AD517">
        <v>0</v>
      </c>
    </row>
    <row r="518" spans="1:30" x14ac:dyDescent="0.25">
      <c r="A518">
        <v>41699</v>
      </c>
      <c r="B518">
        <v>6646</v>
      </c>
      <c r="C518">
        <v>1984</v>
      </c>
      <c r="D518" t="s">
        <v>10</v>
      </c>
      <c r="E518" t="s">
        <v>6</v>
      </c>
      <c r="F518" t="s">
        <v>12</v>
      </c>
      <c r="G518">
        <v>16529</v>
      </c>
      <c r="H518">
        <v>1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518">
        <v>1</v>
      </c>
      <c r="R518">
        <v>1</v>
      </c>
      <c r="S518">
        <v>0</v>
      </c>
      <c r="T518">
        <v>3</v>
      </c>
      <c r="U518">
        <f>SUM(Table1[[#This Row],[Store_Purchases]]+Table1[[#This Row],[Catalog_Purchases]]+Table1[[#This Row],[Web_Purchases]]+Table1[[#This Row],[Deal_Purchases]])</f>
        <v>5</v>
      </c>
      <c r="V518">
        <v>6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f>SUM(Table1[[#This Row],[Accepted_Campaign_2]]+Table1[[#This Row],[Accepted_Campaign_1]]+Table1[[#This Row],[Accepted_Campaign_5]]+Table1[[#This Row],[Accepted_Campaign_4]]+Table1[[#This Row],[Accepted_Campaign_3]])</f>
        <v>0</v>
      </c>
      <c r="AC518">
        <v>0</v>
      </c>
      <c r="AD518">
        <v>0</v>
      </c>
    </row>
    <row r="519" spans="1:30" x14ac:dyDescent="0.25">
      <c r="A519">
        <v>41687</v>
      </c>
      <c r="B519">
        <v>4248</v>
      </c>
      <c r="C519">
        <v>1960</v>
      </c>
      <c r="D519" t="s">
        <v>8</v>
      </c>
      <c r="E519" t="s">
        <v>18</v>
      </c>
      <c r="F519" t="s">
        <v>9</v>
      </c>
      <c r="G519">
        <v>98777</v>
      </c>
      <c r="H519">
        <v>0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f>SUM(Table1[[#This Row],[Gold Spending]]+Table1[[#This Row],[Sweet Spending]]+Table1[[#This Row],[Fish Spending]]+Table1[[#This Row],[Meat Spending]]+Table1[[#This Row],[Fruits Spending]]+Table1[[#This Row],[Wine Spending ]])</f>
        <v>2008</v>
      </c>
      <c r="Q519">
        <v>0</v>
      </c>
      <c r="R519">
        <v>4</v>
      </c>
      <c r="S519">
        <v>6</v>
      </c>
      <c r="T519">
        <v>9</v>
      </c>
      <c r="U519">
        <f>SUM(Table1[[#This Row],[Store_Purchases]]+Table1[[#This Row],[Catalog_Purchases]]+Table1[[#This Row],[Web_Purchases]]+Table1[[#This Row],[Deal_Purchases]])</f>
        <v>19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f>SUM(Table1[[#This Row],[Accepted_Campaign_2]]+Table1[[#This Row],[Accepted_Campaign_1]]+Table1[[#This Row],[Accepted_Campaign_5]]+Table1[[#This Row],[Accepted_Campaign_4]]+Table1[[#This Row],[Accepted_Campaign_3]])</f>
        <v>1</v>
      </c>
      <c r="AC519">
        <v>0</v>
      </c>
      <c r="AD519">
        <v>0</v>
      </c>
    </row>
    <row r="520" spans="1:30" x14ac:dyDescent="0.25">
      <c r="A520">
        <v>41687</v>
      </c>
      <c r="B520">
        <v>7451</v>
      </c>
      <c r="C520">
        <v>1960</v>
      </c>
      <c r="D520" t="s">
        <v>8</v>
      </c>
      <c r="E520" t="s">
        <v>18</v>
      </c>
      <c r="F520" t="s">
        <v>9</v>
      </c>
      <c r="G520">
        <v>98777</v>
      </c>
      <c r="H520">
        <v>0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f>SUM(Table1[[#This Row],[Gold Spending]]+Table1[[#This Row],[Sweet Spending]]+Table1[[#This Row],[Fish Spending]]+Table1[[#This Row],[Meat Spending]]+Table1[[#This Row],[Fruits Spending]]+Table1[[#This Row],[Wine Spending ]])</f>
        <v>2008</v>
      </c>
      <c r="Q520">
        <v>0</v>
      </c>
      <c r="R520">
        <v>4</v>
      </c>
      <c r="S520">
        <v>6</v>
      </c>
      <c r="T520">
        <v>9</v>
      </c>
      <c r="U520">
        <f>SUM(Table1[[#This Row],[Store_Purchases]]+Table1[[#This Row],[Catalog_Purchases]]+Table1[[#This Row],[Web_Purchases]]+Table1[[#This Row],[Deal_Purchases]])</f>
        <v>19</v>
      </c>
      <c r="V520">
        <v>1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f>SUM(Table1[[#This Row],[Accepted_Campaign_2]]+Table1[[#This Row],[Accepted_Campaign_1]]+Table1[[#This Row],[Accepted_Campaign_5]]+Table1[[#This Row],[Accepted_Campaign_4]]+Table1[[#This Row],[Accepted_Campaign_3]])</f>
        <v>1</v>
      </c>
      <c r="AC520">
        <v>0</v>
      </c>
      <c r="AD520">
        <v>0</v>
      </c>
    </row>
    <row r="521" spans="1:30" x14ac:dyDescent="0.25">
      <c r="A521">
        <v>41675</v>
      </c>
      <c r="B521">
        <v>7861</v>
      </c>
      <c r="C521">
        <v>1952</v>
      </c>
      <c r="D521" t="s">
        <v>8</v>
      </c>
      <c r="E521" t="s">
        <v>18</v>
      </c>
      <c r="F521" t="s">
        <v>11</v>
      </c>
      <c r="G521">
        <v>77027</v>
      </c>
      <c r="H521">
        <v>1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f>SUM(Table1[[#This Row],[Gold Spending]]+Table1[[#This Row],[Sweet Spending]]+Table1[[#This Row],[Fish Spending]]+Table1[[#This Row],[Meat Spending]]+Table1[[#This Row],[Fruits Spending]]+Table1[[#This Row],[Wine Spending ]])</f>
        <v>1175</v>
      </c>
      <c r="Q521">
        <v>2</v>
      </c>
      <c r="R521">
        <v>8</v>
      </c>
      <c r="S521">
        <v>3</v>
      </c>
      <c r="T521">
        <v>6</v>
      </c>
      <c r="U521">
        <f>SUM(Table1[[#This Row],[Store_Purchases]]+Table1[[#This Row],[Catalog_Purchases]]+Table1[[#This Row],[Web_Purchases]]+Table1[[#This Row],[Deal_Purchases]])</f>
        <v>19</v>
      </c>
      <c r="V521">
        <v>4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f>SUM(Table1[[#This Row],[Accepted_Campaign_2]]+Table1[[#This Row],[Accepted_Campaign_1]]+Table1[[#This Row],[Accepted_Campaign_5]]+Table1[[#This Row],[Accepted_Campaign_4]]+Table1[[#This Row],[Accepted_Campaign_3]])</f>
        <v>0</v>
      </c>
      <c r="AC521">
        <v>0</v>
      </c>
      <c r="AD521">
        <v>0</v>
      </c>
    </row>
    <row r="522" spans="1:30" x14ac:dyDescent="0.25">
      <c r="A522">
        <v>41666</v>
      </c>
      <c r="B522">
        <v>5232</v>
      </c>
      <c r="C522">
        <v>1965</v>
      </c>
      <c r="D522" t="s">
        <v>8</v>
      </c>
      <c r="E522" t="s">
        <v>6</v>
      </c>
      <c r="F522" t="s">
        <v>11</v>
      </c>
      <c r="G522">
        <v>69139</v>
      </c>
      <c r="H522">
        <v>1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f>SUM(Table1[[#This Row],[Gold Spending]]+Table1[[#This Row],[Sweet Spending]]+Table1[[#This Row],[Fish Spending]]+Table1[[#This Row],[Meat Spending]]+Table1[[#This Row],[Fruits Spending]]+Table1[[#This Row],[Wine Spending ]])</f>
        <v>227</v>
      </c>
      <c r="Q522">
        <v>1</v>
      </c>
      <c r="R522">
        <v>4</v>
      </c>
      <c r="S522">
        <v>1</v>
      </c>
      <c r="T522">
        <v>5</v>
      </c>
      <c r="U522">
        <f>SUM(Table1[[#This Row],[Store_Purchases]]+Table1[[#This Row],[Catalog_Purchases]]+Table1[[#This Row],[Web_Purchases]]+Table1[[#This Row],[Deal_Purchases]])</f>
        <v>11</v>
      </c>
      <c r="V522">
        <v>4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f>SUM(Table1[[#This Row],[Accepted_Campaign_2]]+Table1[[#This Row],[Accepted_Campaign_1]]+Table1[[#This Row],[Accepted_Campaign_5]]+Table1[[#This Row],[Accepted_Campaign_4]]+Table1[[#This Row],[Accepted_Campaign_3]])</f>
        <v>0</v>
      </c>
      <c r="AC522">
        <v>0</v>
      </c>
      <c r="AD522">
        <v>0</v>
      </c>
    </row>
    <row r="523" spans="1:30" x14ac:dyDescent="0.25">
      <c r="A523">
        <v>41666</v>
      </c>
      <c r="B523">
        <v>3011</v>
      </c>
      <c r="C523">
        <v>1965</v>
      </c>
      <c r="D523" t="s">
        <v>20</v>
      </c>
      <c r="E523" t="s">
        <v>6</v>
      </c>
      <c r="F523" t="s">
        <v>11</v>
      </c>
      <c r="G523">
        <v>69139</v>
      </c>
      <c r="H523">
        <v>1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f>SUM(Table1[[#This Row],[Gold Spending]]+Table1[[#This Row],[Sweet Spending]]+Table1[[#This Row],[Fish Spending]]+Table1[[#This Row],[Meat Spending]]+Table1[[#This Row],[Fruits Spending]]+Table1[[#This Row],[Wine Spending ]])</f>
        <v>227</v>
      </c>
      <c r="Q523">
        <v>1</v>
      </c>
      <c r="R523">
        <v>4</v>
      </c>
      <c r="S523">
        <v>1</v>
      </c>
      <c r="T523">
        <v>5</v>
      </c>
      <c r="U523">
        <f>SUM(Table1[[#This Row],[Store_Purchases]]+Table1[[#This Row],[Catalog_Purchases]]+Table1[[#This Row],[Web_Purchases]]+Table1[[#This Row],[Deal_Purchases]])</f>
        <v>11</v>
      </c>
      <c r="V523">
        <v>4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f>SUM(Table1[[#This Row],[Accepted_Campaign_2]]+Table1[[#This Row],[Accepted_Campaign_1]]+Table1[[#This Row],[Accepted_Campaign_5]]+Table1[[#This Row],[Accepted_Campaign_4]]+Table1[[#This Row],[Accepted_Campaign_3]])</f>
        <v>0</v>
      </c>
      <c r="AC523">
        <v>0</v>
      </c>
      <c r="AD523">
        <v>0</v>
      </c>
    </row>
    <row r="524" spans="1:30" x14ac:dyDescent="0.25">
      <c r="A524">
        <v>41653</v>
      </c>
      <c r="B524">
        <v>5758</v>
      </c>
      <c r="C524">
        <v>1982</v>
      </c>
      <c r="D524" t="s">
        <v>8</v>
      </c>
      <c r="E524" t="s">
        <v>6</v>
      </c>
      <c r="F524" t="s">
        <v>11</v>
      </c>
      <c r="G524">
        <v>65169</v>
      </c>
      <c r="H524">
        <v>0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f>SUM(Table1[[#This Row],[Gold Spending]]+Table1[[#This Row],[Sweet Spending]]+Table1[[#This Row],[Fish Spending]]+Table1[[#This Row],[Meat Spending]]+Table1[[#This Row],[Fruits Spending]]+Table1[[#This Row],[Wine Spending ]])</f>
        <v>1189</v>
      </c>
      <c r="Q524">
        <v>1</v>
      </c>
      <c r="R524">
        <v>10</v>
      </c>
      <c r="S524">
        <v>4</v>
      </c>
      <c r="T524">
        <v>13</v>
      </c>
      <c r="U524">
        <f>SUM(Table1[[#This Row],[Store_Purchases]]+Table1[[#This Row],[Catalog_Purchases]]+Table1[[#This Row],[Web_Purchases]]+Table1[[#This Row],[Deal_Purchases]])</f>
        <v>28</v>
      </c>
      <c r="V524">
        <v>6</v>
      </c>
      <c r="W524">
        <v>1</v>
      </c>
      <c r="X524">
        <v>0</v>
      </c>
      <c r="Y524">
        <v>1</v>
      </c>
      <c r="Z524">
        <v>1</v>
      </c>
      <c r="AA524">
        <v>1</v>
      </c>
      <c r="AB524">
        <f>SUM(Table1[[#This Row],[Accepted_Campaign_2]]+Table1[[#This Row],[Accepted_Campaign_1]]+Table1[[#This Row],[Accepted_Campaign_5]]+Table1[[#This Row],[Accepted_Campaign_4]]+Table1[[#This Row],[Accepted_Campaign_3]])</f>
        <v>4</v>
      </c>
      <c r="AC524">
        <v>1</v>
      </c>
      <c r="AD524">
        <v>0</v>
      </c>
    </row>
    <row r="525" spans="1:30" x14ac:dyDescent="0.25">
      <c r="A525">
        <v>41563</v>
      </c>
      <c r="B525">
        <v>2173</v>
      </c>
      <c r="C525">
        <v>1952</v>
      </c>
      <c r="D525" t="s">
        <v>8</v>
      </c>
      <c r="E525" t="s">
        <v>6</v>
      </c>
      <c r="F525" t="s">
        <v>19</v>
      </c>
      <c r="G525">
        <v>40049</v>
      </c>
      <c r="H525">
        <v>1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f>SUM(Table1[[#This Row],[Gold Spending]]+Table1[[#This Row],[Sweet Spending]]+Table1[[#This Row],[Fish Spending]]+Table1[[#This Row],[Meat Spending]]+Table1[[#This Row],[Fruits Spending]]+Table1[[#This Row],[Wine Spending ]])</f>
        <v>32</v>
      </c>
      <c r="Q525">
        <v>1</v>
      </c>
      <c r="R525">
        <v>1</v>
      </c>
      <c r="S525">
        <v>0</v>
      </c>
      <c r="T525">
        <v>3</v>
      </c>
      <c r="U525">
        <f>SUM(Table1[[#This Row],[Store_Purchases]]+Table1[[#This Row],[Catalog_Purchases]]+Table1[[#This Row],[Web_Purchases]]+Table1[[#This Row],[Deal_Purchases]])</f>
        <v>5</v>
      </c>
      <c r="V525">
        <v>6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f>SUM(Table1[[#This Row],[Accepted_Campaign_2]]+Table1[[#This Row],[Accepted_Campaign_1]]+Table1[[#This Row],[Accepted_Campaign_5]]+Table1[[#This Row],[Accepted_Campaign_4]]+Table1[[#This Row],[Accepted_Campaign_3]])</f>
        <v>0</v>
      </c>
      <c r="AC525">
        <v>0</v>
      </c>
      <c r="AD525">
        <v>0</v>
      </c>
    </row>
    <row r="526" spans="1:30" x14ac:dyDescent="0.25">
      <c r="A526">
        <v>41549</v>
      </c>
      <c r="B526">
        <v>10711</v>
      </c>
      <c r="C526">
        <v>1945</v>
      </c>
      <c r="D526" t="s">
        <v>20</v>
      </c>
      <c r="E526" t="s">
        <v>6</v>
      </c>
      <c r="F526" t="s">
        <v>11</v>
      </c>
      <c r="G526">
        <v>69755</v>
      </c>
      <c r="H526">
        <v>0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f>SUM(Table1[[#This Row],[Gold Spending]]+Table1[[#This Row],[Sweet Spending]]+Table1[[#This Row],[Fish Spending]]+Table1[[#This Row],[Meat Spending]]+Table1[[#This Row],[Fruits Spending]]+Table1[[#This Row],[Wine Spending ]])</f>
        <v>894</v>
      </c>
      <c r="Q526">
        <v>1</v>
      </c>
      <c r="R526">
        <v>3</v>
      </c>
      <c r="S526">
        <v>6</v>
      </c>
      <c r="T526">
        <v>12</v>
      </c>
      <c r="U526">
        <f>SUM(Table1[[#This Row],[Store_Purchases]]+Table1[[#This Row],[Catalog_Purchases]]+Table1[[#This Row],[Web_Purchases]]+Table1[[#This Row],[Deal_Purchases]])</f>
        <v>22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f>SUM(Table1[[#This Row],[Accepted_Campaign_2]]+Table1[[#This Row],[Accepted_Campaign_1]]+Table1[[#This Row],[Accepted_Campaign_5]]+Table1[[#This Row],[Accepted_Campaign_4]]+Table1[[#This Row],[Accepted_Campaign_3]])</f>
        <v>0</v>
      </c>
      <c r="AC526">
        <v>0</v>
      </c>
      <c r="AD526">
        <v>0</v>
      </c>
    </row>
    <row r="527" spans="1:30" x14ac:dyDescent="0.25">
      <c r="A527">
        <v>41466</v>
      </c>
      <c r="B527">
        <v>8268</v>
      </c>
      <c r="C527">
        <v>1961</v>
      </c>
      <c r="D527" t="s">
        <v>10</v>
      </c>
      <c r="E527" t="s">
        <v>14</v>
      </c>
      <c r="F527" t="s">
        <v>11</v>
      </c>
      <c r="G527">
        <v>53790.45</v>
      </c>
      <c r="H527">
        <v>1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f>SUM(Table1[[#This Row],[Gold Spending]]+Table1[[#This Row],[Sweet Spending]]+Table1[[#This Row],[Fish Spending]]+Table1[[#This Row],[Meat Spending]]+Table1[[#This Row],[Fruits Spending]]+Table1[[#This Row],[Wine Spending ]])</f>
        <v>404</v>
      </c>
      <c r="Q527">
        <v>3</v>
      </c>
      <c r="R527">
        <v>6</v>
      </c>
      <c r="S527">
        <v>1</v>
      </c>
      <c r="T527">
        <v>7</v>
      </c>
      <c r="U527">
        <f>SUM(Table1[[#This Row],[Store_Purchases]]+Table1[[#This Row],[Catalog_Purchases]]+Table1[[#This Row],[Web_Purchases]]+Table1[[#This Row],[Deal_Purchases]])</f>
        <v>17</v>
      </c>
      <c r="V527">
        <v>6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f>SUM(Table1[[#This Row],[Accepted_Campaign_2]]+Table1[[#This Row],[Accepted_Campaign_1]]+Table1[[#This Row],[Accepted_Campaign_5]]+Table1[[#This Row],[Accepted_Campaign_4]]+Table1[[#This Row],[Accepted_Campaign_3]])</f>
        <v>0</v>
      </c>
      <c r="AC527">
        <v>0</v>
      </c>
      <c r="AD527">
        <v>0</v>
      </c>
    </row>
    <row r="528" spans="1:30" x14ac:dyDescent="0.25">
      <c r="A528">
        <v>41466</v>
      </c>
      <c r="B528">
        <v>2782</v>
      </c>
      <c r="C528">
        <v>1961</v>
      </c>
      <c r="D528" t="s">
        <v>8</v>
      </c>
      <c r="E528" t="s">
        <v>14</v>
      </c>
      <c r="F528" t="s">
        <v>11</v>
      </c>
      <c r="G528">
        <v>54456</v>
      </c>
      <c r="H528">
        <v>1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f>SUM(Table1[[#This Row],[Gold Spending]]+Table1[[#This Row],[Sweet Spending]]+Table1[[#This Row],[Fish Spending]]+Table1[[#This Row],[Meat Spending]]+Table1[[#This Row],[Fruits Spending]]+Table1[[#This Row],[Wine Spending ]])</f>
        <v>404</v>
      </c>
      <c r="Q528">
        <v>3</v>
      </c>
      <c r="R528">
        <v>6</v>
      </c>
      <c r="S528">
        <v>1</v>
      </c>
      <c r="T528">
        <v>7</v>
      </c>
      <c r="U528">
        <f>SUM(Table1[[#This Row],[Store_Purchases]]+Table1[[#This Row],[Catalog_Purchases]]+Table1[[#This Row],[Web_Purchases]]+Table1[[#This Row],[Deal_Purchases]])</f>
        <v>17</v>
      </c>
      <c r="V528">
        <v>6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f>SUM(Table1[[#This Row],[Accepted_Campaign_2]]+Table1[[#This Row],[Accepted_Campaign_1]]+Table1[[#This Row],[Accepted_Campaign_5]]+Table1[[#This Row],[Accepted_Campaign_4]]+Table1[[#This Row],[Accepted_Campaign_3]])</f>
        <v>0</v>
      </c>
      <c r="AC528">
        <v>0</v>
      </c>
      <c r="AD528">
        <v>0</v>
      </c>
    </row>
    <row r="529" spans="1:30" x14ac:dyDescent="0.25">
      <c r="A529">
        <v>41427</v>
      </c>
      <c r="B529">
        <v>9432</v>
      </c>
      <c r="C529">
        <v>1977</v>
      </c>
      <c r="D529" t="s">
        <v>20</v>
      </c>
      <c r="E529" t="s">
        <v>6</v>
      </c>
      <c r="F529" t="s">
        <v>12</v>
      </c>
      <c r="G529">
        <v>666666</v>
      </c>
      <c r="H529">
        <v>1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f>SUM(Table1[[#This Row],[Gold Spending]]+Table1[[#This Row],[Sweet Spending]]+Table1[[#This Row],[Fish Spending]]+Table1[[#This Row],[Meat Spending]]+Table1[[#This Row],[Fruits Spending]]+Table1[[#This Row],[Wine Spending ]])</f>
        <v>62</v>
      </c>
      <c r="Q529">
        <v>4</v>
      </c>
      <c r="R529">
        <v>3</v>
      </c>
      <c r="S529">
        <v>1</v>
      </c>
      <c r="T529">
        <v>3</v>
      </c>
      <c r="U529">
        <f>SUM(Table1[[#This Row],[Store_Purchases]]+Table1[[#This Row],[Catalog_Purchases]]+Table1[[#This Row],[Web_Purchases]]+Table1[[#This Row],[Deal_Purchases]])</f>
        <v>11</v>
      </c>
      <c r="V529">
        <v>6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f>SUM(Table1[[#This Row],[Accepted_Campaign_2]]+Table1[[#This Row],[Accepted_Campaign_1]]+Table1[[#This Row],[Accepted_Campaign_5]]+Table1[[#This Row],[Accepted_Campaign_4]]+Table1[[#This Row],[Accepted_Campaign_3]])</f>
        <v>0</v>
      </c>
      <c r="AC529">
        <v>0</v>
      </c>
      <c r="AD529">
        <v>0</v>
      </c>
    </row>
    <row r="530" spans="1:30" x14ac:dyDescent="0.25">
      <c r="A530">
        <v>41426</v>
      </c>
      <c r="B530">
        <v>5872</v>
      </c>
      <c r="C530">
        <v>1951</v>
      </c>
      <c r="D530" t="s">
        <v>63</v>
      </c>
      <c r="E530" t="s">
        <v>6</v>
      </c>
      <c r="F530" t="s">
        <v>9</v>
      </c>
      <c r="G530">
        <v>60689</v>
      </c>
      <c r="H530">
        <v>1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f>SUM(Table1[[#This Row],[Gold Spending]]+Table1[[#This Row],[Sweet Spending]]+Table1[[#This Row],[Fish Spending]]+Table1[[#This Row],[Meat Spending]]+Table1[[#This Row],[Fruits Spending]]+Table1[[#This Row],[Wine Spending ]])</f>
        <v>639</v>
      </c>
      <c r="Q530">
        <v>4</v>
      </c>
      <c r="R530">
        <v>4</v>
      </c>
      <c r="S530">
        <v>4</v>
      </c>
      <c r="T530">
        <v>10</v>
      </c>
      <c r="U530">
        <f>SUM(Table1[[#This Row],[Store_Purchases]]+Table1[[#This Row],[Catalog_Purchases]]+Table1[[#This Row],[Web_Purchases]]+Table1[[#This Row],[Deal_Purchases]])</f>
        <v>22</v>
      </c>
      <c r="V530">
        <v>3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f>SUM(Table1[[#This Row],[Accepted_Campaign_2]]+Table1[[#This Row],[Accepted_Campaign_1]]+Table1[[#This Row],[Accepted_Campaign_5]]+Table1[[#This Row],[Accepted_Campaign_4]]+Table1[[#This Row],[Accepted_Campaign_3]])</f>
        <v>0</v>
      </c>
      <c r="AC530">
        <v>0</v>
      </c>
      <c r="AD530">
        <v>0</v>
      </c>
    </row>
    <row r="531" spans="1:30" x14ac:dyDescent="0.25">
      <c r="A531">
        <v>41414</v>
      </c>
      <c r="B531">
        <v>11187</v>
      </c>
      <c r="C531">
        <v>1978</v>
      </c>
      <c r="D531" t="s">
        <v>10</v>
      </c>
      <c r="E531" t="s">
        <v>21</v>
      </c>
      <c r="F531" t="s">
        <v>9</v>
      </c>
      <c r="G531">
        <v>26487</v>
      </c>
      <c r="H531">
        <v>1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f>SUM(Table1[[#This Row],[Gold Spending]]+Table1[[#This Row],[Sweet Spending]]+Table1[[#This Row],[Fish Spending]]+Table1[[#This Row],[Meat Spending]]+Table1[[#This Row],[Fruits Spending]]+Table1[[#This Row],[Wine Spending ]])</f>
        <v>69</v>
      </c>
      <c r="Q531">
        <v>3</v>
      </c>
      <c r="R531">
        <v>2</v>
      </c>
      <c r="S531">
        <v>1</v>
      </c>
      <c r="T531">
        <v>3</v>
      </c>
      <c r="U531">
        <f>SUM(Table1[[#This Row],[Store_Purchases]]+Table1[[#This Row],[Catalog_Purchases]]+Table1[[#This Row],[Web_Purchases]]+Table1[[#This Row],[Deal_Purchases]])</f>
        <v>9</v>
      </c>
      <c r="V531">
        <v>5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f>SUM(Table1[[#This Row],[Accepted_Campaign_2]]+Table1[[#This Row],[Accepted_Campaign_1]]+Table1[[#This Row],[Accepted_Campaign_5]]+Table1[[#This Row],[Accepted_Campaign_4]]+Table1[[#This Row],[Accepted_Campaign_3]])</f>
        <v>0</v>
      </c>
      <c r="AC531">
        <v>0</v>
      </c>
      <c r="AD531">
        <v>0</v>
      </c>
    </row>
    <row r="532" spans="1:30" x14ac:dyDescent="0.25">
      <c r="A532">
        <v>41398</v>
      </c>
      <c r="B532">
        <v>2428</v>
      </c>
      <c r="C532">
        <v>1970</v>
      </c>
      <c r="D532" t="s">
        <v>16</v>
      </c>
      <c r="E532" t="s">
        <v>6</v>
      </c>
      <c r="F532" t="s">
        <v>11</v>
      </c>
      <c r="G532">
        <v>28164</v>
      </c>
      <c r="H532">
        <v>1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f>SUM(Table1[[#This Row],[Gold Spending]]+Table1[[#This Row],[Sweet Spending]]+Table1[[#This Row],[Fish Spending]]+Table1[[#This Row],[Meat Spending]]+Table1[[#This Row],[Fruits Spending]]+Table1[[#This Row],[Wine Spending ]])</f>
        <v>78</v>
      </c>
      <c r="Q532">
        <v>3</v>
      </c>
      <c r="R532">
        <v>2</v>
      </c>
      <c r="S532">
        <v>0</v>
      </c>
      <c r="T532">
        <v>4</v>
      </c>
      <c r="U532">
        <f>SUM(Table1[[#This Row],[Store_Purchases]]+Table1[[#This Row],[Catalog_Purchases]]+Table1[[#This Row],[Web_Purchases]]+Table1[[#This Row],[Deal_Purchases]])</f>
        <v>9</v>
      </c>
      <c r="V532">
        <v>7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f>SUM(Table1[[#This Row],[Accepted_Campaign_2]]+Table1[[#This Row],[Accepted_Campaign_1]]+Table1[[#This Row],[Accepted_Campaign_5]]+Table1[[#This Row],[Accepted_Campaign_4]]+Table1[[#This Row],[Accepted_Campaign_3]])</f>
        <v>0</v>
      </c>
      <c r="AC532">
        <v>0</v>
      </c>
      <c r="AD532">
        <v>0</v>
      </c>
    </row>
    <row r="533" spans="1:30" x14ac:dyDescent="0.25">
      <c r="A533">
        <v>41351</v>
      </c>
      <c r="B533">
        <v>1726</v>
      </c>
      <c r="C533">
        <v>1970</v>
      </c>
      <c r="D533" t="s">
        <v>8</v>
      </c>
      <c r="E533" t="s">
        <v>6</v>
      </c>
      <c r="F533" t="s">
        <v>9</v>
      </c>
      <c r="G533">
        <v>22585</v>
      </c>
      <c r="H533">
        <v>0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f>SUM(Table1[[#This Row],[Gold Spending]]+Table1[[#This Row],[Sweet Spending]]+Table1[[#This Row],[Fish Spending]]+Table1[[#This Row],[Meat Spending]]+Table1[[#This Row],[Fruits Spending]]+Table1[[#This Row],[Wine Spending ]])</f>
        <v>81</v>
      </c>
      <c r="Q533">
        <v>1</v>
      </c>
      <c r="R533">
        <v>1</v>
      </c>
      <c r="S533">
        <v>1</v>
      </c>
      <c r="T533">
        <v>2</v>
      </c>
      <c r="U533">
        <f>SUM(Table1[[#This Row],[Store_Purchases]]+Table1[[#This Row],[Catalog_Purchases]]+Table1[[#This Row],[Web_Purchases]]+Table1[[#This Row],[Deal_Purchases]])</f>
        <v>5</v>
      </c>
      <c r="V533">
        <v>9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f>SUM(Table1[[#This Row],[Accepted_Campaign_2]]+Table1[[#This Row],[Accepted_Campaign_1]]+Table1[[#This Row],[Accepted_Campaign_5]]+Table1[[#This Row],[Accepted_Campaign_4]]+Table1[[#This Row],[Accepted_Campaign_3]])</f>
        <v>1</v>
      </c>
      <c r="AC533">
        <v>1</v>
      </c>
      <c r="AD533">
        <v>0</v>
      </c>
    </row>
    <row r="534" spans="1:30" x14ac:dyDescent="0.25">
      <c r="A534">
        <v>41291</v>
      </c>
      <c r="B534">
        <v>1802</v>
      </c>
      <c r="C534">
        <v>1971</v>
      </c>
      <c r="D534" t="s">
        <v>8</v>
      </c>
      <c r="E534" t="s">
        <v>6</v>
      </c>
      <c r="F534" t="s">
        <v>11</v>
      </c>
      <c r="G534">
        <v>64795</v>
      </c>
      <c r="H534">
        <v>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f>SUM(Table1[[#This Row],[Gold Spending]]+Table1[[#This Row],[Sweet Spending]]+Table1[[#This Row],[Fish Spending]]+Table1[[#This Row],[Meat Spending]]+Table1[[#This Row],[Fruits Spending]]+Table1[[#This Row],[Wine Spending ]])</f>
        <v>680</v>
      </c>
      <c r="Q534">
        <v>3</v>
      </c>
      <c r="R534">
        <v>3</v>
      </c>
      <c r="S534">
        <v>3</v>
      </c>
      <c r="T534">
        <v>12</v>
      </c>
      <c r="U534">
        <f>SUM(Table1[[#This Row],[Store_Purchases]]+Table1[[#This Row],[Catalog_Purchases]]+Table1[[#This Row],[Web_Purchases]]+Table1[[#This Row],[Deal_Purchases]])</f>
        <v>21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f>SUM(Table1[[#This Row],[Accepted_Campaign_2]]+Table1[[#This Row],[Accepted_Campaign_1]]+Table1[[#This Row],[Accepted_Campaign_5]]+Table1[[#This Row],[Accepted_Campaign_4]]+Table1[[#This Row],[Accepted_Campaign_3]])</f>
        <v>0</v>
      </c>
      <c r="AC534">
        <v>0</v>
      </c>
      <c r="AD534">
        <v>0</v>
      </c>
    </row>
    <row r="535" spans="1:30" x14ac:dyDescent="0.25">
      <c r="A535">
        <v>41284</v>
      </c>
      <c r="B535">
        <v>1162</v>
      </c>
      <c r="C535">
        <v>1987</v>
      </c>
      <c r="D535" t="s">
        <v>8</v>
      </c>
      <c r="E535" t="s">
        <v>14</v>
      </c>
      <c r="F535" t="s">
        <v>9</v>
      </c>
      <c r="G535">
        <v>42000</v>
      </c>
      <c r="H535">
        <v>0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f>SUM(Table1[[#This Row],[Gold Spending]]+Table1[[#This Row],[Sweet Spending]]+Table1[[#This Row],[Fish Spending]]+Table1[[#This Row],[Meat Spending]]+Table1[[#This Row],[Fruits Spending]]+Table1[[#This Row],[Wine Spending ]])</f>
        <v>653</v>
      </c>
      <c r="Q535">
        <v>2</v>
      </c>
      <c r="R535">
        <v>5</v>
      </c>
      <c r="S535">
        <v>2</v>
      </c>
      <c r="T535">
        <v>11</v>
      </c>
      <c r="U535">
        <f>SUM(Table1[[#This Row],[Store_Purchases]]+Table1[[#This Row],[Catalog_Purchases]]+Table1[[#This Row],[Web_Purchases]]+Table1[[#This Row],[Deal_Purchases]])</f>
        <v>20</v>
      </c>
      <c r="V535">
        <v>5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f>SUM(Table1[[#This Row],[Accepted_Campaign_2]]+Table1[[#This Row],[Accepted_Campaign_1]]+Table1[[#This Row],[Accepted_Campaign_5]]+Table1[[#This Row],[Accepted_Campaign_4]]+Table1[[#This Row],[Accepted_Campaign_3]])</f>
        <v>0</v>
      </c>
      <c r="AC535">
        <v>1</v>
      </c>
      <c r="AD535">
        <v>0</v>
      </c>
    </row>
    <row r="536" spans="1:30" x14ac:dyDescent="0.25">
      <c r="A536">
        <v>41284</v>
      </c>
      <c r="B536">
        <v>10643</v>
      </c>
      <c r="C536">
        <v>1987</v>
      </c>
      <c r="D536" t="s">
        <v>13</v>
      </c>
      <c r="E536" t="s">
        <v>14</v>
      </c>
      <c r="F536" t="s">
        <v>9</v>
      </c>
      <c r="G536">
        <v>42000</v>
      </c>
      <c r="H536">
        <v>0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f>SUM(Table1[[#This Row],[Gold Spending]]+Table1[[#This Row],[Sweet Spending]]+Table1[[#This Row],[Fish Spending]]+Table1[[#This Row],[Meat Spending]]+Table1[[#This Row],[Fruits Spending]]+Table1[[#This Row],[Wine Spending ]])</f>
        <v>653</v>
      </c>
      <c r="Q536">
        <v>2</v>
      </c>
      <c r="R536">
        <v>5</v>
      </c>
      <c r="S536">
        <v>2</v>
      </c>
      <c r="T536">
        <v>11</v>
      </c>
      <c r="U536">
        <f>SUM(Table1[[#This Row],[Store_Purchases]]+Table1[[#This Row],[Catalog_Purchases]]+Table1[[#This Row],[Web_Purchases]]+Table1[[#This Row],[Deal_Purchases]])</f>
        <v>20</v>
      </c>
      <c r="V536">
        <v>5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f>SUM(Table1[[#This Row],[Accepted_Campaign_2]]+Table1[[#This Row],[Accepted_Campaign_1]]+Table1[[#This Row],[Accepted_Campaign_5]]+Table1[[#This Row],[Accepted_Campaign_4]]+Table1[[#This Row],[Accepted_Campaign_3]])</f>
        <v>0</v>
      </c>
      <c r="AC536">
        <v>1</v>
      </c>
      <c r="AD536">
        <v>0</v>
      </c>
    </row>
    <row r="537" spans="1:30" x14ac:dyDescent="0.25">
      <c r="A537">
        <v>41246</v>
      </c>
      <c r="B537">
        <v>11112</v>
      </c>
      <c r="C537">
        <v>1966</v>
      </c>
      <c r="D537" t="s">
        <v>8</v>
      </c>
      <c r="E537" t="s">
        <v>6</v>
      </c>
      <c r="F537" t="s">
        <v>12</v>
      </c>
      <c r="G537">
        <v>70713</v>
      </c>
      <c r="H537">
        <v>1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f>SUM(Table1[[#This Row],[Gold Spending]]+Table1[[#This Row],[Sweet Spending]]+Table1[[#This Row],[Fish Spending]]+Table1[[#This Row],[Meat Spending]]+Table1[[#This Row],[Fruits Spending]]+Table1[[#This Row],[Wine Spending ]])</f>
        <v>1477</v>
      </c>
      <c r="Q537">
        <v>6</v>
      </c>
      <c r="R537">
        <v>5</v>
      </c>
      <c r="S537">
        <v>6</v>
      </c>
      <c r="T537">
        <v>8</v>
      </c>
      <c r="U537">
        <f>SUM(Table1[[#This Row],[Store_Purchases]]+Table1[[#This Row],[Catalog_Purchases]]+Table1[[#This Row],[Web_Purchases]]+Table1[[#This Row],[Deal_Purchases]])</f>
        <v>25</v>
      </c>
      <c r="V537">
        <v>3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f>SUM(Table1[[#This Row],[Accepted_Campaign_2]]+Table1[[#This Row],[Accepted_Campaign_1]]+Table1[[#This Row],[Accepted_Campaign_5]]+Table1[[#This Row],[Accepted_Campaign_4]]+Table1[[#This Row],[Accepted_Campaign_3]])</f>
        <v>0</v>
      </c>
      <c r="AC537">
        <v>0</v>
      </c>
      <c r="AD537">
        <v>0</v>
      </c>
    </row>
    <row r="538" spans="1:30" x14ac:dyDescent="0.25">
      <c r="A538">
        <v>41237</v>
      </c>
      <c r="B538">
        <v>2114</v>
      </c>
      <c r="C538">
        <v>1946</v>
      </c>
      <c r="D538" t="s">
        <v>63</v>
      </c>
      <c r="E538" t="s">
        <v>14</v>
      </c>
      <c r="F538" t="s">
        <v>9</v>
      </c>
      <c r="G538">
        <v>82800</v>
      </c>
      <c r="H538">
        <v>0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f>SUM(Table1[[#This Row],[Gold Spending]]+Table1[[#This Row],[Sweet Spending]]+Table1[[#This Row],[Fish Spending]]+Table1[[#This Row],[Meat Spending]]+Table1[[#This Row],[Fruits Spending]]+Table1[[#This Row],[Wine Spending ]])</f>
        <v>1315</v>
      </c>
      <c r="Q538">
        <v>1</v>
      </c>
      <c r="R538">
        <v>7</v>
      </c>
      <c r="S538">
        <v>6</v>
      </c>
      <c r="T538">
        <v>12</v>
      </c>
      <c r="U538">
        <f>SUM(Table1[[#This Row],[Store_Purchases]]+Table1[[#This Row],[Catalog_Purchases]]+Table1[[#This Row],[Web_Purchases]]+Table1[[#This Row],[Deal_Purchases]])</f>
        <v>26</v>
      </c>
      <c r="V538">
        <v>3</v>
      </c>
      <c r="W538">
        <v>0</v>
      </c>
      <c r="X538">
        <v>0</v>
      </c>
      <c r="Y538">
        <v>1</v>
      </c>
      <c r="Z538">
        <v>1</v>
      </c>
      <c r="AA538">
        <v>0</v>
      </c>
      <c r="AB538">
        <f>SUM(Table1[[#This Row],[Accepted_Campaign_2]]+Table1[[#This Row],[Accepted_Campaign_1]]+Table1[[#This Row],[Accepted_Campaign_5]]+Table1[[#This Row],[Accepted_Campaign_4]]+Table1[[#This Row],[Accepted_Campaign_3]])</f>
        <v>2</v>
      </c>
      <c r="AC538">
        <v>1</v>
      </c>
      <c r="AD538">
        <v>0</v>
      </c>
    </row>
    <row r="539" spans="1:30" x14ac:dyDescent="0.25">
      <c r="A539">
        <v>41237</v>
      </c>
      <c r="B539">
        <v>4261</v>
      </c>
      <c r="C539">
        <v>1946</v>
      </c>
      <c r="D539" t="s">
        <v>20</v>
      </c>
      <c r="E539" t="s">
        <v>14</v>
      </c>
      <c r="F539" t="s">
        <v>9</v>
      </c>
      <c r="G539">
        <v>82800</v>
      </c>
      <c r="H539">
        <v>0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f>SUM(Table1[[#This Row],[Gold Spending]]+Table1[[#This Row],[Sweet Spending]]+Table1[[#This Row],[Fish Spending]]+Table1[[#This Row],[Meat Spending]]+Table1[[#This Row],[Fruits Spending]]+Table1[[#This Row],[Wine Spending ]])</f>
        <v>1315</v>
      </c>
      <c r="Q539">
        <v>1</v>
      </c>
      <c r="R539">
        <v>7</v>
      </c>
      <c r="S539">
        <v>6</v>
      </c>
      <c r="T539">
        <v>12</v>
      </c>
      <c r="U539">
        <f>SUM(Table1[[#This Row],[Store_Purchases]]+Table1[[#This Row],[Catalog_Purchases]]+Table1[[#This Row],[Web_Purchases]]+Table1[[#This Row],[Deal_Purchases]])</f>
        <v>26</v>
      </c>
      <c r="V539">
        <v>3</v>
      </c>
      <c r="W539">
        <v>0</v>
      </c>
      <c r="X539">
        <v>0</v>
      </c>
      <c r="Y539">
        <v>1</v>
      </c>
      <c r="Z539">
        <v>1</v>
      </c>
      <c r="AA539">
        <v>0</v>
      </c>
      <c r="AB539">
        <f>SUM(Table1[[#This Row],[Accepted_Campaign_2]]+Table1[[#This Row],[Accepted_Campaign_1]]+Table1[[#This Row],[Accepted_Campaign_5]]+Table1[[#This Row],[Accepted_Campaign_4]]+Table1[[#This Row],[Accepted_Campaign_3]])</f>
        <v>2</v>
      </c>
      <c r="AC539">
        <v>1</v>
      </c>
      <c r="AD539">
        <v>0</v>
      </c>
    </row>
    <row r="540" spans="1:30" x14ac:dyDescent="0.25">
      <c r="A540">
        <v>41208</v>
      </c>
      <c r="B540">
        <v>2457</v>
      </c>
      <c r="C540">
        <v>1975</v>
      </c>
      <c r="D540" t="s">
        <v>8</v>
      </c>
      <c r="E540" t="s">
        <v>21</v>
      </c>
      <c r="F540" t="s">
        <v>11</v>
      </c>
      <c r="G540">
        <v>30801</v>
      </c>
      <c r="H540">
        <v>1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f>SUM(Table1[[#This Row],[Gold Spending]]+Table1[[#This Row],[Sweet Spending]]+Table1[[#This Row],[Fish Spending]]+Table1[[#This Row],[Meat Spending]]+Table1[[#This Row],[Fruits Spending]]+Table1[[#This Row],[Wine Spending ]])</f>
        <v>45</v>
      </c>
      <c r="Q540">
        <v>2</v>
      </c>
      <c r="R540">
        <v>1</v>
      </c>
      <c r="S540">
        <v>0</v>
      </c>
      <c r="T540">
        <v>3</v>
      </c>
      <c r="U540">
        <f>SUM(Table1[[#This Row],[Store_Purchases]]+Table1[[#This Row],[Catalog_Purchases]]+Table1[[#This Row],[Web_Purchases]]+Table1[[#This Row],[Deal_Purchases]])</f>
        <v>6</v>
      </c>
      <c r="V540">
        <v>7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f>SUM(Table1[[#This Row],[Accepted_Campaign_2]]+Table1[[#This Row],[Accepted_Campaign_1]]+Table1[[#This Row],[Accepted_Campaign_5]]+Table1[[#This Row],[Accepted_Campaign_4]]+Table1[[#This Row],[Accepted_Campaign_3]])</f>
        <v>0</v>
      </c>
      <c r="AC540">
        <v>0</v>
      </c>
      <c r="AD540">
        <v>0</v>
      </c>
    </row>
    <row r="541" spans="1:30" x14ac:dyDescent="0.25">
      <c r="A541">
        <v>41810</v>
      </c>
      <c r="B541">
        <v>2495</v>
      </c>
      <c r="C541">
        <v>1974</v>
      </c>
      <c r="D541" t="s">
        <v>8</v>
      </c>
      <c r="E541" t="s">
        <v>18</v>
      </c>
      <c r="F541" t="s">
        <v>11</v>
      </c>
      <c r="G541">
        <v>83891</v>
      </c>
      <c r="H541">
        <v>1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f>SUM(Table1[[#This Row],[Gold Spending]]+Table1[[#This Row],[Sweet Spending]]+Table1[[#This Row],[Fish Spending]]+Table1[[#This Row],[Meat Spending]]+Table1[[#This Row],[Fruits Spending]]+Table1[[#This Row],[Wine Spending ]])</f>
        <v>816</v>
      </c>
      <c r="Q541">
        <v>1</v>
      </c>
      <c r="R541">
        <v>4</v>
      </c>
      <c r="S541">
        <v>7</v>
      </c>
      <c r="T541">
        <v>10</v>
      </c>
      <c r="U541">
        <f>SUM(Table1[[#This Row],[Store_Purchases]]+Table1[[#This Row],[Catalog_Purchases]]+Table1[[#This Row],[Web_Purchases]]+Table1[[#This Row],[Deal_Purchases]])</f>
        <v>22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f>SUM(Table1[[#This Row],[Accepted_Campaign_2]]+Table1[[#This Row],[Accepted_Campaign_1]]+Table1[[#This Row],[Accepted_Campaign_5]]+Table1[[#This Row],[Accepted_Campaign_4]]+Table1[[#This Row],[Accepted_Campaign_3]])</f>
        <v>0</v>
      </c>
      <c r="AC541">
        <v>0</v>
      </c>
      <c r="AD541">
        <v>0</v>
      </c>
    </row>
    <row r="542" spans="1:30" x14ac:dyDescent="0.25">
      <c r="A542">
        <v>41760</v>
      </c>
      <c r="B542">
        <v>6983</v>
      </c>
      <c r="C542">
        <v>1950</v>
      </c>
      <c r="D542" t="s">
        <v>17</v>
      </c>
      <c r="E542" t="s">
        <v>18</v>
      </c>
      <c r="F542" t="s">
        <v>7</v>
      </c>
      <c r="G542">
        <v>38054</v>
      </c>
      <c r="H542">
        <v>2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f>SUM(Table1[[#This Row],[Gold Spending]]+Table1[[#This Row],[Sweet Spending]]+Table1[[#This Row],[Fish Spending]]+Table1[[#This Row],[Meat Spending]]+Table1[[#This Row],[Fruits Spending]]+Table1[[#This Row],[Wine Spending ]])</f>
        <v>45</v>
      </c>
      <c r="Q542">
        <v>2</v>
      </c>
      <c r="R542">
        <v>2</v>
      </c>
      <c r="S542">
        <v>0</v>
      </c>
      <c r="T542">
        <v>3</v>
      </c>
      <c r="U542">
        <f>SUM(Table1[[#This Row],[Store_Purchases]]+Table1[[#This Row],[Catalog_Purchases]]+Table1[[#This Row],[Web_Purchases]]+Table1[[#This Row],[Deal_Purchases]])</f>
        <v>7</v>
      </c>
      <c r="V542">
        <v>7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f>SUM(Table1[[#This Row],[Accepted_Campaign_2]]+Table1[[#This Row],[Accepted_Campaign_1]]+Table1[[#This Row],[Accepted_Campaign_5]]+Table1[[#This Row],[Accepted_Campaign_4]]+Table1[[#This Row],[Accepted_Campaign_3]])</f>
        <v>0</v>
      </c>
      <c r="AC542">
        <v>0</v>
      </c>
      <c r="AD542">
        <v>0</v>
      </c>
    </row>
    <row r="543" spans="1:30" x14ac:dyDescent="0.25">
      <c r="A543">
        <v>41665</v>
      </c>
      <c r="B543">
        <v>3436</v>
      </c>
      <c r="C543">
        <v>1969</v>
      </c>
      <c r="D543" t="s">
        <v>8</v>
      </c>
      <c r="E543" t="s">
        <v>6</v>
      </c>
      <c r="F543" t="s">
        <v>11</v>
      </c>
      <c r="G543">
        <v>14045</v>
      </c>
      <c r="H543">
        <v>1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f>SUM(Table1[[#This Row],[Gold Spending]]+Table1[[#This Row],[Sweet Spending]]+Table1[[#This Row],[Fish Spending]]+Table1[[#This Row],[Meat Spending]]+Table1[[#This Row],[Fruits Spending]]+Table1[[#This Row],[Wine Spending ]])</f>
        <v>20</v>
      </c>
      <c r="Q543">
        <v>1</v>
      </c>
      <c r="R543">
        <v>1</v>
      </c>
      <c r="S543">
        <v>0</v>
      </c>
      <c r="T543">
        <v>3</v>
      </c>
      <c r="U543">
        <f>SUM(Table1[[#This Row],[Store_Purchases]]+Table1[[#This Row],[Catalog_Purchases]]+Table1[[#This Row],[Web_Purchases]]+Table1[[#This Row],[Deal_Purchases]])</f>
        <v>5</v>
      </c>
      <c r="V543">
        <v>7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f>SUM(Table1[[#This Row],[Accepted_Campaign_2]]+Table1[[#This Row],[Accepted_Campaign_1]]+Table1[[#This Row],[Accepted_Campaign_5]]+Table1[[#This Row],[Accepted_Campaign_4]]+Table1[[#This Row],[Accepted_Campaign_3]])</f>
        <v>0</v>
      </c>
      <c r="AC543">
        <v>0</v>
      </c>
      <c r="AD543">
        <v>0</v>
      </c>
    </row>
    <row r="544" spans="1:30" x14ac:dyDescent="0.25">
      <c r="A544">
        <v>41658</v>
      </c>
      <c r="B544">
        <v>7505</v>
      </c>
      <c r="C544">
        <v>1957</v>
      </c>
      <c r="D544" t="s">
        <v>8</v>
      </c>
      <c r="E544" t="s">
        <v>14</v>
      </c>
      <c r="F544" t="s">
        <v>11</v>
      </c>
      <c r="G544">
        <v>44155</v>
      </c>
      <c r="H544">
        <v>2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544">
        <v>1</v>
      </c>
      <c r="R544">
        <v>1</v>
      </c>
      <c r="S544">
        <v>1</v>
      </c>
      <c r="T544">
        <v>2</v>
      </c>
      <c r="U544">
        <f>SUM(Table1[[#This Row],[Store_Purchases]]+Table1[[#This Row],[Catalog_Purchases]]+Table1[[#This Row],[Web_Purchases]]+Table1[[#This Row],[Deal_Purchases]])</f>
        <v>5</v>
      </c>
      <c r="V544">
        <v>4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f>SUM(Table1[[#This Row],[Accepted_Campaign_2]]+Table1[[#This Row],[Accepted_Campaign_1]]+Table1[[#This Row],[Accepted_Campaign_5]]+Table1[[#This Row],[Accepted_Campaign_4]]+Table1[[#This Row],[Accepted_Campaign_3]])</f>
        <v>0</v>
      </c>
      <c r="AC544">
        <v>0</v>
      </c>
      <c r="AD544">
        <v>0</v>
      </c>
    </row>
    <row r="545" spans="1:30" x14ac:dyDescent="0.25">
      <c r="A545">
        <v>41648</v>
      </c>
      <c r="B545">
        <v>4286</v>
      </c>
      <c r="C545">
        <v>1970</v>
      </c>
      <c r="D545" t="s">
        <v>17</v>
      </c>
      <c r="E545" t="s">
        <v>14</v>
      </c>
      <c r="F545" t="s">
        <v>9</v>
      </c>
      <c r="G545">
        <v>57642</v>
      </c>
      <c r="H545">
        <v>1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f>SUM(Table1[[#This Row],[Gold Spending]]+Table1[[#This Row],[Sweet Spending]]+Table1[[#This Row],[Fish Spending]]+Table1[[#This Row],[Meat Spending]]+Table1[[#This Row],[Fruits Spending]]+Table1[[#This Row],[Wine Spending ]])</f>
        <v>679</v>
      </c>
      <c r="Q545">
        <v>3</v>
      </c>
      <c r="R545">
        <v>7</v>
      </c>
      <c r="S545">
        <v>6</v>
      </c>
      <c r="T545">
        <v>6</v>
      </c>
      <c r="U545">
        <f>SUM(Table1[[#This Row],[Store_Purchases]]+Table1[[#This Row],[Catalog_Purchases]]+Table1[[#This Row],[Web_Purchases]]+Table1[[#This Row],[Deal_Purchases]])</f>
        <v>22</v>
      </c>
      <c r="V545">
        <v>4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f>SUM(Table1[[#This Row],[Accepted_Campaign_2]]+Table1[[#This Row],[Accepted_Campaign_1]]+Table1[[#This Row],[Accepted_Campaign_5]]+Table1[[#This Row],[Accepted_Campaign_4]]+Table1[[#This Row],[Accepted_Campaign_3]])</f>
        <v>1</v>
      </c>
      <c r="AC545">
        <v>0</v>
      </c>
      <c r="AD545">
        <v>0</v>
      </c>
    </row>
    <row r="546" spans="1:30" x14ac:dyDescent="0.25">
      <c r="A546">
        <v>41637</v>
      </c>
      <c r="B546">
        <v>7224</v>
      </c>
      <c r="C546">
        <v>1977</v>
      </c>
      <c r="D546" t="s">
        <v>17</v>
      </c>
      <c r="E546" t="s">
        <v>6</v>
      </c>
      <c r="F546" t="s">
        <v>11</v>
      </c>
      <c r="G546">
        <v>31353</v>
      </c>
      <c r="H546">
        <v>2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f>SUM(Table1[[#This Row],[Gold Spending]]+Table1[[#This Row],[Sweet Spending]]+Table1[[#This Row],[Fish Spending]]+Table1[[#This Row],[Meat Spending]]+Table1[[#This Row],[Fruits Spending]]+Table1[[#This Row],[Wine Spending ]])</f>
        <v>31</v>
      </c>
      <c r="Q546">
        <v>2</v>
      </c>
      <c r="R546">
        <v>1</v>
      </c>
      <c r="S546">
        <v>1</v>
      </c>
      <c r="T546">
        <v>2</v>
      </c>
      <c r="U546">
        <f>SUM(Table1[[#This Row],[Store_Purchases]]+Table1[[#This Row],[Catalog_Purchases]]+Table1[[#This Row],[Web_Purchases]]+Table1[[#This Row],[Deal_Purchases]])</f>
        <v>6</v>
      </c>
      <c r="V546">
        <v>8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f>SUM(Table1[[#This Row],[Accepted_Campaign_2]]+Table1[[#This Row],[Accepted_Campaign_1]]+Table1[[#This Row],[Accepted_Campaign_5]]+Table1[[#This Row],[Accepted_Campaign_4]]+Table1[[#This Row],[Accepted_Campaign_3]])</f>
        <v>0</v>
      </c>
      <c r="AC546">
        <v>0</v>
      </c>
      <c r="AD546">
        <v>0</v>
      </c>
    </row>
    <row r="547" spans="1:30" x14ac:dyDescent="0.25">
      <c r="A547">
        <v>41637</v>
      </c>
      <c r="B547">
        <v>6215</v>
      </c>
      <c r="C547">
        <v>1977</v>
      </c>
      <c r="D547" t="s">
        <v>20</v>
      </c>
      <c r="E547" t="s">
        <v>6</v>
      </c>
      <c r="F547" t="s">
        <v>11</v>
      </c>
      <c r="G547">
        <v>31353</v>
      </c>
      <c r="H547">
        <v>2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f>SUM(Table1[[#This Row],[Gold Spending]]+Table1[[#This Row],[Sweet Spending]]+Table1[[#This Row],[Fish Spending]]+Table1[[#This Row],[Meat Spending]]+Table1[[#This Row],[Fruits Spending]]+Table1[[#This Row],[Wine Spending ]])</f>
        <v>31</v>
      </c>
      <c r="Q547">
        <v>2</v>
      </c>
      <c r="R547">
        <v>1</v>
      </c>
      <c r="S547">
        <v>1</v>
      </c>
      <c r="T547">
        <v>2</v>
      </c>
      <c r="U547">
        <f>SUM(Table1[[#This Row],[Store_Purchases]]+Table1[[#This Row],[Catalog_Purchases]]+Table1[[#This Row],[Web_Purchases]]+Table1[[#This Row],[Deal_Purchases]])</f>
        <v>6</v>
      </c>
      <c r="V547">
        <v>8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f>SUM(Table1[[#This Row],[Accepted_Campaign_2]]+Table1[[#This Row],[Accepted_Campaign_1]]+Table1[[#This Row],[Accepted_Campaign_5]]+Table1[[#This Row],[Accepted_Campaign_4]]+Table1[[#This Row],[Accepted_Campaign_3]])</f>
        <v>0</v>
      </c>
      <c r="AC547">
        <v>1</v>
      </c>
      <c r="AD547">
        <v>0</v>
      </c>
    </row>
    <row r="548" spans="1:30" x14ac:dyDescent="0.25">
      <c r="A548">
        <v>41634</v>
      </c>
      <c r="B548">
        <v>968</v>
      </c>
      <c r="C548">
        <v>1968</v>
      </c>
      <c r="D548" t="s">
        <v>13</v>
      </c>
      <c r="E548" t="s">
        <v>18</v>
      </c>
      <c r="F548" t="s">
        <v>7</v>
      </c>
      <c r="G548">
        <v>41335</v>
      </c>
      <c r="H548">
        <v>1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f>SUM(Table1[[#This Row],[Gold Spending]]+Table1[[#This Row],[Sweet Spending]]+Table1[[#This Row],[Fish Spending]]+Table1[[#This Row],[Meat Spending]]+Table1[[#This Row],[Fruits Spending]]+Table1[[#This Row],[Wine Spending ]])</f>
        <v>187</v>
      </c>
      <c r="Q548">
        <v>3</v>
      </c>
      <c r="R548">
        <v>4</v>
      </c>
      <c r="S548">
        <v>1</v>
      </c>
      <c r="T548">
        <v>4</v>
      </c>
      <c r="U548">
        <f>SUM(Table1[[#This Row],[Store_Purchases]]+Table1[[#This Row],[Catalog_Purchases]]+Table1[[#This Row],[Web_Purchases]]+Table1[[#This Row],[Deal_Purchases]])</f>
        <v>12</v>
      </c>
      <c r="V548">
        <v>7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f>SUM(Table1[[#This Row],[Accepted_Campaign_2]]+Table1[[#This Row],[Accepted_Campaign_1]]+Table1[[#This Row],[Accepted_Campaign_5]]+Table1[[#This Row],[Accepted_Campaign_4]]+Table1[[#This Row],[Accepted_Campaign_3]])</f>
        <v>0</v>
      </c>
      <c r="AC548">
        <v>0</v>
      </c>
      <c r="AD548">
        <v>0</v>
      </c>
    </row>
    <row r="549" spans="1:30" x14ac:dyDescent="0.25">
      <c r="A549">
        <v>41634</v>
      </c>
      <c r="B549">
        <v>4096</v>
      </c>
      <c r="C549">
        <v>1968</v>
      </c>
      <c r="D549" t="s">
        <v>63</v>
      </c>
      <c r="E549" t="s">
        <v>18</v>
      </c>
      <c r="F549" t="s">
        <v>7</v>
      </c>
      <c r="G549">
        <v>41335</v>
      </c>
      <c r="H549">
        <v>1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f>SUM(Table1[[#This Row],[Gold Spending]]+Table1[[#This Row],[Sweet Spending]]+Table1[[#This Row],[Fish Spending]]+Table1[[#This Row],[Meat Spending]]+Table1[[#This Row],[Fruits Spending]]+Table1[[#This Row],[Wine Spending ]])</f>
        <v>187</v>
      </c>
      <c r="Q549">
        <v>3</v>
      </c>
      <c r="R549">
        <v>4</v>
      </c>
      <c r="S549">
        <v>1</v>
      </c>
      <c r="T549">
        <v>4</v>
      </c>
      <c r="U549">
        <f>SUM(Table1[[#This Row],[Store_Purchases]]+Table1[[#This Row],[Catalog_Purchases]]+Table1[[#This Row],[Web_Purchases]]+Table1[[#This Row],[Deal_Purchases]])</f>
        <v>12</v>
      </c>
      <c r="V549">
        <v>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f>SUM(Table1[[#This Row],[Accepted_Campaign_2]]+Table1[[#This Row],[Accepted_Campaign_1]]+Table1[[#This Row],[Accepted_Campaign_5]]+Table1[[#This Row],[Accepted_Campaign_4]]+Table1[[#This Row],[Accepted_Campaign_3]])</f>
        <v>0</v>
      </c>
      <c r="AC549">
        <v>0</v>
      </c>
      <c r="AD549">
        <v>0</v>
      </c>
    </row>
    <row r="550" spans="1:30" x14ac:dyDescent="0.25">
      <c r="A550">
        <v>41616</v>
      </c>
      <c r="B550">
        <v>3153</v>
      </c>
      <c r="C550">
        <v>1957</v>
      </c>
      <c r="D550" t="s">
        <v>20</v>
      </c>
      <c r="E550" t="s">
        <v>14</v>
      </c>
      <c r="F550" t="s">
        <v>9</v>
      </c>
      <c r="G550">
        <v>40737</v>
      </c>
      <c r="H550">
        <v>3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f>SUM(Table1[[#This Row],[Gold Spending]]+Table1[[#This Row],[Sweet Spending]]+Table1[[#This Row],[Fish Spending]]+Table1[[#This Row],[Meat Spending]]+Table1[[#This Row],[Fruits Spending]]+Table1[[#This Row],[Wine Spending ]])</f>
        <v>17</v>
      </c>
      <c r="Q550">
        <v>1</v>
      </c>
      <c r="R550">
        <v>1</v>
      </c>
      <c r="S550">
        <v>0</v>
      </c>
      <c r="T550">
        <v>2</v>
      </c>
      <c r="U550">
        <f>SUM(Table1[[#This Row],[Store_Purchases]]+Table1[[#This Row],[Catalog_Purchases]]+Table1[[#This Row],[Web_Purchases]]+Table1[[#This Row],[Deal_Purchases]])</f>
        <v>4</v>
      </c>
      <c r="V550">
        <v>8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f>SUM(Table1[[#This Row],[Accepted_Campaign_2]]+Table1[[#This Row],[Accepted_Campaign_1]]+Table1[[#This Row],[Accepted_Campaign_5]]+Table1[[#This Row],[Accepted_Campaign_4]]+Table1[[#This Row],[Accepted_Campaign_3]])</f>
        <v>0</v>
      </c>
      <c r="AC550">
        <v>0</v>
      </c>
      <c r="AD550">
        <v>0</v>
      </c>
    </row>
    <row r="551" spans="1:30" x14ac:dyDescent="0.25">
      <c r="A551">
        <v>41598</v>
      </c>
      <c r="B551">
        <v>6504</v>
      </c>
      <c r="C551">
        <v>1975</v>
      </c>
      <c r="D551" t="s">
        <v>8</v>
      </c>
      <c r="E551" t="s">
        <v>15</v>
      </c>
      <c r="F551" t="s">
        <v>12</v>
      </c>
      <c r="G551">
        <v>19789</v>
      </c>
      <c r="H551">
        <v>1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f>SUM(Table1[[#This Row],[Gold Spending]]+Table1[[#This Row],[Sweet Spending]]+Table1[[#This Row],[Fish Spending]]+Table1[[#This Row],[Meat Spending]]+Table1[[#This Row],[Fruits Spending]]+Table1[[#This Row],[Wine Spending ]])</f>
        <v>78</v>
      </c>
      <c r="Q551">
        <v>3</v>
      </c>
      <c r="R551">
        <v>2</v>
      </c>
      <c r="S551">
        <v>1</v>
      </c>
      <c r="T551">
        <v>3</v>
      </c>
      <c r="U551">
        <f>SUM(Table1[[#This Row],[Store_Purchases]]+Table1[[#This Row],[Catalog_Purchases]]+Table1[[#This Row],[Web_Purchases]]+Table1[[#This Row],[Deal_Purchases]])</f>
        <v>9</v>
      </c>
      <c r="V551">
        <v>5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f>SUM(Table1[[#This Row],[Accepted_Campaign_2]]+Table1[[#This Row],[Accepted_Campaign_1]]+Table1[[#This Row],[Accepted_Campaign_5]]+Table1[[#This Row],[Accepted_Campaign_4]]+Table1[[#This Row],[Accepted_Campaign_3]])</f>
        <v>1</v>
      </c>
      <c r="AC551">
        <v>0</v>
      </c>
      <c r="AD551">
        <v>0</v>
      </c>
    </row>
    <row r="552" spans="1:30" x14ac:dyDescent="0.25">
      <c r="A552">
        <v>41544</v>
      </c>
      <c r="B552">
        <v>5329</v>
      </c>
      <c r="C552">
        <v>1949</v>
      </c>
      <c r="D552" t="s">
        <v>13</v>
      </c>
      <c r="E552" t="s">
        <v>14</v>
      </c>
      <c r="F552" t="s">
        <v>7</v>
      </c>
      <c r="G552">
        <v>35946</v>
      </c>
      <c r="H552">
        <v>2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f>SUM(Table1[[#This Row],[Gold Spending]]+Table1[[#This Row],[Sweet Spending]]+Table1[[#This Row],[Fish Spending]]+Table1[[#This Row],[Meat Spending]]+Table1[[#This Row],[Fruits Spending]]+Table1[[#This Row],[Wine Spending ]])</f>
        <v>11</v>
      </c>
      <c r="Q552">
        <v>1</v>
      </c>
      <c r="R552">
        <v>0</v>
      </c>
      <c r="S552">
        <v>0</v>
      </c>
      <c r="T552">
        <v>3</v>
      </c>
      <c r="U552">
        <f>SUM(Table1[[#This Row],[Store_Purchases]]+Table1[[#This Row],[Catalog_Purchases]]+Table1[[#This Row],[Web_Purchases]]+Table1[[#This Row],[Deal_Purchases]])</f>
        <v>4</v>
      </c>
      <c r="V552">
        <v>5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f>SUM(Table1[[#This Row],[Accepted_Campaign_2]]+Table1[[#This Row],[Accepted_Campaign_1]]+Table1[[#This Row],[Accepted_Campaign_5]]+Table1[[#This Row],[Accepted_Campaign_4]]+Table1[[#This Row],[Accepted_Campaign_3]])</f>
        <v>0</v>
      </c>
      <c r="AC552">
        <v>0</v>
      </c>
      <c r="AD552">
        <v>0</v>
      </c>
    </row>
    <row r="553" spans="1:30" x14ac:dyDescent="0.25">
      <c r="A553">
        <v>41537</v>
      </c>
      <c r="B553">
        <v>1175</v>
      </c>
      <c r="C553">
        <v>1983</v>
      </c>
      <c r="D553" t="s">
        <v>8</v>
      </c>
      <c r="E553" t="s">
        <v>18</v>
      </c>
      <c r="F553" t="s">
        <v>11</v>
      </c>
      <c r="G553">
        <v>36262</v>
      </c>
      <c r="H553">
        <v>0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f>SUM(Table1[[#This Row],[Gold Spending]]+Table1[[#This Row],[Sweet Spending]]+Table1[[#This Row],[Fish Spending]]+Table1[[#This Row],[Meat Spending]]+Table1[[#This Row],[Fruits Spending]]+Table1[[#This Row],[Wine Spending ]])</f>
        <v>426</v>
      </c>
      <c r="Q553">
        <v>1</v>
      </c>
      <c r="R553">
        <v>3</v>
      </c>
      <c r="S553">
        <v>5</v>
      </c>
      <c r="T553">
        <v>3</v>
      </c>
      <c r="U553">
        <f>SUM(Table1[[#This Row],[Store_Purchases]]+Table1[[#This Row],[Catalog_Purchases]]+Table1[[#This Row],[Web_Purchases]]+Table1[[#This Row],[Deal_Purchases]])</f>
        <v>12</v>
      </c>
      <c r="V553">
        <v>6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f>SUM(Table1[[#This Row],[Accepted_Campaign_2]]+Table1[[#This Row],[Accepted_Campaign_1]]+Table1[[#This Row],[Accepted_Campaign_5]]+Table1[[#This Row],[Accepted_Campaign_4]]+Table1[[#This Row],[Accepted_Campaign_3]])</f>
        <v>1</v>
      </c>
      <c r="AC553">
        <v>1</v>
      </c>
      <c r="AD553">
        <v>0</v>
      </c>
    </row>
    <row r="554" spans="1:30" x14ac:dyDescent="0.25">
      <c r="A554">
        <v>41517</v>
      </c>
      <c r="B554">
        <v>1377</v>
      </c>
      <c r="C554">
        <v>1954</v>
      </c>
      <c r="D554" t="s">
        <v>20</v>
      </c>
      <c r="E554" t="s">
        <v>18</v>
      </c>
      <c r="F554" t="s">
        <v>19</v>
      </c>
      <c r="G554">
        <v>44551</v>
      </c>
      <c r="H554">
        <v>1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f>SUM(Table1[[#This Row],[Gold Spending]]+Table1[[#This Row],[Sweet Spending]]+Table1[[#This Row],[Fish Spending]]+Table1[[#This Row],[Meat Spending]]+Table1[[#This Row],[Fruits Spending]]+Table1[[#This Row],[Wine Spending ]])</f>
        <v>285</v>
      </c>
      <c r="Q554">
        <v>2</v>
      </c>
      <c r="R554">
        <v>4</v>
      </c>
      <c r="S554">
        <v>1</v>
      </c>
      <c r="T554">
        <v>5</v>
      </c>
      <c r="U554">
        <f>SUM(Table1[[#This Row],[Store_Purchases]]+Table1[[#This Row],[Catalog_Purchases]]+Table1[[#This Row],[Web_Purchases]]+Table1[[#This Row],[Deal_Purchases]])</f>
        <v>12</v>
      </c>
      <c r="V554">
        <v>7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f>SUM(Table1[[#This Row],[Accepted_Campaign_2]]+Table1[[#This Row],[Accepted_Campaign_1]]+Table1[[#This Row],[Accepted_Campaign_5]]+Table1[[#This Row],[Accepted_Campaign_4]]+Table1[[#This Row],[Accepted_Campaign_3]])</f>
        <v>0</v>
      </c>
      <c r="AC554">
        <v>0</v>
      </c>
      <c r="AD554">
        <v>0</v>
      </c>
    </row>
    <row r="555" spans="1:30" x14ac:dyDescent="0.25">
      <c r="A555">
        <v>41509</v>
      </c>
      <c r="B555">
        <v>4607</v>
      </c>
      <c r="C555">
        <v>1959</v>
      </c>
      <c r="D555" t="s">
        <v>8</v>
      </c>
      <c r="E555" t="s">
        <v>6</v>
      </c>
      <c r="F555" t="s">
        <v>12</v>
      </c>
      <c r="G555">
        <v>71367</v>
      </c>
      <c r="H555">
        <v>0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f>SUM(Table1[[#This Row],[Gold Spending]]+Table1[[#This Row],[Sweet Spending]]+Table1[[#This Row],[Fish Spending]]+Table1[[#This Row],[Meat Spending]]+Table1[[#This Row],[Fruits Spending]]+Table1[[#This Row],[Wine Spending ]])</f>
        <v>777</v>
      </c>
      <c r="Q555">
        <v>1</v>
      </c>
      <c r="R555">
        <v>4</v>
      </c>
      <c r="S555">
        <v>5</v>
      </c>
      <c r="T555">
        <v>7</v>
      </c>
      <c r="U555">
        <f>SUM(Table1[[#This Row],[Store_Purchases]]+Table1[[#This Row],[Catalog_Purchases]]+Table1[[#This Row],[Web_Purchases]]+Table1[[#This Row],[Deal_Purchases]])</f>
        <v>17</v>
      </c>
      <c r="V555">
        <v>2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f>SUM(Table1[[#This Row],[Accepted_Campaign_2]]+Table1[[#This Row],[Accepted_Campaign_1]]+Table1[[#This Row],[Accepted_Campaign_5]]+Table1[[#This Row],[Accepted_Campaign_4]]+Table1[[#This Row],[Accepted_Campaign_3]])</f>
        <v>0</v>
      </c>
      <c r="AC555">
        <v>0</v>
      </c>
      <c r="AD555">
        <v>0</v>
      </c>
    </row>
    <row r="556" spans="1:30" x14ac:dyDescent="0.25">
      <c r="A556">
        <v>41509</v>
      </c>
      <c r="B556">
        <v>4944</v>
      </c>
      <c r="C556">
        <v>1959</v>
      </c>
      <c r="D556" t="s">
        <v>8</v>
      </c>
      <c r="E556" t="s">
        <v>6</v>
      </c>
      <c r="F556" t="s">
        <v>12</v>
      </c>
      <c r="G556">
        <v>71367</v>
      </c>
      <c r="H556">
        <v>0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f>SUM(Table1[[#This Row],[Gold Spending]]+Table1[[#This Row],[Sweet Spending]]+Table1[[#This Row],[Fish Spending]]+Table1[[#This Row],[Meat Spending]]+Table1[[#This Row],[Fruits Spending]]+Table1[[#This Row],[Wine Spending ]])</f>
        <v>777</v>
      </c>
      <c r="Q556">
        <v>1</v>
      </c>
      <c r="R556">
        <v>4</v>
      </c>
      <c r="S556">
        <v>5</v>
      </c>
      <c r="T556">
        <v>7</v>
      </c>
      <c r="U556">
        <f>SUM(Table1[[#This Row],[Store_Purchases]]+Table1[[#This Row],[Catalog_Purchases]]+Table1[[#This Row],[Web_Purchases]]+Table1[[#This Row],[Deal_Purchases]])</f>
        <v>17</v>
      </c>
      <c r="V556">
        <v>2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f>SUM(Table1[[#This Row],[Accepted_Campaign_2]]+Table1[[#This Row],[Accepted_Campaign_1]]+Table1[[#This Row],[Accepted_Campaign_5]]+Table1[[#This Row],[Accepted_Campaign_4]]+Table1[[#This Row],[Accepted_Campaign_3]])</f>
        <v>0</v>
      </c>
      <c r="AC556">
        <v>0</v>
      </c>
      <c r="AD556">
        <v>0</v>
      </c>
    </row>
    <row r="557" spans="1:30" x14ac:dyDescent="0.25">
      <c r="A557">
        <v>41505</v>
      </c>
      <c r="B557">
        <v>9483</v>
      </c>
      <c r="C557">
        <v>1959</v>
      </c>
      <c r="D557" t="s">
        <v>10</v>
      </c>
      <c r="E557" t="s">
        <v>6</v>
      </c>
      <c r="F557" t="s">
        <v>12</v>
      </c>
      <c r="G557">
        <v>57957</v>
      </c>
      <c r="H557">
        <v>1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f>SUM(Table1[[#This Row],[Gold Spending]]+Table1[[#This Row],[Sweet Spending]]+Table1[[#This Row],[Fish Spending]]+Table1[[#This Row],[Meat Spending]]+Table1[[#This Row],[Fruits Spending]]+Table1[[#This Row],[Wine Spending ]])</f>
        <v>637</v>
      </c>
      <c r="Q557">
        <v>7</v>
      </c>
      <c r="R557">
        <v>4</v>
      </c>
      <c r="S557">
        <v>6</v>
      </c>
      <c r="T557">
        <v>8</v>
      </c>
      <c r="U557">
        <f>SUM(Table1[[#This Row],[Store_Purchases]]+Table1[[#This Row],[Catalog_Purchases]]+Table1[[#This Row],[Web_Purchases]]+Table1[[#This Row],[Deal_Purchases]])</f>
        <v>25</v>
      </c>
      <c r="V557">
        <v>3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f>SUM(Table1[[#This Row],[Accepted_Campaign_2]]+Table1[[#This Row],[Accepted_Campaign_1]]+Table1[[#This Row],[Accepted_Campaign_5]]+Table1[[#This Row],[Accepted_Campaign_4]]+Table1[[#This Row],[Accepted_Campaign_3]])</f>
        <v>0</v>
      </c>
      <c r="AC557">
        <v>0</v>
      </c>
      <c r="AD557">
        <v>1</v>
      </c>
    </row>
    <row r="558" spans="1:30" x14ac:dyDescent="0.25">
      <c r="A558">
        <v>41479</v>
      </c>
      <c r="B558">
        <v>1378</v>
      </c>
      <c r="C558">
        <v>1972</v>
      </c>
      <c r="D558" t="s">
        <v>20</v>
      </c>
      <c r="E558" t="s">
        <v>15</v>
      </c>
      <c r="F558" t="s">
        <v>12</v>
      </c>
      <c r="G558">
        <v>50334</v>
      </c>
      <c r="H558">
        <v>1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f>SUM(Table1[[#This Row],[Gold Spending]]+Table1[[#This Row],[Sweet Spending]]+Table1[[#This Row],[Fish Spending]]+Table1[[#This Row],[Meat Spending]]+Table1[[#This Row],[Fruits Spending]]+Table1[[#This Row],[Wine Spending ]])</f>
        <v>694</v>
      </c>
      <c r="Q558">
        <v>6</v>
      </c>
      <c r="R558">
        <v>7</v>
      </c>
      <c r="S558">
        <v>4</v>
      </c>
      <c r="T558">
        <v>6</v>
      </c>
      <c r="U558">
        <f>SUM(Table1[[#This Row],[Store_Purchases]]+Table1[[#This Row],[Catalog_Purchases]]+Table1[[#This Row],[Web_Purchases]]+Table1[[#This Row],[Deal_Purchases]])</f>
        <v>23</v>
      </c>
      <c r="V558">
        <v>6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f>SUM(Table1[[#This Row],[Accepted_Campaign_2]]+Table1[[#This Row],[Accepted_Campaign_1]]+Table1[[#This Row],[Accepted_Campaign_5]]+Table1[[#This Row],[Accepted_Campaign_4]]+Table1[[#This Row],[Accepted_Campaign_3]])</f>
        <v>0</v>
      </c>
      <c r="AC558">
        <v>0</v>
      </c>
      <c r="AD558">
        <v>0</v>
      </c>
    </row>
    <row r="559" spans="1:30" x14ac:dyDescent="0.25">
      <c r="A559">
        <v>41433</v>
      </c>
      <c r="B559">
        <v>5991</v>
      </c>
      <c r="C559">
        <v>1949</v>
      </c>
      <c r="D559" t="s">
        <v>16</v>
      </c>
      <c r="E559" t="s">
        <v>18</v>
      </c>
      <c r="F559" t="s">
        <v>11</v>
      </c>
      <c r="G559">
        <v>48150</v>
      </c>
      <c r="H559">
        <v>1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f>SUM(Table1[[#This Row],[Gold Spending]]+Table1[[#This Row],[Sweet Spending]]+Table1[[#This Row],[Fish Spending]]+Table1[[#This Row],[Meat Spending]]+Table1[[#This Row],[Fruits Spending]]+Table1[[#This Row],[Wine Spending ]])</f>
        <v>266</v>
      </c>
      <c r="Q559">
        <v>3</v>
      </c>
      <c r="R559">
        <v>5</v>
      </c>
      <c r="S559">
        <v>1</v>
      </c>
      <c r="T559">
        <v>4</v>
      </c>
      <c r="U559">
        <f>SUM(Table1[[#This Row],[Store_Purchases]]+Table1[[#This Row],[Catalog_Purchases]]+Table1[[#This Row],[Web_Purchases]]+Table1[[#This Row],[Deal_Purchases]])</f>
        <v>13</v>
      </c>
      <c r="V559">
        <v>7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f>SUM(Table1[[#This Row],[Accepted_Campaign_2]]+Table1[[#This Row],[Accepted_Campaign_1]]+Table1[[#This Row],[Accepted_Campaign_5]]+Table1[[#This Row],[Accepted_Campaign_4]]+Table1[[#This Row],[Accepted_Campaign_3]])</f>
        <v>0</v>
      </c>
      <c r="AC559">
        <v>0</v>
      </c>
      <c r="AD559">
        <v>0</v>
      </c>
    </row>
    <row r="560" spans="1:30" x14ac:dyDescent="0.25">
      <c r="A560">
        <v>41321</v>
      </c>
      <c r="B560">
        <v>2807</v>
      </c>
      <c r="C560">
        <v>1969</v>
      </c>
      <c r="D560" t="s">
        <v>8</v>
      </c>
      <c r="E560" t="s">
        <v>6</v>
      </c>
      <c r="F560" t="s">
        <v>11</v>
      </c>
      <c r="G560">
        <v>56796</v>
      </c>
      <c r="H560">
        <v>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f>SUM(Table1[[#This Row],[Gold Spending]]+Table1[[#This Row],[Sweet Spending]]+Table1[[#This Row],[Fish Spending]]+Table1[[#This Row],[Meat Spending]]+Table1[[#This Row],[Fruits Spending]]+Table1[[#This Row],[Wine Spending ]])</f>
        <v>1001</v>
      </c>
      <c r="Q560">
        <v>3</v>
      </c>
      <c r="R560">
        <v>8</v>
      </c>
      <c r="S560">
        <v>9</v>
      </c>
      <c r="T560">
        <v>7</v>
      </c>
      <c r="U560">
        <f>SUM(Table1[[#This Row],[Store_Purchases]]+Table1[[#This Row],[Catalog_Purchases]]+Table1[[#This Row],[Web_Purchases]]+Table1[[#This Row],[Deal_Purchases]])</f>
        <v>27</v>
      </c>
      <c r="V560">
        <v>7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f>SUM(Table1[[#This Row],[Accepted_Campaign_2]]+Table1[[#This Row],[Accepted_Campaign_1]]+Table1[[#This Row],[Accepted_Campaign_5]]+Table1[[#This Row],[Accepted_Campaign_4]]+Table1[[#This Row],[Accepted_Campaign_3]])</f>
        <v>0</v>
      </c>
      <c r="AC560">
        <v>0</v>
      </c>
      <c r="AD560">
        <v>0</v>
      </c>
    </row>
    <row r="561" spans="1:30" x14ac:dyDescent="0.25">
      <c r="A561">
        <v>41321</v>
      </c>
      <c r="B561">
        <v>1052</v>
      </c>
      <c r="C561">
        <v>1969</v>
      </c>
      <c r="D561" t="s">
        <v>13</v>
      </c>
      <c r="E561" t="s">
        <v>6</v>
      </c>
      <c r="F561" t="s">
        <v>11</v>
      </c>
      <c r="G561">
        <v>56796</v>
      </c>
      <c r="H561">
        <v>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f>SUM(Table1[[#This Row],[Gold Spending]]+Table1[[#This Row],[Sweet Spending]]+Table1[[#This Row],[Fish Spending]]+Table1[[#This Row],[Meat Spending]]+Table1[[#This Row],[Fruits Spending]]+Table1[[#This Row],[Wine Spending ]])</f>
        <v>1001</v>
      </c>
      <c r="Q561">
        <v>3</v>
      </c>
      <c r="R561">
        <v>8</v>
      </c>
      <c r="S561">
        <v>9</v>
      </c>
      <c r="T561">
        <v>7</v>
      </c>
      <c r="U561">
        <f>SUM(Table1[[#This Row],[Store_Purchases]]+Table1[[#This Row],[Catalog_Purchases]]+Table1[[#This Row],[Web_Purchases]]+Table1[[#This Row],[Deal_Purchases]])</f>
        <v>27</v>
      </c>
      <c r="V561">
        <v>7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f>SUM(Table1[[#This Row],[Accepted_Campaign_2]]+Table1[[#This Row],[Accepted_Campaign_1]]+Table1[[#This Row],[Accepted_Campaign_5]]+Table1[[#This Row],[Accepted_Campaign_4]]+Table1[[#This Row],[Accepted_Campaign_3]])</f>
        <v>0</v>
      </c>
      <c r="AC561">
        <v>0</v>
      </c>
      <c r="AD561">
        <v>0</v>
      </c>
    </row>
    <row r="562" spans="1:30" x14ac:dyDescent="0.25">
      <c r="A562">
        <v>41299</v>
      </c>
      <c r="B562">
        <v>9760</v>
      </c>
      <c r="C562">
        <v>1963</v>
      </c>
      <c r="D562" t="s">
        <v>20</v>
      </c>
      <c r="E562" t="s">
        <v>14</v>
      </c>
      <c r="F562" t="s">
        <v>19</v>
      </c>
      <c r="G562">
        <v>52278</v>
      </c>
      <c r="H562">
        <v>1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f>SUM(Table1[[#This Row],[Gold Spending]]+Table1[[#This Row],[Sweet Spending]]+Table1[[#This Row],[Fish Spending]]+Table1[[#This Row],[Meat Spending]]+Table1[[#This Row],[Fruits Spending]]+Table1[[#This Row],[Wine Spending ]])</f>
        <v>1198</v>
      </c>
      <c r="Q562">
        <v>6</v>
      </c>
      <c r="R562">
        <v>10</v>
      </c>
      <c r="S562">
        <v>5</v>
      </c>
      <c r="T562">
        <v>10</v>
      </c>
      <c r="U562">
        <f>SUM(Table1[[#This Row],[Store_Purchases]]+Table1[[#This Row],[Catalog_Purchases]]+Table1[[#This Row],[Web_Purchases]]+Table1[[#This Row],[Deal_Purchases]])</f>
        <v>31</v>
      </c>
      <c r="V562">
        <v>8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f>SUM(Table1[[#This Row],[Accepted_Campaign_2]]+Table1[[#This Row],[Accepted_Campaign_1]]+Table1[[#This Row],[Accepted_Campaign_5]]+Table1[[#This Row],[Accepted_Campaign_4]]+Table1[[#This Row],[Accepted_Campaign_3]])</f>
        <v>0</v>
      </c>
      <c r="AC562">
        <v>1</v>
      </c>
      <c r="AD562">
        <v>0</v>
      </c>
    </row>
    <row r="563" spans="1:30" x14ac:dyDescent="0.25">
      <c r="A563">
        <v>41299</v>
      </c>
      <c r="B563">
        <v>7101</v>
      </c>
      <c r="C563">
        <v>1963</v>
      </c>
      <c r="D563" t="s">
        <v>8</v>
      </c>
      <c r="E563" t="s">
        <v>14</v>
      </c>
      <c r="F563" t="s">
        <v>19</v>
      </c>
      <c r="G563">
        <v>52278</v>
      </c>
      <c r="H563">
        <v>1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f>SUM(Table1[[#This Row],[Gold Spending]]+Table1[[#This Row],[Sweet Spending]]+Table1[[#This Row],[Fish Spending]]+Table1[[#This Row],[Meat Spending]]+Table1[[#This Row],[Fruits Spending]]+Table1[[#This Row],[Wine Spending ]])</f>
        <v>1198</v>
      </c>
      <c r="Q563">
        <v>6</v>
      </c>
      <c r="R563">
        <v>10</v>
      </c>
      <c r="S563">
        <v>5</v>
      </c>
      <c r="T563">
        <v>10</v>
      </c>
      <c r="U563">
        <f>SUM(Table1[[#This Row],[Store_Purchases]]+Table1[[#This Row],[Catalog_Purchases]]+Table1[[#This Row],[Web_Purchases]]+Table1[[#This Row],[Deal_Purchases]])</f>
        <v>31</v>
      </c>
      <c r="V563">
        <v>8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f>SUM(Table1[[#This Row],[Accepted_Campaign_2]]+Table1[[#This Row],[Accepted_Campaign_1]]+Table1[[#This Row],[Accepted_Campaign_5]]+Table1[[#This Row],[Accepted_Campaign_4]]+Table1[[#This Row],[Accepted_Campaign_3]])</f>
        <v>0</v>
      </c>
      <c r="AC563">
        <v>0</v>
      </c>
      <c r="AD563">
        <v>0</v>
      </c>
    </row>
    <row r="564" spans="1:30" x14ac:dyDescent="0.25">
      <c r="A564">
        <v>41222</v>
      </c>
      <c r="B564">
        <v>9909</v>
      </c>
      <c r="C564">
        <v>1996</v>
      </c>
      <c r="D564" t="s">
        <v>13</v>
      </c>
      <c r="E564" t="s">
        <v>15</v>
      </c>
      <c r="F564" t="s">
        <v>11</v>
      </c>
      <c r="G564">
        <v>7500</v>
      </c>
      <c r="H564">
        <v>0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f>SUM(Table1[[#This Row],[Gold Spending]]+Table1[[#This Row],[Sweet Spending]]+Table1[[#This Row],[Fish Spending]]+Table1[[#This Row],[Meat Spending]]+Table1[[#This Row],[Fruits Spending]]+Table1[[#This Row],[Wine Spending ]])</f>
        <v>122</v>
      </c>
      <c r="Q564">
        <v>3</v>
      </c>
      <c r="R564">
        <v>3</v>
      </c>
      <c r="S564">
        <v>1</v>
      </c>
      <c r="T564">
        <v>3</v>
      </c>
      <c r="U564">
        <f>SUM(Table1[[#This Row],[Store_Purchases]]+Table1[[#This Row],[Catalog_Purchases]]+Table1[[#This Row],[Web_Purchases]]+Table1[[#This Row],[Deal_Purchases]])</f>
        <v>10</v>
      </c>
      <c r="V564">
        <v>9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f>SUM(Table1[[#This Row],[Accepted_Campaign_2]]+Table1[[#This Row],[Accepted_Campaign_1]]+Table1[[#This Row],[Accepted_Campaign_5]]+Table1[[#This Row],[Accepted_Campaign_4]]+Table1[[#This Row],[Accepted_Campaign_3]])</f>
        <v>0</v>
      </c>
      <c r="AC564">
        <v>1</v>
      </c>
      <c r="AD564">
        <v>0</v>
      </c>
    </row>
    <row r="565" spans="1:30" x14ac:dyDescent="0.25">
      <c r="A565">
        <v>41216</v>
      </c>
      <c r="B565">
        <v>5907</v>
      </c>
      <c r="C565">
        <v>1952</v>
      </c>
      <c r="D565" t="s">
        <v>8</v>
      </c>
      <c r="E565" t="s">
        <v>18</v>
      </c>
      <c r="F565" t="s">
        <v>11</v>
      </c>
      <c r="G565">
        <v>33444</v>
      </c>
      <c r="H565">
        <v>2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f>SUM(Table1[[#This Row],[Gold Spending]]+Table1[[#This Row],[Sweet Spending]]+Table1[[#This Row],[Fish Spending]]+Table1[[#This Row],[Meat Spending]]+Table1[[#This Row],[Fruits Spending]]+Table1[[#This Row],[Wine Spending ]])</f>
        <v>18</v>
      </c>
      <c r="Q565">
        <v>1</v>
      </c>
      <c r="R565">
        <v>1</v>
      </c>
      <c r="S565">
        <v>0</v>
      </c>
      <c r="T565">
        <v>2</v>
      </c>
      <c r="U565">
        <f>SUM(Table1[[#This Row],[Store_Purchases]]+Table1[[#This Row],[Catalog_Purchases]]+Table1[[#This Row],[Web_Purchases]]+Table1[[#This Row],[Deal_Purchases]])</f>
        <v>4</v>
      </c>
      <c r="V565">
        <v>8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f>SUM(Table1[[#This Row],[Accepted_Campaign_2]]+Table1[[#This Row],[Accepted_Campaign_1]]+Table1[[#This Row],[Accepted_Campaign_5]]+Table1[[#This Row],[Accepted_Campaign_4]]+Table1[[#This Row],[Accepted_Campaign_3]])</f>
        <v>0</v>
      </c>
      <c r="AC565">
        <v>0</v>
      </c>
      <c r="AD565">
        <v>0</v>
      </c>
    </row>
    <row r="566" spans="1:30" x14ac:dyDescent="0.25">
      <c r="A566">
        <v>41188</v>
      </c>
      <c r="B566">
        <v>793</v>
      </c>
      <c r="C566">
        <v>1973</v>
      </c>
      <c r="D566" t="s">
        <v>13</v>
      </c>
      <c r="E566" t="s">
        <v>6</v>
      </c>
      <c r="F566" t="s">
        <v>11</v>
      </c>
      <c r="G566">
        <v>20895</v>
      </c>
      <c r="H566">
        <v>1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f>SUM(Table1[[#This Row],[Gold Spending]]+Table1[[#This Row],[Sweet Spending]]+Table1[[#This Row],[Fish Spending]]+Table1[[#This Row],[Meat Spending]]+Table1[[#This Row],[Fruits Spending]]+Table1[[#This Row],[Wine Spending ]])</f>
        <v>45</v>
      </c>
      <c r="Q566">
        <v>1</v>
      </c>
      <c r="R566">
        <v>2</v>
      </c>
      <c r="S566">
        <v>0</v>
      </c>
      <c r="T566">
        <v>3</v>
      </c>
      <c r="U566">
        <f>SUM(Table1[[#This Row],[Store_Purchases]]+Table1[[#This Row],[Catalog_Purchases]]+Table1[[#This Row],[Web_Purchases]]+Table1[[#This Row],[Deal_Purchases]])</f>
        <v>6</v>
      </c>
      <c r="V566">
        <v>9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f>SUM(Table1[[#This Row],[Accepted_Campaign_2]]+Table1[[#This Row],[Accepted_Campaign_1]]+Table1[[#This Row],[Accepted_Campaign_5]]+Table1[[#This Row],[Accepted_Campaign_4]]+Table1[[#This Row],[Accepted_Campaign_3]])</f>
        <v>0</v>
      </c>
      <c r="AC566">
        <v>0</v>
      </c>
      <c r="AD566">
        <v>0</v>
      </c>
    </row>
    <row r="567" spans="1:30" x14ac:dyDescent="0.25">
      <c r="A567">
        <v>41164</v>
      </c>
      <c r="B567">
        <v>8832</v>
      </c>
      <c r="C567">
        <v>1976</v>
      </c>
      <c r="D567" t="s">
        <v>16</v>
      </c>
      <c r="E567" t="s">
        <v>18</v>
      </c>
      <c r="F567" t="s">
        <v>12</v>
      </c>
      <c r="G567">
        <v>37509</v>
      </c>
      <c r="H567">
        <v>1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f>SUM(Table1[[#This Row],[Gold Spending]]+Table1[[#This Row],[Sweet Spending]]+Table1[[#This Row],[Fish Spending]]+Table1[[#This Row],[Meat Spending]]+Table1[[#This Row],[Fruits Spending]]+Table1[[#This Row],[Wine Spending ]])</f>
        <v>123</v>
      </c>
      <c r="Q567">
        <v>2</v>
      </c>
      <c r="R567">
        <v>3</v>
      </c>
      <c r="S567">
        <v>0</v>
      </c>
      <c r="T567">
        <v>4</v>
      </c>
      <c r="U567">
        <f>SUM(Table1[[#This Row],[Store_Purchases]]+Table1[[#This Row],[Catalog_Purchases]]+Table1[[#This Row],[Web_Purchases]]+Table1[[#This Row],[Deal_Purchases]])</f>
        <v>9</v>
      </c>
      <c r="V567">
        <v>7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f>SUM(Table1[[#This Row],[Accepted_Campaign_2]]+Table1[[#This Row],[Accepted_Campaign_1]]+Table1[[#This Row],[Accepted_Campaign_5]]+Table1[[#This Row],[Accepted_Campaign_4]]+Table1[[#This Row],[Accepted_Campaign_3]])</f>
        <v>0</v>
      </c>
      <c r="AC567">
        <v>0</v>
      </c>
      <c r="AD567">
        <v>0</v>
      </c>
    </row>
    <row r="568" spans="1:30" x14ac:dyDescent="0.25">
      <c r="A568">
        <v>41139</v>
      </c>
      <c r="B568">
        <v>2535</v>
      </c>
      <c r="C568">
        <v>1978</v>
      </c>
      <c r="D568" t="s">
        <v>8</v>
      </c>
      <c r="E568" t="s">
        <v>18</v>
      </c>
      <c r="F568" t="s">
        <v>11</v>
      </c>
      <c r="G568">
        <v>88097</v>
      </c>
      <c r="H568">
        <v>1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f>SUM(Table1[[#This Row],[Gold Spending]]+Table1[[#This Row],[Sweet Spending]]+Table1[[#This Row],[Fish Spending]]+Table1[[#This Row],[Meat Spending]]+Table1[[#This Row],[Fruits Spending]]+Table1[[#This Row],[Wine Spending ]])</f>
        <v>844</v>
      </c>
      <c r="Q568">
        <v>1</v>
      </c>
      <c r="R568">
        <v>6</v>
      </c>
      <c r="S568">
        <v>5</v>
      </c>
      <c r="T568">
        <v>8</v>
      </c>
      <c r="U568">
        <f>SUM(Table1[[#This Row],[Store_Purchases]]+Table1[[#This Row],[Catalog_Purchases]]+Table1[[#This Row],[Web_Purchases]]+Table1[[#This Row],[Deal_Purchases]])</f>
        <v>20</v>
      </c>
      <c r="V568">
        <v>9</v>
      </c>
      <c r="W568">
        <v>0</v>
      </c>
      <c r="X568">
        <v>1</v>
      </c>
      <c r="Y568">
        <v>1</v>
      </c>
      <c r="Z568">
        <v>1</v>
      </c>
      <c r="AA568">
        <v>0</v>
      </c>
      <c r="AB568">
        <f>SUM(Table1[[#This Row],[Accepted_Campaign_2]]+Table1[[#This Row],[Accepted_Campaign_1]]+Table1[[#This Row],[Accepted_Campaign_5]]+Table1[[#This Row],[Accepted_Campaign_4]]+Table1[[#This Row],[Accepted_Campaign_3]])</f>
        <v>3</v>
      </c>
      <c r="AC568">
        <v>1</v>
      </c>
      <c r="AD568">
        <v>0</v>
      </c>
    </row>
    <row r="569" spans="1:30" x14ac:dyDescent="0.25">
      <c r="A569">
        <v>41766</v>
      </c>
      <c r="B569">
        <v>1523</v>
      </c>
      <c r="C569">
        <v>1973</v>
      </c>
      <c r="D569" t="s">
        <v>20</v>
      </c>
      <c r="E569" t="s">
        <v>6</v>
      </c>
      <c r="F569" t="s">
        <v>11</v>
      </c>
      <c r="G569">
        <v>59041</v>
      </c>
      <c r="H569">
        <v>2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f>SUM(Table1[[#This Row],[Gold Spending]]+Table1[[#This Row],[Sweet Spending]]+Table1[[#This Row],[Fish Spending]]+Table1[[#This Row],[Meat Spending]]+Table1[[#This Row],[Fruits Spending]]+Table1[[#This Row],[Wine Spending ]])</f>
        <v>96</v>
      </c>
      <c r="Q569">
        <v>2</v>
      </c>
      <c r="R569">
        <v>2</v>
      </c>
      <c r="S569">
        <v>0</v>
      </c>
      <c r="T569">
        <v>4</v>
      </c>
      <c r="U569">
        <f>SUM(Table1[[#This Row],[Store_Purchases]]+Table1[[#This Row],[Catalog_Purchases]]+Table1[[#This Row],[Web_Purchases]]+Table1[[#This Row],[Deal_Purchases]])</f>
        <v>8</v>
      </c>
      <c r="V569">
        <v>5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f>SUM(Table1[[#This Row],[Accepted_Campaign_2]]+Table1[[#This Row],[Accepted_Campaign_1]]+Table1[[#This Row],[Accepted_Campaign_5]]+Table1[[#This Row],[Accepted_Campaign_4]]+Table1[[#This Row],[Accepted_Campaign_3]])</f>
        <v>0</v>
      </c>
      <c r="AC569">
        <v>0</v>
      </c>
      <c r="AD569">
        <v>0</v>
      </c>
    </row>
    <row r="570" spans="1:30" x14ac:dyDescent="0.25">
      <c r="A570">
        <v>41750</v>
      </c>
      <c r="B570">
        <v>1839</v>
      </c>
      <c r="C570">
        <v>1974</v>
      </c>
      <c r="D570" t="s">
        <v>17</v>
      </c>
      <c r="E570" t="s">
        <v>6</v>
      </c>
      <c r="F570" t="s">
        <v>9</v>
      </c>
      <c r="G570">
        <v>43322</v>
      </c>
      <c r="H570">
        <v>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f>SUM(Table1[[#This Row],[Gold Spending]]+Table1[[#This Row],[Sweet Spending]]+Table1[[#This Row],[Fish Spending]]+Table1[[#This Row],[Meat Spending]]+Table1[[#This Row],[Fruits Spending]]+Table1[[#This Row],[Wine Spending ]])</f>
        <v>141</v>
      </c>
      <c r="Q570">
        <v>1</v>
      </c>
      <c r="R570">
        <v>3</v>
      </c>
      <c r="S570">
        <v>0</v>
      </c>
      <c r="T570">
        <v>4</v>
      </c>
      <c r="U570">
        <f>SUM(Table1[[#This Row],[Store_Purchases]]+Table1[[#This Row],[Catalog_Purchases]]+Table1[[#This Row],[Web_Purchases]]+Table1[[#This Row],[Deal_Purchases]])</f>
        <v>8</v>
      </c>
      <c r="V570">
        <v>7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f>SUM(Table1[[#This Row],[Accepted_Campaign_2]]+Table1[[#This Row],[Accepted_Campaign_1]]+Table1[[#This Row],[Accepted_Campaign_5]]+Table1[[#This Row],[Accepted_Campaign_4]]+Table1[[#This Row],[Accepted_Campaign_3]])</f>
        <v>0</v>
      </c>
      <c r="AC570">
        <v>0</v>
      </c>
      <c r="AD570">
        <v>0</v>
      </c>
    </row>
    <row r="571" spans="1:30" x14ac:dyDescent="0.25">
      <c r="A571">
        <v>41742</v>
      </c>
      <c r="B571">
        <v>9972</v>
      </c>
      <c r="C571">
        <v>1955</v>
      </c>
      <c r="D571" t="s">
        <v>20</v>
      </c>
      <c r="E571" t="s">
        <v>14</v>
      </c>
      <c r="F571" t="s">
        <v>12</v>
      </c>
      <c r="G571">
        <v>46015</v>
      </c>
      <c r="H571">
        <v>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571">
        <v>1</v>
      </c>
      <c r="R571">
        <v>1</v>
      </c>
      <c r="S571">
        <v>0</v>
      </c>
      <c r="T571">
        <v>3</v>
      </c>
      <c r="U571">
        <f>SUM(Table1[[#This Row],[Store_Purchases]]+Table1[[#This Row],[Catalog_Purchases]]+Table1[[#This Row],[Web_Purchases]]+Table1[[#This Row],[Deal_Purchases]])</f>
        <v>5</v>
      </c>
      <c r="V571">
        <v>7</v>
      </c>
      <c r="W571">
        <v>1</v>
      </c>
      <c r="X571">
        <v>0</v>
      </c>
      <c r="Y571">
        <v>0</v>
      </c>
      <c r="Z571">
        <v>0</v>
      </c>
      <c r="AA571">
        <v>1</v>
      </c>
      <c r="AB571">
        <f>SUM(Table1[[#This Row],[Accepted_Campaign_2]]+Table1[[#This Row],[Accepted_Campaign_1]]+Table1[[#This Row],[Accepted_Campaign_5]]+Table1[[#This Row],[Accepted_Campaign_4]]+Table1[[#This Row],[Accepted_Campaign_3]])</f>
        <v>2</v>
      </c>
      <c r="AC571">
        <v>0</v>
      </c>
      <c r="AD571">
        <v>0</v>
      </c>
    </row>
    <row r="572" spans="1:30" x14ac:dyDescent="0.25">
      <c r="A572">
        <v>41742</v>
      </c>
      <c r="B572">
        <v>2945</v>
      </c>
      <c r="C572">
        <v>1955</v>
      </c>
      <c r="D572" t="s">
        <v>10</v>
      </c>
      <c r="E572" t="s">
        <v>14</v>
      </c>
      <c r="F572" t="s">
        <v>12</v>
      </c>
      <c r="G572">
        <v>46015</v>
      </c>
      <c r="H572">
        <v>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572">
        <v>1</v>
      </c>
      <c r="R572">
        <v>1</v>
      </c>
      <c r="S572">
        <v>0</v>
      </c>
      <c r="T572">
        <v>3</v>
      </c>
      <c r="U572">
        <f>SUM(Table1[[#This Row],[Store_Purchases]]+Table1[[#This Row],[Catalog_Purchases]]+Table1[[#This Row],[Web_Purchases]]+Table1[[#This Row],[Deal_Purchases]])</f>
        <v>5</v>
      </c>
      <c r="V572">
        <v>7</v>
      </c>
      <c r="W572">
        <v>1</v>
      </c>
      <c r="X572">
        <v>0</v>
      </c>
      <c r="Y572">
        <v>0</v>
      </c>
      <c r="Z572">
        <v>0</v>
      </c>
      <c r="AA572">
        <v>1</v>
      </c>
      <c r="AB572">
        <f>SUM(Table1[[#This Row],[Accepted_Campaign_2]]+Table1[[#This Row],[Accepted_Campaign_1]]+Table1[[#This Row],[Accepted_Campaign_5]]+Table1[[#This Row],[Accepted_Campaign_4]]+Table1[[#This Row],[Accepted_Campaign_3]])</f>
        <v>2</v>
      </c>
      <c r="AC572">
        <v>0</v>
      </c>
      <c r="AD572">
        <v>0</v>
      </c>
    </row>
    <row r="573" spans="1:30" x14ac:dyDescent="0.25">
      <c r="A573">
        <v>41721</v>
      </c>
      <c r="B573">
        <v>9291</v>
      </c>
      <c r="C573">
        <v>1959</v>
      </c>
      <c r="D573" t="s">
        <v>8</v>
      </c>
      <c r="E573" t="s">
        <v>18</v>
      </c>
      <c r="F573" t="s">
        <v>11</v>
      </c>
      <c r="G573">
        <v>34242</v>
      </c>
      <c r="H573">
        <v>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f>SUM(Table1[[#This Row],[Gold Spending]]+Table1[[#This Row],[Sweet Spending]]+Table1[[#This Row],[Fish Spending]]+Table1[[#This Row],[Meat Spending]]+Table1[[#This Row],[Fruits Spending]]+Table1[[#This Row],[Wine Spending ]])</f>
        <v>15</v>
      </c>
      <c r="Q573">
        <v>1</v>
      </c>
      <c r="R573">
        <v>0</v>
      </c>
      <c r="S573">
        <v>0</v>
      </c>
      <c r="T573">
        <v>3</v>
      </c>
      <c r="U573">
        <f>SUM(Table1[[#This Row],[Store_Purchases]]+Table1[[#This Row],[Catalog_Purchases]]+Table1[[#This Row],[Web_Purchases]]+Table1[[#This Row],[Deal_Purchases]])</f>
        <v>4</v>
      </c>
      <c r="V573">
        <v>5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f>SUM(Table1[[#This Row],[Accepted_Campaign_2]]+Table1[[#This Row],[Accepted_Campaign_1]]+Table1[[#This Row],[Accepted_Campaign_5]]+Table1[[#This Row],[Accepted_Campaign_4]]+Table1[[#This Row],[Accepted_Campaign_3]])</f>
        <v>0</v>
      </c>
      <c r="AC573">
        <v>0</v>
      </c>
      <c r="AD573">
        <v>0</v>
      </c>
    </row>
    <row r="574" spans="1:30" x14ac:dyDescent="0.25">
      <c r="A574">
        <v>41708</v>
      </c>
      <c r="B574">
        <v>2829</v>
      </c>
      <c r="C574">
        <v>1955</v>
      </c>
      <c r="D574" t="s">
        <v>10</v>
      </c>
      <c r="E574" t="s">
        <v>6</v>
      </c>
      <c r="F574" t="s">
        <v>11</v>
      </c>
      <c r="G574">
        <v>65210</v>
      </c>
      <c r="H574">
        <v>1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f>SUM(Table1[[#This Row],[Gold Spending]]+Table1[[#This Row],[Sweet Spending]]+Table1[[#This Row],[Fish Spending]]+Table1[[#This Row],[Meat Spending]]+Table1[[#This Row],[Fruits Spending]]+Table1[[#This Row],[Wine Spending ]])</f>
        <v>731</v>
      </c>
      <c r="Q574">
        <v>2</v>
      </c>
      <c r="R574">
        <v>9</v>
      </c>
      <c r="S574">
        <v>3</v>
      </c>
      <c r="T574">
        <v>8</v>
      </c>
      <c r="U574">
        <f>SUM(Table1[[#This Row],[Store_Purchases]]+Table1[[#This Row],[Catalog_Purchases]]+Table1[[#This Row],[Web_Purchases]]+Table1[[#This Row],[Deal_Purchases]])</f>
        <v>22</v>
      </c>
      <c r="V574">
        <v>6</v>
      </c>
      <c r="W574">
        <v>0</v>
      </c>
      <c r="X574">
        <v>1</v>
      </c>
      <c r="Y574">
        <v>0</v>
      </c>
      <c r="Z574">
        <v>1</v>
      </c>
      <c r="AA574">
        <v>0</v>
      </c>
      <c r="AB574">
        <f>SUM(Table1[[#This Row],[Accepted_Campaign_2]]+Table1[[#This Row],[Accepted_Campaign_1]]+Table1[[#This Row],[Accepted_Campaign_5]]+Table1[[#This Row],[Accepted_Campaign_4]]+Table1[[#This Row],[Accepted_Campaign_3]])</f>
        <v>2</v>
      </c>
      <c r="AC574">
        <v>0</v>
      </c>
      <c r="AD574">
        <v>0</v>
      </c>
    </row>
    <row r="575" spans="1:30" x14ac:dyDescent="0.25">
      <c r="A575">
        <v>41667</v>
      </c>
      <c r="B575">
        <v>8594</v>
      </c>
      <c r="C575">
        <v>1958</v>
      </c>
      <c r="D575" t="s">
        <v>8</v>
      </c>
      <c r="E575" t="s">
        <v>14</v>
      </c>
      <c r="F575" t="s">
        <v>19</v>
      </c>
      <c r="G575">
        <v>50520</v>
      </c>
      <c r="H575">
        <v>1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f>SUM(Table1[[#This Row],[Gold Spending]]+Table1[[#This Row],[Sweet Spending]]+Table1[[#This Row],[Fish Spending]]+Table1[[#This Row],[Meat Spending]]+Table1[[#This Row],[Fruits Spending]]+Table1[[#This Row],[Wine Spending ]])</f>
        <v>135</v>
      </c>
      <c r="Q575">
        <v>2</v>
      </c>
      <c r="R575">
        <v>3</v>
      </c>
      <c r="S575">
        <v>1</v>
      </c>
      <c r="T575">
        <v>3</v>
      </c>
      <c r="U575">
        <f>SUM(Table1[[#This Row],[Store_Purchases]]+Table1[[#This Row],[Catalog_Purchases]]+Table1[[#This Row],[Web_Purchases]]+Table1[[#This Row],[Deal_Purchases]])</f>
        <v>9</v>
      </c>
      <c r="V575">
        <v>6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f>SUM(Table1[[#This Row],[Accepted_Campaign_2]]+Table1[[#This Row],[Accepted_Campaign_1]]+Table1[[#This Row],[Accepted_Campaign_5]]+Table1[[#This Row],[Accepted_Campaign_4]]+Table1[[#This Row],[Accepted_Campaign_3]])</f>
        <v>0</v>
      </c>
      <c r="AC575">
        <v>0</v>
      </c>
      <c r="AD575">
        <v>0</v>
      </c>
    </row>
    <row r="576" spans="1:30" x14ac:dyDescent="0.25">
      <c r="A576">
        <v>41663</v>
      </c>
      <c r="B576">
        <v>1592</v>
      </c>
      <c r="C576">
        <v>1970</v>
      </c>
      <c r="D576" t="s">
        <v>10</v>
      </c>
      <c r="E576" t="s">
        <v>6</v>
      </c>
      <c r="F576" t="s">
        <v>11</v>
      </c>
      <c r="G576">
        <v>90765</v>
      </c>
      <c r="H576">
        <v>0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f>SUM(Table1[[#This Row],[Gold Spending]]+Table1[[#This Row],[Sweet Spending]]+Table1[[#This Row],[Fish Spending]]+Table1[[#This Row],[Meat Spending]]+Table1[[#This Row],[Fruits Spending]]+Table1[[#This Row],[Wine Spending ]])</f>
        <v>1724</v>
      </c>
      <c r="Q576">
        <v>0</v>
      </c>
      <c r="R576">
        <v>4</v>
      </c>
      <c r="S576">
        <v>6</v>
      </c>
      <c r="T576">
        <v>5</v>
      </c>
      <c r="U576">
        <f>SUM(Table1[[#This Row],[Store_Purchases]]+Table1[[#This Row],[Catalog_Purchases]]+Table1[[#This Row],[Web_Purchases]]+Table1[[#This Row],[Deal_Purchases]])</f>
        <v>15</v>
      </c>
      <c r="V576">
        <v>1</v>
      </c>
      <c r="W576">
        <v>0</v>
      </c>
      <c r="X576">
        <v>0</v>
      </c>
      <c r="Y576">
        <v>1</v>
      </c>
      <c r="Z576">
        <v>1</v>
      </c>
      <c r="AA576">
        <v>0</v>
      </c>
      <c r="AB576">
        <f>SUM(Table1[[#This Row],[Accepted_Campaign_2]]+Table1[[#This Row],[Accepted_Campaign_1]]+Table1[[#This Row],[Accepted_Campaign_5]]+Table1[[#This Row],[Accepted_Campaign_4]]+Table1[[#This Row],[Accepted_Campaign_3]])</f>
        <v>2</v>
      </c>
      <c r="AC576">
        <v>0</v>
      </c>
      <c r="AD576">
        <v>0</v>
      </c>
    </row>
    <row r="577" spans="1:30" x14ac:dyDescent="0.25">
      <c r="A577">
        <v>41661</v>
      </c>
      <c r="B577">
        <v>4310</v>
      </c>
      <c r="C577">
        <v>1944</v>
      </c>
      <c r="D577" t="s">
        <v>13</v>
      </c>
      <c r="E577" t="s">
        <v>6</v>
      </c>
      <c r="F577" t="s">
        <v>11</v>
      </c>
      <c r="G577">
        <v>80589</v>
      </c>
      <c r="H577">
        <v>0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f>SUM(Table1[[#This Row],[Gold Spending]]+Table1[[#This Row],[Sweet Spending]]+Table1[[#This Row],[Fish Spending]]+Table1[[#This Row],[Meat Spending]]+Table1[[#This Row],[Fruits Spending]]+Table1[[#This Row],[Wine Spending ]])</f>
        <v>1428</v>
      </c>
      <c r="Q577">
        <v>1</v>
      </c>
      <c r="R577">
        <v>5</v>
      </c>
      <c r="S577">
        <v>10</v>
      </c>
      <c r="T577">
        <v>5</v>
      </c>
      <c r="U577">
        <f>SUM(Table1[[#This Row],[Store_Purchases]]+Table1[[#This Row],[Catalog_Purchases]]+Table1[[#This Row],[Web_Purchases]]+Table1[[#This Row],[Deal_Purchases]])</f>
        <v>21</v>
      </c>
      <c r="V577">
        <v>1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f>SUM(Table1[[#This Row],[Accepted_Campaign_2]]+Table1[[#This Row],[Accepted_Campaign_1]]+Table1[[#This Row],[Accepted_Campaign_5]]+Table1[[#This Row],[Accepted_Campaign_4]]+Table1[[#This Row],[Accepted_Campaign_3]])</f>
        <v>1</v>
      </c>
      <c r="AC577">
        <v>1</v>
      </c>
      <c r="AD577">
        <v>0</v>
      </c>
    </row>
    <row r="578" spans="1:30" x14ac:dyDescent="0.25">
      <c r="A578">
        <v>41623</v>
      </c>
      <c r="B578">
        <v>6950</v>
      </c>
      <c r="C578">
        <v>1958</v>
      </c>
      <c r="D578" t="s">
        <v>10</v>
      </c>
      <c r="E578" t="s">
        <v>18</v>
      </c>
      <c r="F578" t="s">
        <v>11</v>
      </c>
      <c r="G578">
        <v>49572</v>
      </c>
      <c r="H578">
        <v>2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f>SUM(Table1[[#This Row],[Gold Spending]]+Table1[[#This Row],[Sweet Spending]]+Table1[[#This Row],[Fish Spending]]+Table1[[#This Row],[Meat Spending]]+Table1[[#This Row],[Fruits Spending]]+Table1[[#This Row],[Wine Spending ]])</f>
        <v>54</v>
      </c>
      <c r="Q578">
        <v>2</v>
      </c>
      <c r="R578">
        <v>2</v>
      </c>
      <c r="S578">
        <v>0</v>
      </c>
      <c r="T578">
        <v>3</v>
      </c>
      <c r="U578">
        <f>SUM(Table1[[#This Row],[Store_Purchases]]+Table1[[#This Row],[Catalog_Purchases]]+Table1[[#This Row],[Web_Purchases]]+Table1[[#This Row],[Deal_Purchases]])</f>
        <v>7</v>
      </c>
      <c r="V578">
        <v>7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f>SUM(Table1[[#This Row],[Accepted_Campaign_2]]+Table1[[#This Row],[Accepted_Campaign_1]]+Table1[[#This Row],[Accepted_Campaign_5]]+Table1[[#This Row],[Accepted_Campaign_4]]+Table1[[#This Row],[Accepted_Campaign_3]])</f>
        <v>0</v>
      </c>
      <c r="AC578">
        <v>0</v>
      </c>
      <c r="AD578">
        <v>0</v>
      </c>
    </row>
    <row r="579" spans="1:30" x14ac:dyDescent="0.25">
      <c r="A579">
        <v>41587</v>
      </c>
      <c r="B579">
        <v>8492</v>
      </c>
      <c r="C579">
        <v>1978</v>
      </c>
      <c r="D579" t="s">
        <v>8</v>
      </c>
      <c r="E579" t="s">
        <v>6</v>
      </c>
      <c r="F579" t="s">
        <v>12</v>
      </c>
      <c r="G579">
        <v>75437</v>
      </c>
      <c r="H579">
        <v>0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f>SUM(Table1[[#This Row],[Gold Spending]]+Table1[[#This Row],[Sweet Spending]]+Table1[[#This Row],[Fish Spending]]+Table1[[#This Row],[Meat Spending]]+Table1[[#This Row],[Fruits Spending]]+Table1[[#This Row],[Wine Spending ]])</f>
        <v>1493</v>
      </c>
      <c r="Q579">
        <v>1</v>
      </c>
      <c r="R579">
        <v>8</v>
      </c>
      <c r="S579">
        <v>4</v>
      </c>
      <c r="T579">
        <v>10</v>
      </c>
      <c r="U579">
        <f>SUM(Table1[[#This Row],[Store_Purchases]]+Table1[[#This Row],[Catalog_Purchases]]+Table1[[#This Row],[Web_Purchases]]+Table1[[#This Row],[Deal_Purchases]])</f>
        <v>23</v>
      </c>
      <c r="V579">
        <v>6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f>SUM(Table1[[#This Row],[Accepted_Campaign_2]]+Table1[[#This Row],[Accepted_Campaign_1]]+Table1[[#This Row],[Accepted_Campaign_5]]+Table1[[#This Row],[Accepted_Campaign_4]]+Table1[[#This Row],[Accepted_Campaign_3]])</f>
        <v>1</v>
      </c>
      <c r="AC579">
        <v>0</v>
      </c>
      <c r="AD579">
        <v>0</v>
      </c>
    </row>
    <row r="580" spans="1:30" x14ac:dyDescent="0.25">
      <c r="A580">
        <v>41558</v>
      </c>
      <c r="B580">
        <v>5684</v>
      </c>
      <c r="C580">
        <v>1971</v>
      </c>
      <c r="D580" t="s">
        <v>8</v>
      </c>
      <c r="E580" t="s">
        <v>18</v>
      </c>
      <c r="F580" t="s">
        <v>7</v>
      </c>
      <c r="G580">
        <v>44635</v>
      </c>
      <c r="H580">
        <v>2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f>SUM(Table1[[#This Row],[Gold Spending]]+Table1[[#This Row],[Sweet Spending]]+Table1[[#This Row],[Fish Spending]]+Table1[[#This Row],[Meat Spending]]+Table1[[#This Row],[Fruits Spending]]+Table1[[#This Row],[Wine Spending ]])</f>
        <v>68</v>
      </c>
      <c r="Q580">
        <v>2</v>
      </c>
      <c r="R580">
        <v>2</v>
      </c>
      <c r="S580">
        <v>0</v>
      </c>
      <c r="T580">
        <v>3</v>
      </c>
      <c r="U580">
        <f>SUM(Table1[[#This Row],[Store_Purchases]]+Table1[[#This Row],[Catalog_Purchases]]+Table1[[#This Row],[Web_Purchases]]+Table1[[#This Row],[Deal_Purchases]])</f>
        <v>7</v>
      </c>
      <c r="V580">
        <v>7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f>SUM(Table1[[#This Row],[Accepted_Campaign_2]]+Table1[[#This Row],[Accepted_Campaign_1]]+Table1[[#This Row],[Accepted_Campaign_5]]+Table1[[#This Row],[Accepted_Campaign_4]]+Table1[[#This Row],[Accepted_Campaign_3]])</f>
        <v>0</v>
      </c>
      <c r="AC580">
        <v>0</v>
      </c>
      <c r="AD580">
        <v>0</v>
      </c>
    </row>
    <row r="581" spans="1:30" x14ac:dyDescent="0.25">
      <c r="A581">
        <v>41536</v>
      </c>
      <c r="B581">
        <v>5909</v>
      </c>
      <c r="C581">
        <v>1964</v>
      </c>
      <c r="D581" t="s">
        <v>16</v>
      </c>
      <c r="E581" t="s">
        <v>6</v>
      </c>
      <c r="F581" t="s">
        <v>11</v>
      </c>
      <c r="G581">
        <v>58512</v>
      </c>
      <c r="H581">
        <v>1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f>SUM(Table1[[#This Row],[Gold Spending]]+Table1[[#This Row],[Sweet Spending]]+Table1[[#This Row],[Fish Spending]]+Table1[[#This Row],[Meat Spending]]+Table1[[#This Row],[Fruits Spending]]+Table1[[#This Row],[Wine Spending ]])</f>
        <v>1171</v>
      </c>
      <c r="Q581">
        <v>5</v>
      </c>
      <c r="R581">
        <v>3</v>
      </c>
      <c r="S581">
        <v>4</v>
      </c>
      <c r="T581">
        <v>8</v>
      </c>
      <c r="U581">
        <f>SUM(Table1[[#This Row],[Store_Purchases]]+Table1[[#This Row],[Catalog_Purchases]]+Table1[[#This Row],[Web_Purchases]]+Table1[[#This Row],[Deal_Purchases]])</f>
        <v>20</v>
      </c>
      <c r="V581">
        <v>8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f>SUM(Table1[[#This Row],[Accepted_Campaign_2]]+Table1[[#This Row],[Accepted_Campaign_1]]+Table1[[#This Row],[Accepted_Campaign_5]]+Table1[[#This Row],[Accepted_Campaign_4]]+Table1[[#This Row],[Accepted_Campaign_3]])</f>
        <v>0</v>
      </c>
      <c r="AC581">
        <v>0</v>
      </c>
      <c r="AD581">
        <v>0</v>
      </c>
    </row>
    <row r="582" spans="1:30" x14ac:dyDescent="0.25">
      <c r="A582">
        <v>41511</v>
      </c>
      <c r="B582">
        <v>9855</v>
      </c>
      <c r="C582">
        <v>1952</v>
      </c>
      <c r="D582" t="s">
        <v>8</v>
      </c>
      <c r="E582" t="s">
        <v>14</v>
      </c>
      <c r="F582" t="s">
        <v>9</v>
      </c>
      <c r="G582">
        <v>62000</v>
      </c>
      <c r="H582">
        <v>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f>SUM(Table1[[#This Row],[Gold Spending]]+Table1[[#This Row],[Sweet Spending]]+Table1[[#This Row],[Fish Spending]]+Table1[[#This Row],[Meat Spending]]+Table1[[#This Row],[Fruits Spending]]+Table1[[#This Row],[Wine Spending ]])</f>
        <v>1020</v>
      </c>
      <c r="Q582">
        <v>1</v>
      </c>
      <c r="R582">
        <v>6</v>
      </c>
      <c r="S582">
        <v>6</v>
      </c>
      <c r="T582">
        <v>13</v>
      </c>
      <c r="U582">
        <f>SUM(Table1[[#This Row],[Store_Purchases]]+Table1[[#This Row],[Catalog_Purchases]]+Table1[[#This Row],[Web_Purchases]]+Table1[[#This Row],[Deal_Purchases]])</f>
        <v>26</v>
      </c>
      <c r="V582">
        <v>4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f>SUM(Table1[[#This Row],[Accepted_Campaign_2]]+Table1[[#This Row],[Accepted_Campaign_1]]+Table1[[#This Row],[Accepted_Campaign_5]]+Table1[[#This Row],[Accepted_Campaign_4]]+Table1[[#This Row],[Accepted_Campaign_3]])</f>
        <v>1</v>
      </c>
      <c r="AC582">
        <v>0</v>
      </c>
      <c r="AD582">
        <v>0</v>
      </c>
    </row>
    <row r="583" spans="1:30" x14ac:dyDescent="0.25">
      <c r="A583">
        <v>41422</v>
      </c>
      <c r="B583">
        <v>975</v>
      </c>
      <c r="C583">
        <v>1956</v>
      </c>
      <c r="D583" t="s">
        <v>13</v>
      </c>
      <c r="E583" t="s">
        <v>6</v>
      </c>
      <c r="F583" t="s">
        <v>9</v>
      </c>
      <c r="G583">
        <v>54252</v>
      </c>
      <c r="H583">
        <v>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f>SUM(Table1[[#This Row],[Gold Spending]]+Table1[[#This Row],[Sweet Spending]]+Table1[[#This Row],[Fish Spending]]+Table1[[#This Row],[Meat Spending]]+Table1[[#This Row],[Fruits Spending]]+Table1[[#This Row],[Wine Spending ]])</f>
        <v>264</v>
      </c>
      <c r="Q583">
        <v>5</v>
      </c>
      <c r="R583">
        <v>4</v>
      </c>
      <c r="S583">
        <v>1</v>
      </c>
      <c r="T583">
        <v>5</v>
      </c>
      <c r="U583">
        <f>SUM(Table1[[#This Row],[Store_Purchases]]+Table1[[#This Row],[Catalog_Purchases]]+Table1[[#This Row],[Web_Purchases]]+Table1[[#This Row],[Deal_Purchases]])</f>
        <v>15</v>
      </c>
      <c r="V583">
        <v>6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f>SUM(Table1[[#This Row],[Accepted_Campaign_2]]+Table1[[#This Row],[Accepted_Campaign_1]]+Table1[[#This Row],[Accepted_Campaign_5]]+Table1[[#This Row],[Accepted_Campaign_4]]+Table1[[#This Row],[Accepted_Campaign_3]])</f>
        <v>0</v>
      </c>
      <c r="AC583">
        <v>0</v>
      </c>
      <c r="AD583">
        <v>0</v>
      </c>
    </row>
    <row r="584" spans="1:30" x14ac:dyDescent="0.25">
      <c r="A584">
        <v>41410</v>
      </c>
      <c r="B584">
        <v>8754</v>
      </c>
      <c r="C584">
        <v>1974</v>
      </c>
      <c r="D584" t="s">
        <v>8</v>
      </c>
      <c r="E584" t="s">
        <v>14</v>
      </c>
      <c r="F584" t="s">
        <v>12</v>
      </c>
      <c r="G584">
        <v>45068</v>
      </c>
      <c r="H584">
        <v>1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f>SUM(Table1[[#This Row],[Gold Spending]]+Table1[[#This Row],[Sweet Spending]]+Table1[[#This Row],[Fish Spending]]+Table1[[#This Row],[Meat Spending]]+Table1[[#This Row],[Fruits Spending]]+Table1[[#This Row],[Wine Spending ]])</f>
        <v>20</v>
      </c>
      <c r="Q584">
        <v>1</v>
      </c>
      <c r="R584">
        <v>1</v>
      </c>
      <c r="S584">
        <v>0</v>
      </c>
      <c r="T584">
        <v>2</v>
      </c>
      <c r="U584">
        <f>SUM(Table1[[#This Row],[Store_Purchases]]+Table1[[#This Row],[Catalog_Purchases]]+Table1[[#This Row],[Web_Purchases]]+Table1[[#This Row],[Deal_Purchases]])</f>
        <v>4</v>
      </c>
      <c r="V584">
        <v>7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f>SUM(Table1[[#This Row],[Accepted_Campaign_2]]+Table1[[#This Row],[Accepted_Campaign_1]]+Table1[[#This Row],[Accepted_Campaign_5]]+Table1[[#This Row],[Accepted_Campaign_4]]+Table1[[#This Row],[Accepted_Campaign_3]])</f>
        <v>0</v>
      </c>
      <c r="AC584">
        <v>0</v>
      </c>
      <c r="AD584">
        <v>0</v>
      </c>
    </row>
    <row r="585" spans="1:30" x14ac:dyDescent="0.25">
      <c r="A585">
        <v>41365</v>
      </c>
      <c r="B585">
        <v>1456</v>
      </c>
      <c r="C585">
        <v>1979</v>
      </c>
      <c r="D585" t="s">
        <v>17</v>
      </c>
      <c r="E585" t="s">
        <v>6</v>
      </c>
      <c r="F585" t="s">
        <v>9</v>
      </c>
      <c r="G585">
        <v>60474</v>
      </c>
      <c r="H585">
        <v>1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f>SUM(Table1[[#This Row],[Gold Spending]]+Table1[[#This Row],[Sweet Spending]]+Table1[[#This Row],[Fish Spending]]+Table1[[#This Row],[Meat Spending]]+Table1[[#This Row],[Fruits Spending]]+Table1[[#This Row],[Wine Spending ]])</f>
        <v>1180</v>
      </c>
      <c r="Q585">
        <v>7</v>
      </c>
      <c r="R585">
        <v>10</v>
      </c>
      <c r="S585">
        <v>2</v>
      </c>
      <c r="T585">
        <v>12</v>
      </c>
      <c r="U585">
        <f>SUM(Table1[[#This Row],[Store_Purchases]]+Table1[[#This Row],[Catalog_Purchases]]+Table1[[#This Row],[Web_Purchases]]+Table1[[#This Row],[Deal_Purchases]])</f>
        <v>31</v>
      </c>
      <c r="V585">
        <v>7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f>SUM(Table1[[#This Row],[Accepted_Campaign_2]]+Table1[[#This Row],[Accepted_Campaign_1]]+Table1[[#This Row],[Accepted_Campaign_5]]+Table1[[#This Row],[Accepted_Campaign_4]]+Table1[[#This Row],[Accepted_Campaign_3]])</f>
        <v>0</v>
      </c>
      <c r="AC585">
        <v>0</v>
      </c>
      <c r="AD585">
        <v>0</v>
      </c>
    </row>
    <row r="586" spans="1:30" x14ac:dyDescent="0.25">
      <c r="A586">
        <v>41365</v>
      </c>
      <c r="B586">
        <v>2849</v>
      </c>
      <c r="C586">
        <v>1979</v>
      </c>
      <c r="D586" t="s">
        <v>10</v>
      </c>
      <c r="E586" t="s">
        <v>6</v>
      </c>
      <c r="F586" t="s">
        <v>9</v>
      </c>
      <c r="G586">
        <v>60474</v>
      </c>
      <c r="H586">
        <v>1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f>SUM(Table1[[#This Row],[Gold Spending]]+Table1[[#This Row],[Sweet Spending]]+Table1[[#This Row],[Fish Spending]]+Table1[[#This Row],[Meat Spending]]+Table1[[#This Row],[Fruits Spending]]+Table1[[#This Row],[Wine Spending ]])</f>
        <v>1180</v>
      </c>
      <c r="Q586">
        <v>7</v>
      </c>
      <c r="R586">
        <v>10</v>
      </c>
      <c r="S586">
        <v>2</v>
      </c>
      <c r="T586">
        <v>12</v>
      </c>
      <c r="U586">
        <f>SUM(Table1[[#This Row],[Store_Purchases]]+Table1[[#This Row],[Catalog_Purchases]]+Table1[[#This Row],[Web_Purchases]]+Table1[[#This Row],[Deal_Purchases]])</f>
        <v>31</v>
      </c>
      <c r="V586">
        <v>7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f>SUM(Table1[[#This Row],[Accepted_Campaign_2]]+Table1[[#This Row],[Accepted_Campaign_1]]+Table1[[#This Row],[Accepted_Campaign_5]]+Table1[[#This Row],[Accepted_Campaign_4]]+Table1[[#This Row],[Accepted_Campaign_3]])</f>
        <v>0</v>
      </c>
      <c r="AC586">
        <v>0</v>
      </c>
      <c r="AD586">
        <v>0</v>
      </c>
    </row>
    <row r="587" spans="1:30" x14ac:dyDescent="0.25">
      <c r="A587">
        <v>41360</v>
      </c>
      <c r="B587">
        <v>9984</v>
      </c>
      <c r="C587">
        <v>1981</v>
      </c>
      <c r="D587" t="s">
        <v>8</v>
      </c>
      <c r="E587" t="s">
        <v>15</v>
      </c>
      <c r="F587" t="s">
        <v>11</v>
      </c>
      <c r="G587">
        <v>56337</v>
      </c>
      <c r="H587">
        <v>2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f>SUM(Table1[[#This Row],[Gold Spending]]+Table1[[#This Row],[Sweet Spending]]+Table1[[#This Row],[Fish Spending]]+Table1[[#This Row],[Meat Spending]]+Table1[[#This Row],[Fruits Spending]]+Table1[[#This Row],[Wine Spending ]])</f>
        <v>724</v>
      </c>
      <c r="Q587">
        <v>5</v>
      </c>
      <c r="R587">
        <v>8</v>
      </c>
      <c r="S587">
        <v>5</v>
      </c>
      <c r="T587">
        <v>4</v>
      </c>
      <c r="U587">
        <f>SUM(Table1[[#This Row],[Store_Purchases]]+Table1[[#This Row],[Catalog_Purchases]]+Table1[[#This Row],[Web_Purchases]]+Table1[[#This Row],[Deal_Purchases]])</f>
        <v>22</v>
      </c>
      <c r="V587">
        <v>8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f>SUM(Table1[[#This Row],[Accepted_Campaign_2]]+Table1[[#This Row],[Accepted_Campaign_1]]+Table1[[#This Row],[Accepted_Campaign_5]]+Table1[[#This Row],[Accepted_Campaign_4]]+Table1[[#This Row],[Accepted_Campaign_3]])</f>
        <v>2</v>
      </c>
      <c r="AC587">
        <v>1</v>
      </c>
      <c r="AD587">
        <v>0</v>
      </c>
    </row>
    <row r="588" spans="1:30" x14ac:dyDescent="0.25">
      <c r="A588">
        <v>41318</v>
      </c>
      <c r="B588">
        <v>5527</v>
      </c>
      <c r="C588">
        <v>1987</v>
      </c>
      <c r="D588" t="s">
        <v>8</v>
      </c>
      <c r="E588" t="s">
        <v>6</v>
      </c>
      <c r="F588" t="s">
        <v>12</v>
      </c>
      <c r="G588">
        <v>22434</v>
      </c>
      <c r="H588">
        <v>1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f>SUM(Table1[[#This Row],[Gold Spending]]+Table1[[#This Row],[Sweet Spending]]+Table1[[#This Row],[Fish Spending]]+Table1[[#This Row],[Meat Spending]]+Table1[[#This Row],[Fruits Spending]]+Table1[[#This Row],[Wine Spending ]])</f>
        <v>58</v>
      </c>
      <c r="Q588">
        <v>2</v>
      </c>
      <c r="R588">
        <v>2</v>
      </c>
      <c r="S588">
        <v>0</v>
      </c>
      <c r="T588">
        <v>3</v>
      </c>
      <c r="U588">
        <f>SUM(Table1[[#This Row],[Store_Purchases]]+Table1[[#This Row],[Catalog_Purchases]]+Table1[[#This Row],[Web_Purchases]]+Table1[[#This Row],[Deal_Purchases]])</f>
        <v>7</v>
      </c>
      <c r="V588">
        <v>8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f>SUM(Table1[[#This Row],[Accepted_Campaign_2]]+Table1[[#This Row],[Accepted_Campaign_1]]+Table1[[#This Row],[Accepted_Campaign_5]]+Table1[[#This Row],[Accepted_Campaign_4]]+Table1[[#This Row],[Accepted_Campaign_3]])</f>
        <v>0</v>
      </c>
      <c r="AC588">
        <v>0</v>
      </c>
      <c r="AD588">
        <v>0</v>
      </c>
    </row>
    <row r="589" spans="1:30" x14ac:dyDescent="0.25">
      <c r="A589">
        <v>41313</v>
      </c>
      <c r="B589">
        <v>5628</v>
      </c>
      <c r="C589">
        <v>1982</v>
      </c>
      <c r="D589" t="s">
        <v>63</v>
      </c>
      <c r="E589" t="s">
        <v>6</v>
      </c>
      <c r="F589" t="s">
        <v>12</v>
      </c>
      <c r="G589">
        <v>61416</v>
      </c>
      <c r="H589">
        <v>0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f>SUM(Table1[[#This Row],[Gold Spending]]+Table1[[#This Row],[Sweet Spending]]+Table1[[#This Row],[Fish Spending]]+Table1[[#This Row],[Meat Spending]]+Table1[[#This Row],[Fruits Spending]]+Table1[[#This Row],[Wine Spending ]])</f>
        <v>1665</v>
      </c>
      <c r="Q589">
        <v>1</v>
      </c>
      <c r="R589">
        <v>10</v>
      </c>
      <c r="S589">
        <v>3</v>
      </c>
      <c r="T589">
        <v>10</v>
      </c>
      <c r="U589">
        <f>SUM(Table1[[#This Row],[Store_Purchases]]+Table1[[#This Row],[Catalog_Purchases]]+Table1[[#This Row],[Web_Purchases]]+Table1[[#This Row],[Deal_Purchases]])</f>
        <v>24</v>
      </c>
      <c r="V589">
        <v>6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f>SUM(Table1[[#This Row],[Accepted_Campaign_2]]+Table1[[#This Row],[Accepted_Campaign_1]]+Table1[[#This Row],[Accepted_Campaign_5]]+Table1[[#This Row],[Accepted_Campaign_4]]+Table1[[#This Row],[Accepted_Campaign_3]])</f>
        <v>1</v>
      </c>
      <c r="AC589">
        <v>0</v>
      </c>
      <c r="AD589">
        <v>0</v>
      </c>
    </row>
    <row r="590" spans="1:30" x14ac:dyDescent="0.25">
      <c r="A590">
        <v>41255</v>
      </c>
      <c r="B590">
        <v>7627</v>
      </c>
      <c r="C590">
        <v>1975</v>
      </c>
      <c r="D590" t="s">
        <v>8</v>
      </c>
      <c r="E590" t="s">
        <v>18</v>
      </c>
      <c r="F590" t="s">
        <v>11</v>
      </c>
      <c r="G590">
        <v>92163</v>
      </c>
      <c r="H590">
        <v>0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f>SUM(Table1[[#This Row],[Gold Spending]]+Table1[[#This Row],[Sweet Spending]]+Table1[[#This Row],[Fish Spending]]+Table1[[#This Row],[Meat Spending]]+Table1[[#This Row],[Fruits Spending]]+Table1[[#This Row],[Wine Spending ]])</f>
        <v>2086</v>
      </c>
      <c r="Q590">
        <v>0</v>
      </c>
      <c r="R590">
        <v>5</v>
      </c>
      <c r="S590">
        <v>11</v>
      </c>
      <c r="T590">
        <v>5</v>
      </c>
      <c r="U590">
        <f>SUM(Table1[[#This Row],[Store_Purchases]]+Table1[[#This Row],[Catalog_Purchases]]+Table1[[#This Row],[Web_Purchases]]+Table1[[#This Row],[Deal_Purchases]])</f>
        <v>21</v>
      </c>
      <c r="V590">
        <v>2</v>
      </c>
      <c r="W590">
        <v>0</v>
      </c>
      <c r="X590">
        <v>0</v>
      </c>
      <c r="Y590">
        <v>1</v>
      </c>
      <c r="Z590">
        <v>1</v>
      </c>
      <c r="AA590">
        <v>0</v>
      </c>
      <c r="AB590">
        <f>SUM(Table1[[#This Row],[Accepted_Campaign_2]]+Table1[[#This Row],[Accepted_Campaign_1]]+Table1[[#This Row],[Accepted_Campaign_5]]+Table1[[#This Row],[Accepted_Campaign_4]]+Table1[[#This Row],[Accepted_Campaign_3]])</f>
        <v>2</v>
      </c>
      <c r="AC590">
        <v>1</v>
      </c>
      <c r="AD590">
        <v>0</v>
      </c>
    </row>
    <row r="591" spans="1:30" x14ac:dyDescent="0.25">
      <c r="A591">
        <v>41172</v>
      </c>
      <c r="B591">
        <v>1351</v>
      </c>
      <c r="C591">
        <v>1956</v>
      </c>
      <c r="D591" t="s">
        <v>8</v>
      </c>
      <c r="E591" t="s">
        <v>18</v>
      </c>
      <c r="F591" t="s">
        <v>12</v>
      </c>
      <c r="G591">
        <v>58656</v>
      </c>
      <c r="H591">
        <v>1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f>SUM(Table1[[#This Row],[Gold Spending]]+Table1[[#This Row],[Sweet Spending]]+Table1[[#This Row],[Fish Spending]]+Table1[[#This Row],[Meat Spending]]+Table1[[#This Row],[Fruits Spending]]+Table1[[#This Row],[Wine Spending ]])</f>
        <v>1220</v>
      </c>
      <c r="Q591">
        <v>4</v>
      </c>
      <c r="R591">
        <v>7</v>
      </c>
      <c r="S591">
        <v>8</v>
      </c>
      <c r="T591">
        <v>13</v>
      </c>
      <c r="U591">
        <f>SUM(Table1[[#This Row],[Store_Purchases]]+Table1[[#This Row],[Catalog_Purchases]]+Table1[[#This Row],[Web_Purchases]]+Table1[[#This Row],[Deal_Purchases]])</f>
        <v>32</v>
      </c>
      <c r="V591">
        <v>6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f>SUM(Table1[[#This Row],[Accepted_Campaign_2]]+Table1[[#This Row],[Accepted_Campaign_1]]+Table1[[#This Row],[Accepted_Campaign_5]]+Table1[[#This Row],[Accepted_Campaign_4]]+Table1[[#This Row],[Accepted_Campaign_3]])</f>
        <v>1</v>
      </c>
      <c r="AC591">
        <v>0</v>
      </c>
      <c r="AD591">
        <v>0</v>
      </c>
    </row>
    <row r="592" spans="1:30" x14ac:dyDescent="0.25">
      <c r="A592">
        <v>41166</v>
      </c>
      <c r="B592">
        <v>10629</v>
      </c>
      <c r="C592">
        <v>1973</v>
      </c>
      <c r="D592" t="s">
        <v>16</v>
      </c>
      <c r="E592" t="s">
        <v>15</v>
      </c>
      <c r="F592" t="s">
        <v>11</v>
      </c>
      <c r="G592">
        <v>53790.45</v>
      </c>
      <c r="H592">
        <v>1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f>SUM(Table1[[#This Row],[Gold Spending]]+Table1[[#This Row],[Sweet Spending]]+Table1[[#This Row],[Fish Spending]]+Table1[[#This Row],[Meat Spending]]+Table1[[#This Row],[Fruits Spending]]+Table1[[#This Row],[Wine Spending ]])</f>
        <v>109</v>
      </c>
      <c r="Q592">
        <v>3</v>
      </c>
      <c r="R592">
        <v>3</v>
      </c>
      <c r="S592">
        <v>0</v>
      </c>
      <c r="T592">
        <v>3</v>
      </c>
      <c r="U592">
        <f>SUM(Table1[[#This Row],[Store_Purchases]]+Table1[[#This Row],[Catalog_Purchases]]+Table1[[#This Row],[Web_Purchases]]+Table1[[#This Row],[Deal_Purchases]])</f>
        <v>9</v>
      </c>
      <c r="V592">
        <v>8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f>SUM(Table1[[#This Row],[Accepted_Campaign_2]]+Table1[[#This Row],[Accepted_Campaign_1]]+Table1[[#This Row],[Accepted_Campaign_5]]+Table1[[#This Row],[Accepted_Campaign_4]]+Table1[[#This Row],[Accepted_Campaign_3]])</f>
        <v>0</v>
      </c>
      <c r="AC592">
        <v>0</v>
      </c>
      <c r="AD592">
        <v>0</v>
      </c>
    </row>
    <row r="593" spans="1:30" x14ac:dyDescent="0.25">
      <c r="A593">
        <v>41143</v>
      </c>
      <c r="B593">
        <v>10395</v>
      </c>
      <c r="C593">
        <v>1986</v>
      </c>
      <c r="D593" t="s">
        <v>8</v>
      </c>
      <c r="E593" t="s">
        <v>21</v>
      </c>
      <c r="F593" t="s">
        <v>9</v>
      </c>
      <c r="G593">
        <v>8940</v>
      </c>
      <c r="H593">
        <v>1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f>SUM(Table1[[#This Row],[Gold Spending]]+Table1[[#This Row],[Sweet Spending]]+Table1[[#This Row],[Fish Spending]]+Table1[[#This Row],[Meat Spending]]+Table1[[#This Row],[Fruits Spending]]+Table1[[#This Row],[Wine Spending ]])</f>
        <v>101</v>
      </c>
      <c r="Q593">
        <v>3</v>
      </c>
      <c r="R593">
        <v>3</v>
      </c>
      <c r="S593">
        <v>1</v>
      </c>
      <c r="T593">
        <v>3</v>
      </c>
      <c r="U593">
        <f>SUM(Table1[[#This Row],[Store_Purchases]]+Table1[[#This Row],[Catalog_Purchases]]+Table1[[#This Row],[Web_Purchases]]+Table1[[#This Row],[Deal_Purchases]])</f>
        <v>10</v>
      </c>
      <c r="V593">
        <v>8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f>SUM(Table1[[#This Row],[Accepted_Campaign_2]]+Table1[[#This Row],[Accepted_Campaign_1]]+Table1[[#This Row],[Accepted_Campaign_5]]+Table1[[#This Row],[Accepted_Campaign_4]]+Table1[[#This Row],[Accepted_Campaign_3]])</f>
        <v>0</v>
      </c>
      <c r="AC593">
        <v>0</v>
      </c>
      <c r="AD593">
        <v>0</v>
      </c>
    </row>
    <row r="594" spans="1:30" x14ac:dyDescent="0.25">
      <c r="A594">
        <v>41781</v>
      </c>
      <c r="B594">
        <v>6961</v>
      </c>
      <c r="C594">
        <v>1974</v>
      </c>
      <c r="D594" t="s">
        <v>8</v>
      </c>
      <c r="E594" t="s">
        <v>6</v>
      </c>
      <c r="F594" t="s">
        <v>11</v>
      </c>
      <c r="G594">
        <v>26751</v>
      </c>
      <c r="H594">
        <v>2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f>SUM(Table1[[#This Row],[Gold Spending]]+Table1[[#This Row],[Sweet Spending]]+Table1[[#This Row],[Fish Spending]]+Table1[[#This Row],[Meat Spending]]+Table1[[#This Row],[Fruits Spending]]+Table1[[#This Row],[Wine Spending ]])</f>
        <v>11</v>
      </c>
      <c r="Q594">
        <v>1</v>
      </c>
      <c r="R594">
        <v>1</v>
      </c>
      <c r="S594">
        <v>0</v>
      </c>
      <c r="T594">
        <v>2</v>
      </c>
      <c r="U594">
        <f>SUM(Table1[[#This Row],[Store_Purchases]]+Table1[[#This Row],[Catalog_Purchases]]+Table1[[#This Row],[Web_Purchases]]+Table1[[#This Row],[Deal_Purchases]])</f>
        <v>4</v>
      </c>
      <c r="V594">
        <v>8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f>SUM(Table1[[#This Row],[Accepted_Campaign_2]]+Table1[[#This Row],[Accepted_Campaign_1]]+Table1[[#This Row],[Accepted_Campaign_5]]+Table1[[#This Row],[Accepted_Campaign_4]]+Table1[[#This Row],[Accepted_Campaign_3]])</f>
        <v>0</v>
      </c>
      <c r="AC594">
        <v>0</v>
      </c>
      <c r="AD594">
        <v>0</v>
      </c>
    </row>
    <row r="595" spans="1:30" x14ac:dyDescent="0.25">
      <c r="A595">
        <v>41710</v>
      </c>
      <c r="B595">
        <v>10196</v>
      </c>
      <c r="C595">
        <v>1978</v>
      </c>
      <c r="D595" t="s">
        <v>63</v>
      </c>
      <c r="E595" t="s">
        <v>6</v>
      </c>
      <c r="F595" t="s">
        <v>11</v>
      </c>
      <c r="G595">
        <v>71427</v>
      </c>
      <c r="H595">
        <v>2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f>SUM(Table1[[#This Row],[Gold Spending]]+Table1[[#This Row],[Sweet Spending]]+Table1[[#This Row],[Fish Spending]]+Table1[[#This Row],[Meat Spending]]+Table1[[#This Row],[Fruits Spending]]+Table1[[#This Row],[Wine Spending ]])</f>
        <v>614</v>
      </c>
      <c r="Q595">
        <v>2</v>
      </c>
      <c r="R595">
        <v>8</v>
      </c>
      <c r="S595">
        <v>2</v>
      </c>
      <c r="T595">
        <v>8</v>
      </c>
      <c r="U595">
        <f>SUM(Table1[[#This Row],[Store_Purchases]]+Table1[[#This Row],[Catalog_Purchases]]+Table1[[#This Row],[Web_Purchases]]+Table1[[#This Row],[Deal_Purchases]])</f>
        <v>20</v>
      </c>
      <c r="V595">
        <v>4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f>SUM(Table1[[#This Row],[Accepted_Campaign_2]]+Table1[[#This Row],[Accepted_Campaign_1]]+Table1[[#This Row],[Accepted_Campaign_5]]+Table1[[#This Row],[Accepted_Campaign_4]]+Table1[[#This Row],[Accepted_Campaign_3]])</f>
        <v>0</v>
      </c>
      <c r="AC595">
        <v>0</v>
      </c>
      <c r="AD595">
        <v>0</v>
      </c>
    </row>
    <row r="596" spans="1:30" x14ac:dyDescent="0.25">
      <c r="A596">
        <v>41680</v>
      </c>
      <c r="B596">
        <v>6182</v>
      </c>
      <c r="C596">
        <v>1984</v>
      </c>
      <c r="D596" t="s">
        <v>63</v>
      </c>
      <c r="E596" t="s">
        <v>6</v>
      </c>
      <c r="F596" t="s">
        <v>12</v>
      </c>
      <c r="G596">
        <v>26646</v>
      </c>
      <c r="H596">
        <v>1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f>SUM(Table1[[#This Row],[Gold Spending]]+Table1[[#This Row],[Sweet Spending]]+Table1[[#This Row],[Fish Spending]]+Table1[[#This Row],[Meat Spending]]+Table1[[#This Row],[Fruits Spending]]+Table1[[#This Row],[Wine Spending ]])</f>
        <v>53</v>
      </c>
      <c r="Q596">
        <v>2</v>
      </c>
      <c r="R596">
        <v>2</v>
      </c>
      <c r="S596">
        <v>0</v>
      </c>
      <c r="T596">
        <v>4</v>
      </c>
      <c r="U596">
        <f>SUM(Table1[[#This Row],[Store_Purchases]]+Table1[[#This Row],[Catalog_Purchases]]+Table1[[#This Row],[Web_Purchases]]+Table1[[#This Row],[Deal_Purchases]])</f>
        <v>8</v>
      </c>
      <c r="V596">
        <v>6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f>SUM(Table1[[#This Row],[Accepted_Campaign_2]]+Table1[[#This Row],[Accepted_Campaign_1]]+Table1[[#This Row],[Accepted_Campaign_5]]+Table1[[#This Row],[Accepted_Campaign_4]]+Table1[[#This Row],[Accepted_Campaign_3]])</f>
        <v>0</v>
      </c>
      <c r="AC596">
        <v>0</v>
      </c>
      <c r="AD596">
        <v>0</v>
      </c>
    </row>
    <row r="597" spans="1:30" x14ac:dyDescent="0.25">
      <c r="A597">
        <v>41669</v>
      </c>
      <c r="B597">
        <v>10432</v>
      </c>
      <c r="C597">
        <v>1974</v>
      </c>
      <c r="D597" t="s">
        <v>10</v>
      </c>
      <c r="E597" t="s">
        <v>6</v>
      </c>
      <c r="F597" t="s">
        <v>7</v>
      </c>
      <c r="G597">
        <v>19346</v>
      </c>
      <c r="H597">
        <v>1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597">
        <v>1</v>
      </c>
      <c r="R597">
        <v>1</v>
      </c>
      <c r="S597">
        <v>0</v>
      </c>
      <c r="T597">
        <v>3</v>
      </c>
      <c r="U597">
        <f>SUM(Table1[[#This Row],[Store_Purchases]]+Table1[[#This Row],[Catalog_Purchases]]+Table1[[#This Row],[Web_Purchases]]+Table1[[#This Row],[Deal_Purchases]])</f>
        <v>5</v>
      </c>
      <c r="V597">
        <v>8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f>SUM(Table1[[#This Row],[Accepted_Campaign_2]]+Table1[[#This Row],[Accepted_Campaign_1]]+Table1[[#This Row],[Accepted_Campaign_5]]+Table1[[#This Row],[Accepted_Campaign_4]]+Table1[[#This Row],[Accepted_Campaign_3]])</f>
        <v>0</v>
      </c>
      <c r="AC597">
        <v>0</v>
      </c>
      <c r="AD597">
        <v>0</v>
      </c>
    </row>
    <row r="598" spans="1:30" x14ac:dyDescent="0.25">
      <c r="A598">
        <v>41638</v>
      </c>
      <c r="B598">
        <v>1542</v>
      </c>
      <c r="C598">
        <v>1975</v>
      </c>
      <c r="D598" t="s">
        <v>63</v>
      </c>
      <c r="E598" t="s">
        <v>6</v>
      </c>
      <c r="F598" t="s">
        <v>9</v>
      </c>
      <c r="G598">
        <v>56243</v>
      </c>
      <c r="H598">
        <v>3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f>SUM(Table1[[#This Row],[Gold Spending]]+Table1[[#This Row],[Sweet Spending]]+Table1[[#This Row],[Fish Spending]]+Table1[[#This Row],[Meat Spending]]+Table1[[#This Row],[Fruits Spending]]+Table1[[#This Row],[Wine Spending ]])</f>
        <v>396</v>
      </c>
      <c r="Q598">
        <v>6</v>
      </c>
      <c r="R598">
        <v>4</v>
      </c>
      <c r="S598">
        <v>2</v>
      </c>
      <c r="T598">
        <v>8</v>
      </c>
      <c r="U598">
        <f>SUM(Table1[[#This Row],[Store_Purchases]]+Table1[[#This Row],[Catalog_Purchases]]+Table1[[#This Row],[Web_Purchases]]+Table1[[#This Row],[Deal_Purchases]])</f>
        <v>20</v>
      </c>
      <c r="V598">
        <v>5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f>SUM(Table1[[#This Row],[Accepted_Campaign_2]]+Table1[[#This Row],[Accepted_Campaign_1]]+Table1[[#This Row],[Accepted_Campaign_5]]+Table1[[#This Row],[Accepted_Campaign_4]]+Table1[[#This Row],[Accepted_Campaign_3]])</f>
        <v>0</v>
      </c>
      <c r="AC598">
        <v>0</v>
      </c>
      <c r="AD598">
        <v>0</v>
      </c>
    </row>
    <row r="599" spans="1:30" x14ac:dyDescent="0.25">
      <c r="A599">
        <v>41580</v>
      </c>
      <c r="B599">
        <v>4220</v>
      </c>
      <c r="C599">
        <v>1970</v>
      </c>
      <c r="D599" t="s">
        <v>10</v>
      </c>
      <c r="E599" t="s">
        <v>14</v>
      </c>
      <c r="F599" t="s">
        <v>11</v>
      </c>
      <c r="G599">
        <v>59892</v>
      </c>
      <c r="H599">
        <v>1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f>SUM(Table1[[#This Row],[Gold Spending]]+Table1[[#This Row],[Sweet Spending]]+Table1[[#This Row],[Fish Spending]]+Table1[[#This Row],[Meat Spending]]+Table1[[#This Row],[Fruits Spending]]+Table1[[#This Row],[Wine Spending ]])</f>
        <v>87</v>
      </c>
      <c r="Q599">
        <v>1</v>
      </c>
      <c r="R599">
        <v>2</v>
      </c>
      <c r="S599">
        <v>1</v>
      </c>
      <c r="T599">
        <v>3</v>
      </c>
      <c r="U599">
        <f>SUM(Table1[[#This Row],[Store_Purchases]]+Table1[[#This Row],[Catalog_Purchases]]+Table1[[#This Row],[Web_Purchases]]+Table1[[#This Row],[Deal_Purchases]])</f>
        <v>7</v>
      </c>
      <c r="V599">
        <v>3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f>SUM(Table1[[#This Row],[Accepted_Campaign_2]]+Table1[[#This Row],[Accepted_Campaign_1]]+Table1[[#This Row],[Accepted_Campaign_5]]+Table1[[#This Row],[Accepted_Campaign_4]]+Table1[[#This Row],[Accepted_Campaign_3]])</f>
        <v>0</v>
      </c>
      <c r="AC599">
        <v>0</v>
      </c>
      <c r="AD599">
        <v>0</v>
      </c>
    </row>
    <row r="600" spans="1:30" x14ac:dyDescent="0.25">
      <c r="A600">
        <v>41507</v>
      </c>
      <c r="B600">
        <v>4141</v>
      </c>
      <c r="C600">
        <v>1965</v>
      </c>
      <c r="D600" t="s">
        <v>63</v>
      </c>
      <c r="E600" t="s">
        <v>6</v>
      </c>
      <c r="F600" t="s">
        <v>12</v>
      </c>
      <c r="G600">
        <v>71613</v>
      </c>
      <c r="H600">
        <v>0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f>SUM(Table1[[#This Row],[Gold Spending]]+Table1[[#This Row],[Sweet Spending]]+Table1[[#This Row],[Fish Spending]]+Table1[[#This Row],[Meat Spending]]+Table1[[#This Row],[Fruits Spending]]+Table1[[#This Row],[Wine Spending ]])</f>
        <v>776</v>
      </c>
      <c r="Q600">
        <v>1</v>
      </c>
      <c r="R600">
        <v>8</v>
      </c>
      <c r="S600">
        <v>2</v>
      </c>
      <c r="T600">
        <v>10</v>
      </c>
      <c r="U600">
        <f>SUM(Table1[[#This Row],[Store_Purchases]]+Table1[[#This Row],[Catalog_Purchases]]+Table1[[#This Row],[Web_Purchases]]+Table1[[#This Row],[Deal_Purchases]])</f>
        <v>21</v>
      </c>
      <c r="V600">
        <v>4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f>SUM(Table1[[#This Row],[Accepted_Campaign_2]]+Table1[[#This Row],[Accepted_Campaign_1]]+Table1[[#This Row],[Accepted_Campaign_5]]+Table1[[#This Row],[Accepted_Campaign_4]]+Table1[[#This Row],[Accepted_Campaign_3]])</f>
        <v>0</v>
      </c>
      <c r="AC600">
        <v>0</v>
      </c>
      <c r="AD600">
        <v>0</v>
      </c>
    </row>
    <row r="601" spans="1:30" x14ac:dyDescent="0.25">
      <c r="A601">
        <v>41467</v>
      </c>
      <c r="B601">
        <v>1940</v>
      </c>
      <c r="C601">
        <v>1986</v>
      </c>
      <c r="D601" t="s">
        <v>13</v>
      </c>
      <c r="E601" t="s">
        <v>6</v>
      </c>
      <c r="F601" t="s">
        <v>11</v>
      </c>
      <c r="G601">
        <v>25252</v>
      </c>
      <c r="H601">
        <v>1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f>SUM(Table1[[#This Row],[Gold Spending]]+Table1[[#This Row],[Sweet Spending]]+Table1[[#This Row],[Fish Spending]]+Table1[[#This Row],[Meat Spending]]+Table1[[#This Row],[Fruits Spending]]+Table1[[#This Row],[Wine Spending ]])</f>
        <v>18</v>
      </c>
      <c r="Q601">
        <v>1</v>
      </c>
      <c r="R601">
        <v>1</v>
      </c>
      <c r="S601">
        <v>0</v>
      </c>
      <c r="T601">
        <v>2</v>
      </c>
      <c r="U601">
        <f>SUM(Table1[[#This Row],[Store_Purchases]]+Table1[[#This Row],[Catalog_Purchases]]+Table1[[#This Row],[Web_Purchases]]+Table1[[#This Row],[Deal_Purchases]])</f>
        <v>4</v>
      </c>
      <c r="V601">
        <v>8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f>SUM(Table1[[#This Row],[Accepted_Campaign_2]]+Table1[[#This Row],[Accepted_Campaign_1]]+Table1[[#This Row],[Accepted_Campaign_5]]+Table1[[#This Row],[Accepted_Campaign_4]]+Table1[[#This Row],[Accepted_Campaign_3]])</f>
        <v>0</v>
      </c>
      <c r="AC601">
        <v>0</v>
      </c>
      <c r="AD601">
        <v>0</v>
      </c>
    </row>
    <row r="602" spans="1:30" x14ac:dyDescent="0.25">
      <c r="A602">
        <v>41453</v>
      </c>
      <c r="B602">
        <v>1506</v>
      </c>
      <c r="C602">
        <v>1975</v>
      </c>
      <c r="D602" t="s">
        <v>8</v>
      </c>
      <c r="E602" t="s">
        <v>6</v>
      </c>
      <c r="F602" t="s">
        <v>9</v>
      </c>
      <c r="G602">
        <v>42160</v>
      </c>
      <c r="H602">
        <v>2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f>SUM(Table1[[#This Row],[Gold Spending]]+Table1[[#This Row],[Sweet Spending]]+Table1[[#This Row],[Fish Spending]]+Table1[[#This Row],[Meat Spending]]+Table1[[#This Row],[Fruits Spending]]+Table1[[#This Row],[Wine Spending ]])</f>
        <v>140</v>
      </c>
      <c r="Q602">
        <v>4</v>
      </c>
      <c r="R602">
        <v>2</v>
      </c>
      <c r="S602">
        <v>1</v>
      </c>
      <c r="T602">
        <v>4</v>
      </c>
      <c r="U602">
        <f>SUM(Table1[[#This Row],[Store_Purchases]]+Table1[[#This Row],[Catalog_Purchases]]+Table1[[#This Row],[Web_Purchases]]+Table1[[#This Row],[Deal_Purchases]])</f>
        <v>11</v>
      </c>
      <c r="V602">
        <v>6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f>SUM(Table1[[#This Row],[Accepted_Campaign_2]]+Table1[[#This Row],[Accepted_Campaign_1]]+Table1[[#This Row],[Accepted_Campaign_5]]+Table1[[#This Row],[Accepted_Campaign_4]]+Table1[[#This Row],[Accepted_Campaign_3]])</f>
        <v>0</v>
      </c>
      <c r="AC602">
        <v>1</v>
      </c>
      <c r="AD602">
        <v>0</v>
      </c>
    </row>
    <row r="603" spans="1:30" x14ac:dyDescent="0.25">
      <c r="A603">
        <v>41452</v>
      </c>
      <c r="B603">
        <v>6347</v>
      </c>
      <c r="C603">
        <v>1979</v>
      </c>
      <c r="D603" t="s">
        <v>8</v>
      </c>
      <c r="E603" t="s">
        <v>21</v>
      </c>
      <c r="F603" t="s">
        <v>9</v>
      </c>
      <c r="G603">
        <v>15862</v>
      </c>
      <c r="H603">
        <v>1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f>SUM(Table1[[#This Row],[Gold Spending]]+Table1[[#This Row],[Sweet Spending]]+Table1[[#This Row],[Fish Spending]]+Table1[[#This Row],[Meat Spending]]+Table1[[#This Row],[Fruits Spending]]+Table1[[#This Row],[Wine Spending ]])</f>
        <v>36</v>
      </c>
      <c r="Q603">
        <v>1</v>
      </c>
      <c r="R603">
        <v>1</v>
      </c>
      <c r="S603">
        <v>0</v>
      </c>
      <c r="T603">
        <v>3</v>
      </c>
      <c r="U603">
        <f>SUM(Table1[[#This Row],[Store_Purchases]]+Table1[[#This Row],[Catalog_Purchases]]+Table1[[#This Row],[Web_Purchases]]+Table1[[#This Row],[Deal_Purchases]])</f>
        <v>5</v>
      </c>
      <c r="V603">
        <v>8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f>SUM(Table1[[#This Row],[Accepted_Campaign_2]]+Table1[[#This Row],[Accepted_Campaign_1]]+Table1[[#This Row],[Accepted_Campaign_5]]+Table1[[#This Row],[Accepted_Campaign_4]]+Table1[[#This Row],[Accepted_Campaign_3]])</f>
        <v>0</v>
      </c>
      <c r="AC603">
        <v>0</v>
      </c>
      <c r="AD603">
        <v>0</v>
      </c>
    </row>
    <row r="604" spans="1:30" x14ac:dyDescent="0.25">
      <c r="A604">
        <v>41429</v>
      </c>
      <c r="B604">
        <v>1361</v>
      </c>
      <c r="C604">
        <v>1974</v>
      </c>
      <c r="D604" t="s">
        <v>8</v>
      </c>
      <c r="E604" t="s">
        <v>18</v>
      </c>
      <c r="F604" t="s">
        <v>11</v>
      </c>
      <c r="G604">
        <v>82584</v>
      </c>
      <c r="H604">
        <v>0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f>SUM(Table1[[#This Row],[Gold Spending]]+Table1[[#This Row],[Sweet Spending]]+Table1[[#This Row],[Fish Spending]]+Table1[[#This Row],[Meat Spending]]+Table1[[#This Row],[Fruits Spending]]+Table1[[#This Row],[Wine Spending ]])</f>
        <v>1435</v>
      </c>
      <c r="Q604">
        <v>1</v>
      </c>
      <c r="R604">
        <v>3</v>
      </c>
      <c r="S604">
        <v>4</v>
      </c>
      <c r="T604">
        <v>8</v>
      </c>
      <c r="U604">
        <f>SUM(Table1[[#This Row],[Store_Purchases]]+Table1[[#This Row],[Catalog_Purchases]]+Table1[[#This Row],[Web_Purchases]]+Table1[[#This Row],[Deal_Purchases]])</f>
        <v>16</v>
      </c>
      <c r="V604">
        <v>1</v>
      </c>
      <c r="W604">
        <v>0</v>
      </c>
      <c r="X604">
        <v>1</v>
      </c>
      <c r="Y604">
        <v>1</v>
      </c>
      <c r="Z604">
        <v>0</v>
      </c>
      <c r="AA604">
        <v>0</v>
      </c>
      <c r="AB604">
        <f>SUM(Table1[[#This Row],[Accepted_Campaign_2]]+Table1[[#This Row],[Accepted_Campaign_1]]+Table1[[#This Row],[Accepted_Campaign_5]]+Table1[[#This Row],[Accepted_Campaign_4]]+Table1[[#This Row],[Accepted_Campaign_3]])</f>
        <v>2</v>
      </c>
      <c r="AC604">
        <v>1</v>
      </c>
      <c r="AD604">
        <v>0</v>
      </c>
    </row>
    <row r="605" spans="1:30" x14ac:dyDescent="0.25">
      <c r="A605">
        <v>41425</v>
      </c>
      <c r="B605">
        <v>9422</v>
      </c>
      <c r="C605">
        <v>1989</v>
      </c>
      <c r="D605" t="s">
        <v>13</v>
      </c>
      <c r="E605" t="s">
        <v>6</v>
      </c>
      <c r="F605" t="s">
        <v>11</v>
      </c>
      <c r="G605">
        <v>38360</v>
      </c>
      <c r="H605">
        <v>1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f>SUM(Table1[[#This Row],[Gold Spending]]+Table1[[#This Row],[Sweet Spending]]+Table1[[#This Row],[Fish Spending]]+Table1[[#This Row],[Meat Spending]]+Table1[[#This Row],[Fruits Spending]]+Table1[[#This Row],[Wine Spending ]])</f>
        <v>131</v>
      </c>
      <c r="Q605">
        <v>2</v>
      </c>
      <c r="R605">
        <v>2</v>
      </c>
      <c r="S605">
        <v>1</v>
      </c>
      <c r="T605">
        <v>4</v>
      </c>
      <c r="U605">
        <f>SUM(Table1[[#This Row],[Store_Purchases]]+Table1[[#This Row],[Catalog_Purchases]]+Table1[[#This Row],[Web_Purchases]]+Table1[[#This Row],[Deal_Purchases]])</f>
        <v>9</v>
      </c>
      <c r="V605">
        <v>3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f>SUM(Table1[[#This Row],[Accepted_Campaign_2]]+Table1[[#This Row],[Accepted_Campaign_1]]+Table1[[#This Row],[Accepted_Campaign_5]]+Table1[[#This Row],[Accepted_Campaign_4]]+Table1[[#This Row],[Accepted_Campaign_3]])</f>
        <v>0</v>
      </c>
      <c r="AC605">
        <v>0</v>
      </c>
      <c r="AD605">
        <v>0</v>
      </c>
    </row>
    <row r="606" spans="1:30" x14ac:dyDescent="0.25">
      <c r="A606">
        <v>41360</v>
      </c>
      <c r="B606">
        <v>1081</v>
      </c>
      <c r="C606">
        <v>1957</v>
      </c>
      <c r="D606" t="s">
        <v>20</v>
      </c>
      <c r="E606" t="s">
        <v>14</v>
      </c>
      <c r="F606" t="s">
        <v>11</v>
      </c>
      <c r="G606">
        <v>75283</v>
      </c>
      <c r="H606">
        <v>3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f>SUM(Table1[[#This Row],[Gold Spending]]+Table1[[#This Row],[Sweet Spending]]+Table1[[#This Row],[Fish Spending]]+Table1[[#This Row],[Meat Spending]]+Table1[[#This Row],[Fruits Spending]]+Table1[[#This Row],[Wine Spending ]])</f>
        <v>1019</v>
      </c>
      <c r="Q606">
        <v>11</v>
      </c>
      <c r="R606">
        <v>6</v>
      </c>
      <c r="S606">
        <v>3</v>
      </c>
      <c r="T606">
        <v>5</v>
      </c>
      <c r="U606">
        <f>SUM(Table1[[#This Row],[Store_Purchases]]+Table1[[#This Row],[Catalog_Purchases]]+Table1[[#This Row],[Web_Purchases]]+Table1[[#This Row],[Deal_Purchases]])</f>
        <v>25</v>
      </c>
      <c r="V606">
        <v>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f>SUM(Table1[[#This Row],[Accepted_Campaign_2]]+Table1[[#This Row],[Accepted_Campaign_1]]+Table1[[#This Row],[Accepted_Campaign_5]]+Table1[[#This Row],[Accepted_Campaign_4]]+Table1[[#This Row],[Accepted_Campaign_3]])</f>
        <v>0</v>
      </c>
      <c r="AC606">
        <v>0</v>
      </c>
      <c r="AD606">
        <v>0</v>
      </c>
    </row>
    <row r="607" spans="1:30" x14ac:dyDescent="0.25">
      <c r="A607">
        <v>41339</v>
      </c>
      <c r="B607">
        <v>7458</v>
      </c>
      <c r="C607">
        <v>1956</v>
      </c>
      <c r="D607" t="s">
        <v>13</v>
      </c>
      <c r="E607" t="s">
        <v>18</v>
      </c>
      <c r="F607" t="s">
        <v>12</v>
      </c>
      <c r="G607">
        <v>34941</v>
      </c>
      <c r="H607">
        <v>2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f>SUM(Table1[[#This Row],[Gold Spending]]+Table1[[#This Row],[Sweet Spending]]+Table1[[#This Row],[Fish Spending]]+Table1[[#This Row],[Meat Spending]]+Table1[[#This Row],[Fruits Spending]]+Table1[[#This Row],[Wine Spending ]])</f>
        <v>97</v>
      </c>
      <c r="Q607">
        <v>2</v>
      </c>
      <c r="R607">
        <v>3</v>
      </c>
      <c r="S607">
        <v>0</v>
      </c>
      <c r="T607">
        <v>3</v>
      </c>
      <c r="U607">
        <f>SUM(Table1[[#This Row],[Store_Purchases]]+Table1[[#This Row],[Catalog_Purchases]]+Table1[[#This Row],[Web_Purchases]]+Table1[[#This Row],[Deal_Purchases]])</f>
        <v>8</v>
      </c>
      <c r="V607">
        <v>8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f>SUM(Table1[[#This Row],[Accepted_Campaign_2]]+Table1[[#This Row],[Accepted_Campaign_1]]+Table1[[#This Row],[Accepted_Campaign_5]]+Table1[[#This Row],[Accepted_Campaign_4]]+Table1[[#This Row],[Accepted_Campaign_3]])</f>
        <v>0</v>
      </c>
      <c r="AC607">
        <v>0</v>
      </c>
      <c r="AD607">
        <v>0</v>
      </c>
    </row>
    <row r="608" spans="1:30" x14ac:dyDescent="0.25">
      <c r="A608">
        <v>41323</v>
      </c>
      <c r="B608">
        <v>1012</v>
      </c>
      <c r="C608">
        <v>1952</v>
      </c>
      <c r="D608" t="s">
        <v>13</v>
      </c>
      <c r="E608" t="s">
        <v>6</v>
      </c>
      <c r="F608" t="s">
        <v>9</v>
      </c>
      <c r="G608">
        <v>61823</v>
      </c>
      <c r="H608">
        <v>1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f>SUM(Table1[[#This Row],[Gold Spending]]+Table1[[#This Row],[Sweet Spending]]+Table1[[#This Row],[Fish Spending]]+Table1[[#This Row],[Meat Spending]]+Table1[[#This Row],[Fruits Spending]]+Table1[[#This Row],[Wine Spending ]])</f>
        <v>884</v>
      </c>
      <c r="Q608">
        <v>4</v>
      </c>
      <c r="R608">
        <v>8</v>
      </c>
      <c r="S608">
        <v>2</v>
      </c>
      <c r="T608">
        <v>10</v>
      </c>
      <c r="U608">
        <f>SUM(Table1[[#This Row],[Store_Purchases]]+Table1[[#This Row],[Catalog_Purchases]]+Table1[[#This Row],[Web_Purchases]]+Table1[[#This Row],[Deal_Purchases]])</f>
        <v>24</v>
      </c>
      <c r="V608">
        <v>7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f>SUM(Table1[[#This Row],[Accepted_Campaign_2]]+Table1[[#This Row],[Accepted_Campaign_1]]+Table1[[#This Row],[Accepted_Campaign_5]]+Table1[[#This Row],[Accepted_Campaign_4]]+Table1[[#This Row],[Accepted_Campaign_3]])</f>
        <v>0</v>
      </c>
      <c r="AC608">
        <v>0</v>
      </c>
      <c r="AD608">
        <v>0</v>
      </c>
    </row>
    <row r="609" spans="1:30" x14ac:dyDescent="0.25">
      <c r="A609">
        <v>41178</v>
      </c>
      <c r="B609">
        <v>5453</v>
      </c>
      <c r="C609">
        <v>1956</v>
      </c>
      <c r="D609" t="s">
        <v>20</v>
      </c>
      <c r="E609" t="s">
        <v>18</v>
      </c>
      <c r="F609" t="s">
        <v>11</v>
      </c>
      <c r="G609">
        <v>90226</v>
      </c>
      <c r="H609">
        <v>0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f>SUM(Table1[[#This Row],[Gold Spending]]+Table1[[#This Row],[Sweet Spending]]+Table1[[#This Row],[Fish Spending]]+Table1[[#This Row],[Meat Spending]]+Table1[[#This Row],[Fruits Spending]]+Table1[[#This Row],[Wine Spending ]])</f>
        <v>2352</v>
      </c>
      <c r="Q609">
        <v>1</v>
      </c>
      <c r="R609">
        <v>4</v>
      </c>
      <c r="S609">
        <v>7</v>
      </c>
      <c r="T609">
        <v>12</v>
      </c>
      <c r="U609">
        <f>SUM(Table1[[#This Row],[Store_Purchases]]+Table1[[#This Row],[Catalog_Purchases]]+Table1[[#This Row],[Web_Purchases]]+Table1[[#This Row],[Deal_Purchases]])</f>
        <v>24</v>
      </c>
      <c r="V609">
        <v>2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f>SUM(Table1[[#This Row],[Accepted_Campaign_2]]+Table1[[#This Row],[Accepted_Campaign_1]]+Table1[[#This Row],[Accepted_Campaign_5]]+Table1[[#This Row],[Accepted_Campaign_4]]+Table1[[#This Row],[Accepted_Campaign_3]])</f>
        <v>1</v>
      </c>
      <c r="AC609">
        <v>0</v>
      </c>
      <c r="AD609">
        <v>0</v>
      </c>
    </row>
    <row r="610" spans="1:30" x14ac:dyDescent="0.25">
      <c r="A610">
        <v>41164</v>
      </c>
      <c r="B610">
        <v>6818</v>
      </c>
      <c r="C610">
        <v>1974</v>
      </c>
      <c r="D610" t="s">
        <v>8</v>
      </c>
      <c r="E610" t="s">
        <v>6</v>
      </c>
      <c r="F610" t="s">
        <v>11</v>
      </c>
      <c r="G610">
        <v>44989</v>
      </c>
      <c r="H610">
        <v>1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f>SUM(Table1[[#This Row],[Gold Spending]]+Table1[[#This Row],[Sweet Spending]]+Table1[[#This Row],[Fish Spending]]+Table1[[#This Row],[Meat Spending]]+Table1[[#This Row],[Fruits Spending]]+Table1[[#This Row],[Wine Spending ]])</f>
        <v>369</v>
      </c>
      <c r="Q610">
        <v>5</v>
      </c>
      <c r="R610">
        <v>5</v>
      </c>
      <c r="S610">
        <v>1</v>
      </c>
      <c r="T610">
        <v>5</v>
      </c>
      <c r="U610">
        <f>SUM(Table1[[#This Row],[Store_Purchases]]+Table1[[#This Row],[Catalog_Purchases]]+Table1[[#This Row],[Web_Purchases]]+Table1[[#This Row],[Deal_Purchases]])</f>
        <v>16</v>
      </c>
      <c r="V610">
        <v>6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f>SUM(Table1[[#This Row],[Accepted_Campaign_2]]+Table1[[#This Row],[Accepted_Campaign_1]]+Table1[[#This Row],[Accepted_Campaign_5]]+Table1[[#This Row],[Accepted_Campaign_4]]+Table1[[#This Row],[Accepted_Campaign_3]])</f>
        <v>0</v>
      </c>
      <c r="AC610">
        <v>0</v>
      </c>
      <c r="AD610">
        <v>0</v>
      </c>
    </row>
    <row r="611" spans="1:30" x14ac:dyDescent="0.25">
      <c r="A611">
        <v>41164</v>
      </c>
      <c r="B611">
        <v>7807</v>
      </c>
      <c r="C611">
        <v>1974</v>
      </c>
      <c r="D611" t="s">
        <v>8</v>
      </c>
      <c r="E611" t="s">
        <v>6</v>
      </c>
      <c r="F611" t="s">
        <v>11</v>
      </c>
      <c r="G611">
        <v>44989</v>
      </c>
      <c r="H611">
        <v>1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f>SUM(Table1[[#This Row],[Gold Spending]]+Table1[[#This Row],[Sweet Spending]]+Table1[[#This Row],[Fish Spending]]+Table1[[#This Row],[Meat Spending]]+Table1[[#This Row],[Fruits Spending]]+Table1[[#This Row],[Wine Spending ]])</f>
        <v>369</v>
      </c>
      <c r="Q611">
        <v>5</v>
      </c>
      <c r="R611">
        <v>5</v>
      </c>
      <c r="S611">
        <v>1</v>
      </c>
      <c r="T611">
        <v>5</v>
      </c>
      <c r="U611">
        <f>SUM(Table1[[#This Row],[Store_Purchases]]+Table1[[#This Row],[Catalog_Purchases]]+Table1[[#This Row],[Web_Purchases]]+Table1[[#This Row],[Deal_Purchases]])</f>
        <v>16</v>
      </c>
      <c r="V611">
        <v>6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f>SUM(Table1[[#This Row],[Accepted_Campaign_2]]+Table1[[#This Row],[Accepted_Campaign_1]]+Table1[[#This Row],[Accepted_Campaign_5]]+Table1[[#This Row],[Accepted_Campaign_4]]+Table1[[#This Row],[Accepted_Campaign_3]])</f>
        <v>0</v>
      </c>
      <c r="AC611">
        <v>0</v>
      </c>
      <c r="AD611">
        <v>0</v>
      </c>
    </row>
    <row r="612" spans="1:30" x14ac:dyDescent="0.25">
      <c r="A612">
        <v>41151</v>
      </c>
      <c r="B612">
        <v>7532</v>
      </c>
      <c r="C612">
        <v>1980</v>
      </c>
      <c r="D612" t="s">
        <v>16</v>
      </c>
      <c r="E612" t="s">
        <v>6</v>
      </c>
      <c r="F612" t="s">
        <v>11</v>
      </c>
      <c r="G612">
        <v>43586</v>
      </c>
      <c r="H612">
        <v>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f>SUM(Table1[[#This Row],[Gold Spending]]+Table1[[#This Row],[Sweet Spending]]+Table1[[#This Row],[Fish Spending]]+Table1[[#This Row],[Meat Spending]]+Table1[[#This Row],[Fruits Spending]]+Table1[[#This Row],[Wine Spending ]])</f>
        <v>132</v>
      </c>
      <c r="Q612">
        <v>3</v>
      </c>
      <c r="R612">
        <v>3</v>
      </c>
      <c r="S612">
        <v>0</v>
      </c>
      <c r="T612">
        <v>4</v>
      </c>
      <c r="U612">
        <f>SUM(Table1[[#This Row],[Store_Purchases]]+Table1[[#This Row],[Catalog_Purchases]]+Table1[[#This Row],[Web_Purchases]]+Table1[[#This Row],[Deal_Purchases]])</f>
        <v>10</v>
      </c>
      <c r="V612">
        <v>8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f>SUM(Table1[[#This Row],[Accepted_Campaign_2]]+Table1[[#This Row],[Accepted_Campaign_1]]+Table1[[#This Row],[Accepted_Campaign_5]]+Table1[[#This Row],[Accepted_Campaign_4]]+Table1[[#This Row],[Accepted_Campaign_3]])</f>
        <v>0</v>
      </c>
      <c r="AC612">
        <v>0</v>
      </c>
      <c r="AD612">
        <v>0</v>
      </c>
    </row>
    <row r="613" spans="1:30" x14ac:dyDescent="0.25">
      <c r="A613">
        <v>41140</v>
      </c>
      <c r="B613">
        <v>8346</v>
      </c>
      <c r="C613">
        <v>1974</v>
      </c>
      <c r="D613" t="s">
        <v>8</v>
      </c>
      <c r="E613" t="s">
        <v>6</v>
      </c>
      <c r="F613" t="s">
        <v>9</v>
      </c>
      <c r="G613">
        <v>32233</v>
      </c>
      <c r="H613">
        <v>1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f>SUM(Table1[[#This Row],[Gold Spending]]+Table1[[#This Row],[Sweet Spending]]+Table1[[#This Row],[Fish Spending]]+Table1[[#This Row],[Meat Spending]]+Table1[[#This Row],[Fruits Spending]]+Table1[[#This Row],[Wine Spending ]])</f>
        <v>296</v>
      </c>
      <c r="Q613">
        <v>2</v>
      </c>
      <c r="R613">
        <v>6</v>
      </c>
      <c r="S613">
        <v>2</v>
      </c>
      <c r="T613">
        <v>2</v>
      </c>
      <c r="U613">
        <f>SUM(Table1[[#This Row],[Store_Purchases]]+Table1[[#This Row],[Catalog_Purchases]]+Table1[[#This Row],[Web_Purchases]]+Table1[[#This Row],[Deal_Purchases]])</f>
        <v>12</v>
      </c>
      <c r="V613">
        <v>9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f>SUM(Table1[[#This Row],[Accepted_Campaign_2]]+Table1[[#This Row],[Accepted_Campaign_1]]+Table1[[#This Row],[Accepted_Campaign_5]]+Table1[[#This Row],[Accepted_Campaign_4]]+Table1[[#This Row],[Accepted_Campaign_3]])</f>
        <v>1</v>
      </c>
      <c r="AC613">
        <v>1</v>
      </c>
      <c r="AD613">
        <v>0</v>
      </c>
    </row>
    <row r="614" spans="1:30" x14ac:dyDescent="0.25">
      <c r="A614">
        <v>41130</v>
      </c>
      <c r="B614">
        <v>5564</v>
      </c>
      <c r="C614">
        <v>1969</v>
      </c>
      <c r="D614" t="s">
        <v>13</v>
      </c>
      <c r="E614" t="s">
        <v>6</v>
      </c>
      <c r="F614" t="s">
        <v>12</v>
      </c>
      <c r="G614">
        <v>62882</v>
      </c>
      <c r="H614">
        <v>1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f>SUM(Table1[[#This Row],[Gold Spending]]+Table1[[#This Row],[Sweet Spending]]+Table1[[#This Row],[Fish Spending]]+Table1[[#This Row],[Meat Spending]]+Table1[[#This Row],[Fruits Spending]]+Table1[[#This Row],[Wine Spending ]])</f>
        <v>1338</v>
      </c>
      <c r="Q614">
        <v>2</v>
      </c>
      <c r="R614">
        <v>7</v>
      </c>
      <c r="S614">
        <v>5</v>
      </c>
      <c r="T614">
        <v>6</v>
      </c>
      <c r="U614">
        <f>SUM(Table1[[#This Row],[Store_Purchases]]+Table1[[#This Row],[Catalog_Purchases]]+Table1[[#This Row],[Web_Purchases]]+Table1[[#This Row],[Deal_Purchases]])</f>
        <v>20</v>
      </c>
      <c r="V614">
        <v>4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f>SUM(Table1[[#This Row],[Accepted_Campaign_2]]+Table1[[#This Row],[Accepted_Campaign_1]]+Table1[[#This Row],[Accepted_Campaign_5]]+Table1[[#This Row],[Accepted_Campaign_4]]+Table1[[#This Row],[Accepted_Campaign_3]])</f>
        <v>0</v>
      </c>
      <c r="AC614">
        <v>0</v>
      </c>
      <c r="AD614">
        <v>0</v>
      </c>
    </row>
    <row r="615" spans="1:30" x14ac:dyDescent="0.25">
      <c r="A615">
        <v>41815</v>
      </c>
      <c r="B615">
        <v>3267</v>
      </c>
      <c r="C615">
        <v>1963</v>
      </c>
      <c r="D615" t="s">
        <v>10</v>
      </c>
      <c r="E615" t="s">
        <v>18</v>
      </c>
      <c r="F615" t="s">
        <v>12</v>
      </c>
      <c r="G615">
        <v>57288</v>
      </c>
      <c r="H615">
        <v>1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f>SUM(Table1[[#This Row],[Gold Spending]]+Table1[[#This Row],[Sweet Spending]]+Table1[[#This Row],[Fish Spending]]+Table1[[#This Row],[Meat Spending]]+Table1[[#This Row],[Fruits Spending]]+Table1[[#This Row],[Wine Spending ]])</f>
        <v>608</v>
      </c>
      <c r="Q615">
        <v>3</v>
      </c>
      <c r="R615">
        <v>8</v>
      </c>
      <c r="S615">
        <v>1</v>
      </c>
      <c r="T615">
        <v>8</v>
      </c>
      <c r="U615">
        <f>SUM(Table1[[#This Row],[Store_Purchases]]+Table1[[#This Row],[Catalog_Purchases]]+Table1[[#This Row],[Web_Purchases]]+Table1[[#This Row],[Deal_Purchases]])</f>
        <v>20</v>
      </c>
      <c r="V615">
        <v>6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f>SUM(Table1[[#This Row],[Accepted_Campaign_2]]+Table1[[#This Row],[Accepted_Campaign_1]]+Table1[[#This Row],[Accepted_Campaign_5]]+Table1[[#This Row],[Accepted_Campaign_4]]+Table1[[#This Row],[Accepted_Campaign_3]])</f>
        <v>1</v>
      </c>
      <c r="AC615">
        <v>0</v>
      </c>
      <c r="AD615">
        <v>0</v>
      </c>
    </row>
    <row r="616" spans="1:30" x14ac:dyDescent="0.25">
      <c r="A616">
        <v>41761</v>
      </c>
      <c r="B616">
        <v>3091</v>
      </c>
      <c r="C616">
        <v>1981</v>
      </c>
      <c r="D616" t="s">
        <v>20</v>
      </c>
      <c r="E616" t="s">
        <v>15</v>
      </c>
      <c r="F616" t="s">
        <v>12</v>
      </c>
      <c r="G616">
        <v>75774</v>
      </c>
      <c r="H616">
        <v>1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f>SUM(Table1[[#This Row],[Gold Spending]]+Table1[[#This Row],[Sweet Spending]]+Table1[[#This Row],[Fish Spending]]+Table1[[#This Row],[Meat Spending]]+Table1[[#This Row],[Fruits Spending]]+Table1[[#This Row],[Wine Spending ]])</f>
        <v>823</v>
      </c>
      <c r="Q616">
        <v>1</v>
      </c>
      <c r="R616">
        <v>7</v>
      </c>
      <c r="S616">
        <v>5</v>
      </c>
      <c r="T616">
        <v>8</v>
      </c>
      <c r="U616">
        <f>SUM(Table1[[#This Row],[Store_Purchases]]+Table1[[#This Row],[Catalog_Purchases]]+Table1[[#This Row],[Web_Purchases]]+Table1[[#This Row],[Deal_Purchases]])</f>
        <v>21</v>
      </c>
      <c r="V616">
        <v>4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f>SUM(Table1[[#This Row],[Accepted_Campaign_2]]+Table1[[#This Row],[Accepted_Campaign_1]]+Table1[[#This Row],[Accepted_Campaign_5]]+Table1[[#This Row],[Accepted_Campaign_4]]+Table1[[#This Row],[Accepted_Campaign_3]])</f>
        <v>0</v>
      </c>
      <c r="AC616">
        <v>0</v>
      </c>
      <c r="AD616">
        <v>0</v>
      </c>
    </row>
    <row r="617" spans="1:30" x14ac:dyDescent="0.25">
      <c r="A617">
        <v>41761</v>
      </c>
      <c r="B617">
        <v>762</v>
      </c>
      <c r="C617">
        <v>1981</v>
      </c>
      <c r="D617" t="s">
        <v>8</v>
      </c>
      <c r="E617" t="s">
        <v>15</v>
      </c>
      <c r="F617" t="s">
        <v>12</v>
      </c>
      <c r="G617">
        <v>75774</v>
      </c>
      <c r="H617">
        <v>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f>SUM(Table1[[#This Row],[Gold Spending]]+Table1[[#This Row],[Sweet Spending]]+Table1[[#This Row],[Fish Spending]]+Table1[[#This Row],[Meat Spending]]+Table1[[#This Row],[Fruits Spending]]+Table1[[#This Row],[Wine Spending ]])</f>
        <v>823</v>
      </c>
      <c r="Q617">
        <v>1</v>
      </c>
      <c r="R617">
        <v>7</v>
      </c>
      <c r="S617">
        <v>5</v>
      </c>
      <c r="T617">
        <v>8</v>
      </c>
      <c r="U617">
        <f>SUM(Table1[[#This Row],[Store_Purchases]]+Table1[[#This Row],[Catalog_Purchases]]+Table1[[#This Row],[Web_Purchases]]+Table1[[#This Row],[Deal_Purchases]])</f>
        <v>21</v>
      </c>
      <c r="V617">
        <v>4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f>SUM(Table1[[#This Row],[Accepted_Campaign_2]]+Table1[[#This Row],[Accepted_Campaign_1]]+Table1[[#This Row],[Accepted_Campaign_5]]+Table1[[#This Row],[Accepted_Campaign_4]]+Table1[[#This Row],[Accepted_Campaign_3]])</f>
        <v>0</v>
      </c>
      <c r="AC617">
        <v>0</v>
      </c>
      <c r="AD617">
        <v>0</v>
      </c>
    </row>
    <row r="618" spans="1:30" x14ac:dyDescent="0.25">
      <c r="A618">
        <v>41758</v>
      </c>
      <c r="B618">
        <v>8029</v>
      </c>
      <c r="C618">
        <v>1988</v>
      </c>
      <c r="D618" t="s">
        <v>63</v>
      </c>
      <c r="E618" t="s">
        <v>18</v>
      </c>
      <c r="F618" t="s">
        <v>9</v>
      </c>
      <c r="G618">
        <v>90247</v>
      </c>
      <c r="H618">
        <v>0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f>SUM(Table1[[#This Row],[Gold Spending]]+Table1[[#This Row],[Sweet Spending]]+Table1[[#This Row],[Fish Spending]]+Table1[[#This Row],[Meat Spending]]+Table1[[#This Row],[Fruits Spending]]+Table1[[#This Row],[Wine Spending ]])</f>
        <v>1621</v>
      </c>
      <c r="Q618">
        <v>1</v>
      </c>
      <c r="R618">
        <v>3</v>
      </c>
      <c r="S618">
        <v>4</v>
      </c>
      <c r="T618">
        <v>7</v>
      </c>
      <c r="U618">
        <f>SUM(Table1[[#This Row],[Store_Purchases]]+Table1[[#This Row],[Catalog_Purchases]]+Table1[[#This Row],[Web_Purchases]]+Table1[[#This Row],[Deal_Purchases]])</f>
        <v>15</v>
      </c>
      <c r="V618">
        <v>1</v>
      </c>
      <c r="W618">
        <v>0</v>
      </c>
      <c r="X618">
        <v>1</v>
      </c>
      <c r="Y618">
        <v>1</v>
      </c>
      <c r="Z618">
        <v>1</v>
      </c>
      <c r="AA618">
        <v>0</v>
      </c>
      <c r="AB618">
        <f>SUM(Table1[[#This Row],[Accepted_Campaign_2]]+Table1[[#This Row],[Accepted_Campaign_1]]+Table1[[#This Row],[Accepted_Campaign_5]]+Table1[[#This Row],[Accepted_Campaign_4]]+Table1[[#This Row],[Accepted_Campaign_3]])</f>
        <v>3</v>
      </c>
      <c r="AC618">
        <v>1</v>
      </c>
      <c r="AD618">
        <v>0</v>
      </c>
    </row>
    <row r="619" spans="1:30" x14ac:dyDescent="0.25">
      <c r="A619">
        <v>41685</v>
      </c>
      <c r="B619">
        <v>4376</v>
      </c>
      <c r="C619">
        <v>1960</v>
      </c>
      <c r="D619" t="s">
        <v>8</v>
      </c>
      <c r="E619" t="s">
        <v>15</v>
      </c>
      <c r="F619" t="s">
        <v>9</v>
      </c>
      <c r="G619">
        <v>32218</v>
      </c>
      <c r="H619">
        <v>0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f>SUM(Table1[[#This Row],[Gold Spending]]+Table1[[#This Row],[Sweet Spending]]+Table1[[#This Row],[Fish Spending]]+Table1[[#This Row],[Meat Spending]]+Table1[[#This Row],[Fruits Spending]]+Table1[[#This Row],[Wine Spending ]])</f>
        <v>93</v>
      </c>
      <c r="Q619">
        <v>1</v>
      </c>
      <c r="R619">
        <v>2</v>
      </c>
      <c r="S619">
        <v>1</v>
      </c>
      <c r="T619">
        <v>3</v>
      </c>
      <c r="U619">
        <f>SUM(Table1[[#This Row],[Store_Purchases]]+Table1[[#This Row],[Catalog_Purchases]]+Table1[[#This Row],[Web_Purchases]]+Table1[[#This Row],[Deal_Purchases]])</f>
        <v>7</v>
      </c>
      <c r="V619">
        <v>7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f>SUM(Table1[[#This Row],[Accepted_Campaign_2]]+Table1[[#This Row],[Accepted_Campaign_1]]+Table1[[#This Row],[Accepted_Campaign_5]]+Table1[[#This Row],[Accepted_Campaign_4]]+Table1[[#This Row],[Accepted_Campaign_3]])</f>
        <v>1</v>
      </c>
      <c r="AC619">
        <v>1</v>
      </c>
      <c r="AD619">
        <v>0</v>
      </c>
    </row>
    <row r="620" spans="1:30" x14ac:dyDescent="0.25">
      <c r="A620">
        <v>41672</v>
      </c>
      <c r="B620">
        <v>10981</v>
      </c>
      <c r="C620">
        <v>1988</v>
      </c>
      <c r="D620" t="s">
        <v>20</v>
      </c>
      <c r="E620" t="s">
        <v>6</v>
      </c>
      <c r="F620" t="s">
        <v>11</v>
      </c>
      <c r="G620">
        <v>84219</v>
      </c>
      <c r="H620">
        <v>0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f>SUM(Table1[[#This Row],[Gold Spending]]+Table1[[#This Row],[Sweet Spending]]+Table1[[#This Row],[Fish Spending]]+Table1[[#This Row],[Meat Spending]]+Table1[[#This Row],[Fruits Spending]]+Table1[[#This Row],[Wine Spending ]])</f>
        <v>1198</v>
      </c>
      <c r="Q620">
        <v>1</v>
      </c>
      <c r="R620">
        <v>3</v>
      </c>
      <c r="S620">
        <v>4</v>
      </c>
      <c r="T620">
        <v>10</v>
      </c>
      <c r="U620">
        <f>SUM(Table1[[#This Row],[Store_Purchases]]+Table1[[#This Row],[Catalog_Purchases]]+Table1[[#This Row],[Web_Purchases]]+Table1[[#This Row],[Deal_Purchases]])</f>
        <v>18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f>SUM(Table1[[#This Row],[Accepted_Campaign_2]]+Table1[[#This Row],[Accepted_Campaign_1]]+Table1[[#This Row],[Accepted_Campaign_5]]+Table1[[#This Row],[Accepted_Campaign_4]]+Table1[[#This Row],[Accepted_Campaign_3]])</f>
        <v>0</v>
      </c>
      <c r="AC620">
        <v>0</v>
      </c>
      <c r="AD620">
        <v>0</v>
      </c>
    </row>
    <row r="621" spans="1:30" x14ac:dyDescent="0.25">
      <c r="A621">
        <v>41672</v>
      </c>
      <c r="B621">
        <v>486</v>
      </c>
      <c r="C621">
        <v>1988</v>
      </c>
      <c r="D621" t="s">
        <v>10</v>
      </c>
      <c r="E621" t="s">
        <v>6</v>
      </c>
      <c r="F621" t="s">
        <v>11</v>
      </c>
      <c r="G621">
        <v>84219</v>
      </c>
      <c r="H621">
        <v>0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f>SUM(Table1[[#This Row],[Gold Spending]]+Table1[[#This Row],[Sweet Spending]]+Table1[[#This Row],[Fish Spending]]+Table1[[#This Row],[Meat Spending]]+Table1[[#This Row],[Fruits Spending]]+Table1[[#This Row],[Wine Spending ]])</f>
        <v>1198</v>
      </c>
      <c r="Q621">
        <v>1</v>
      </c>
      <c r="R621">
        <v>3</v>
      </c>
      <c r="S621">
        <v>4</v>
      </c>
      <c r="T621">
        <v>10</v>
      </c>
      <c r="U621">
        <f>SUM(Table1[[#This Row],[Store_Purchases]]+Table1[[#This Row],[Catalog_Purchases]]+Table1[[#This Row],[Web_Purchases]]+Table1[[#This Row],[Deal_Purchases]])</f>
        <v>18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f>SUM(Table1[[#This Row],[Accepted_Campaign_2]]+Table1[[#This Row],[Accepted_Campaign_1]]+Table1[[#This Row],[Accepted_Campaign_5]]+Table1[[#This Row],[Accepted_Campaign_4]]+Table1[[#This Row],[Accepted_Campaign_3]])</f>
        <v>0</v>
      </c>
      <c r="AC621">
        <v>0</v>
      </c>
      <c r="AD621">
        <v>0</v>
      </c>
    </row>
    <row r="622" spans="1:30" x14ac:dyDescent="0.25">
      <c r="A622">
        <v>41644</v>
      </c>
      <c r="B622">
        <v>1158</v>
      </c>
      <c r="C622">
        <v>1966</v>
      </c>
      <c r="D622" t="s">
        <v>8</v>
      </c>
      <c r="E622" t="s">
        <v>6</v>
      </c>
      <c r="F622" t="s">
        <v>7</v>
      </c>
      <c r="G622">
        <v>48877</v>
      </c>
      <c r="H622">
        <v>1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f>SUM(Table1[[#This Row],[Gold Spending]]+Table1[[#This Row],[Sweet Spending]]+Table1[[#This Row],[Fish Spending]]+Table1[[#This Row],[Meat Spending]]+Table1[[#This Row],[Fruits Spending]]+Table1[[#This Row],[Wine Spending ]])</f>
        <v>144</v>
      </c>
      <c r="Q622">
        <v>1</v>
      </c>
      <c r="R622">
        <v>3</v>
      </c>
      <c r="S622">
        <v>0</v>
      </c>
      <c r="T622">
        <v>4</v>
      </c>
      <c r="U622">
        <f>SUM(Table1[[#This Row],[Store_Purchases]]+Table1[[#This Row],[Catalog_Purchases]]+Table1[[#This Row],[Web_Purchases]]+Table1[[#This Row],[Deal_Purchases]])</f>
        <v>8</v>
      </c>
      <c r="V622">
        <v>7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f>SUM(Table1[[#This Row],[Accepted_Campaign_2]]+Table1[[#This Row],[Accepted_Campaign_1]]+Table1[[#This Row],[Accepted_Campaign_5]]+Table1[[#This Row],[Accepted_Campaign_4]]+Table1[[#This Row],[Accepted_Campaign_3]])</f>
        <v>0</v>
      </c>
      <c r="AC622">
        <v>0</v>
      </c>
      <c r="AD622">
        <v>0</v>
      </c>
    </row>
    <row r="623" spans="1:30" x14ac:dyDescent="0.25">
      <c r="A623">
        <v>41613</v>
      </c>
      <c r="B623">
        <v>9119</v>
      </c>
      <c r="C623">
        <v>1950</v>
      </c>
      <c r="D623" t="s">
        <v>63</v>
      </c>
      <c r="E623" t="s">
        <v>6</v>
      </c>
      <c r="F623" t="s">
        <v>12</v>
      </c>
      <c r="G623">
        <v>60905</v>
      </c>
      <c r="H623">
        <v>1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f>SUM(Table1[[#This Row],[Gold Spending]]+Table1[[#This Row],[Sweet Spending]]+Table1[[#This Row],[Fish Spending]]+Table1[[#This Row],[Meat Spending]]+Table1[[#This Row],[Fruits Spending]]+Table1[[#This Row],[Wine Spending ]])</f>
        <v>392</v>
      </c>
      <c r="Q623">
        <v>2</v>
      </c>
      <c r="R623">
        <v>3</v>
      </c>
      <c r="S623">
        <v>3</v>
      </c>
      <c r="T623">
        <v>7</v>
      </c>
      <c r="U623">
        <f>SUM(Table1[[#This Row],[Store_Purchases]]+Table1[[#This Row],[Catalog_Purchases]]+Table1[[#This Row],[Web_Purchases]]+Table1[[#This Row],[Deal_Purchases]])</f>
        <v>15</v>
      </c>
      <c r="V623">
        <v>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f>SUM(Table1[[#This Row],[Accepted_Campaign_2]]+Table1[[#This Row],[Accepted_Campaign_1]]+Table1[[#This Row],[Accepted_Campaign_5]]+Table1[[#This Row],[Accepted_Campaign_4]]+Table1[[#This Row],[Accepted_Campaign_3]])</f>
        <v>0</v>
      </c>
      <c r="AC623">
        <v>0</v>
      </c>
      <c r="AD623">
        <v>0</v>
      </c>
    </row>
    <row r="624" spans="1:30" x14ac:dyDescent="0.25">
      <c r="A624">
        <v>41603</v>
      </c>
      <c r="B624">
        <v>6694</v>
      </c>
      <c r="C624">
        <v>1964</v>
      </c>
      <c r="D624" t="s">
        <v>8</v>
      </c>
      <c r="E624" t="s">
        <v>6</v>
      </c>
      <c r="F624" t="s">
        <v>11</v>
      </c>
      <c r="G624">
        <v>75236</v>
      </c>
      <c r="H624">
        <v>1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f>SUM(Table1[[#This Row],[Gold Spending]]+Table1[[#This Row],[Sweet Spending]]+Table1[[#This Row],[Fish Spending]]+Table1[[#This Row],[Meat Spending]]+Table1[[#This Row],[Fruits Spending]]+Table1[[#This Row],[Wine Spending ]])</f>
        <v>1068</v>
      </c>
      <c r="Q624">
        <v>1</v>
      </c>
      <c r="R624">
        <v>8</v>
      </c>
      <c r="S624">
        <v>3</v>
      </c>
      <c r="T624">
        <v>13</v>
      </c>
      <c r="U624">
        <f>SUM(Table1[[#This Row],[Store_Purchases]]+Table1[[#This Row],[Catalog_Purchases]]+Table1[[#This Row],[Web_Purchases]]+Table1[[#This Row],[Deal_Purchases]])</f>
        <v>25</v>
      </c>
      <c r="V624">
        <v>4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f>SUM(Table1[[#This Row],[Accepted_Campaign_2]]+Table1[[#This Row],[Accepted_Campaign_1]]+Table1[[#This Row],[Accepted_Campaign_5]]+Table1[[#This Row],[Accepted_Campaign_4]]+Table1[[#This Row],[Accepted_Campaign_3]])</f>
        <v>0</v>
      </c>
      <c r="AC624">
        <v>0</v>
      </c>
      <c r="AD624">
        <v>0</v>
      </c>
    </row>
    <row r="625" spans="1:30" x14ac:dyDescent="0.25">
      <c r="A625">
        <v>41596</v>
      </c>
      <c r="B625">
        <v>10573</v>
      </c>
      <c r="C625">
        <v>1953</v>
      </c>
      <c r="D625" t="s">
        <v>17</v>
      </c>
      <c r="E625" t="s">
        <v>6</v>
      </c>
      <c r="F625" t="s">
        <v>7</v>
      </c>
      <c r="G625">
        <v>62551</v>
      </c>
      <c r="H625">
        <v>0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f>SUM(Table1[[#This Row],[Gold Spending]]+Table1[[#This Row],[Sweet Spending]]+Table1[[#This Row],[Fish Spending]]+Table1[[#This Row],[Meat Spending]]+Table1[[#This Row],[Fruits Spending]]+Table1[[#This Row],[Wine Spending ]])</f>
        <v>421</v>
      </c>
      <c r="Q625">
        <v>1</v>
      </c>
      <c r="R625">
        <v>6</v>
      </c>
      <c r="S625">
        <v>7</v>
      </c>
      <c r="T625">
        <v>4</v>
      </c>
      <c r="U625">
        <f>SUM(Table1[[#This Row],[Store_Purchases]]+Table1[[#This Row],[Catalog_Purchases]]+Table1[[#This Row],[Web_Purchases]]+Table1[[#This Row],[Deal_Purchases]])</f>
        <v>18</v>
      </c>
      <c r="V625">
        <v>3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f>SUM(Table1[[#This Row],[Accepted_Campaign_2]]+Table1[[#This Row],[Accepted_Campaign_1]]+Table1[[#This Row],[Accepted_Campaign_5]]+Table1[[#This Row],[Accepted_Campaign_4]]+Table1[[#This Row],[Accepted_Campaign_3]])</f>
        <v>1</v>
      </c>
      <c r="AC625">
        <v>0</v>
      </c>
      <c r="AD625">
        <v>0</v>
      </c>
    </row>
    <row r="626" spans="1:30" x14ac:dyDescent="0.25">
      <c r="A626">
        <v>41545</v>
      </c>
      <c r="B626">
        <v>10140</v>
      </c>
      <c r="C626">
        <v>1983</v>
      </c>
      <c r="D626" t="s">
        <v>17</v>
      </c>
      <c r="E626" t="s">
        <v>14</v>
      </c>
      <c r="F626" t="s">
        <v>12</v>
      </c>
      <c r="G626">
        <v>70123</v>
      </c>
      <c r="H626">
        <v>0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f>SUM(Table1[[#This Row],[Gold Spending]]+Table1[[#This Row],[Sweet Spending]]+Table1[[#This Row],[Fish Spending]]+Table1[[#This Row],[Meat Spending]]+Table1[[#This Row],[Fruits Spending]]+Table1[[#This Row],[Wine Spending ]])</f>
        <v>1727</v>
      </c>
      <c r="Q626">
        <v>1</v>
      </c>
      <c r="R626">
        <v>5</v>
      </c>
      <c r="S626">
        <v>7</v>
      </c>
      <c r="T626">
        <v>4</v>
      </c>
      <c r="U626">
        <f>SUM(Table1[[#This Row],[Store_Purchases]]+Table1[[#This Row],[Catalog_Purchases]]+Table1[[#This Row],[Web_Purchases]]+Table1[[#This Row],[Deal_Purchases]])</f>
        <v>17</v>
      </c>
      <c r="V626">
        <v>3</v>
      </c>
      <c r="W626">
        <v>0</v>
      </c>
      <c r="X626">
        <v>1</v>
      </c>
      <c r="Y626">
        <v>0</v>
      </c>
      <c r="Z626">
        <v>0</v>
      </c>
      <c r="AA626">
        <v>1</v>
      </c>
      <c r="AB626">
        <f>SUM(Table1[[#This Row],[Accepted_Campaign_2]]+Table1[[#This Row],[Accepted_Campaign_1]]+Table1[[#This Row],[Accepted_Campaign_5]]+Table1[[#This Row],[Accepted_Campaign_4]]+Table1[[#This Row],[Accepted_Campaign_3]])</f>
        <v>2</v>
      </c>
      <c r="AC626">
        <v>0</v>
      </c>
      <c r="AD626">
        <v>0</v>
      </c>
    </row>
    <row r="627" spans="1:30" x14ac:dyDescent="0.25">
      <c r="A627">
        <v>41527</v>
      </c>
      <c r="B627">
        <v>2286</v>
      </c>
      <c r="C627">
        <v>1962</v>
      </c>
      <c r="D627" t="s">
        <v>10</v>
      </c>
      <c r="E627" t="s">
        <v>6</v>
      </c>
      <c r="F627" t="s">
        <v>9</v>
      </c>
      <c r="G627">
        <v>50785</v>
      </c>
      <c r="H627">
        <v>2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f>SUM(Table1[[#This Row],[Gold Spending]]+Table1[[#This Row],[Sweet Spending]]+Table1[[#This Row],[Fish Spending]]+Table1[[#This Row],[Meat Spending]]+Table1[[#This Row],[Fruits Spending]]+Table1[[#This Row],[Wine Spending ]])</f>
        <v>114</v>
      </c>
      <c r="Q627">
        <v>2</v>
      </c>
      <c r="R627">
        <v>2</v>
      </c>
      <c r="S627">
        <v>1</v>
      </c>
      <c r="T627">
        <v>3</v>
      </c>
      <c r="U627">
        <f>SUM(Table1[[#This Row],[Store_Purchases]]+Table1[[#This Row],[Catalog_Purchases]]+Table1[[#This Row],[Web_Purchases]]+Table1[[#This Row],[Deal_Purchases]])</f>
        <v>8</v>
      </c>
      <c r="V627">
        <v>6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f>SUM(Table1[[#This Row],[Accepted_Campaign_2]]+Table1[[#This Row],[Accepted_Campaign_1]]+Table1[[#This Row],[Accepted_Campaign_5]]+Table1[[#This Row],[Accepted_Campaign_4]]+Table1[[#This Row],[Accepted_Campaign_3]])</f>
        <v>0</v>
      </c>
      <c r="AC627">
        <v>0</v>
      </c>
      <c r="AD627">
        <v>0</v>
      </c>
    </row>
    <row r="628" spans="1:30" x14ac:dyDescent="0.25">
      <c r="A628">
        <v>41489</v>
      </c>
      <c r="B628">
        <v>8420</v>
      </c>
      <c r="C628">
        <v>1970</v>
      </c>
      <c r="D628" t="s">
        <v>8</v>
      </c>
      <c r="E628" t="s">
        <v>15</v>
      </c>
      <c r="F628" t="s">
        <v>11</v>
      </c>
      <c r="G628">
        <v>15315</v>
      </c>
      <c r="H628">
        <v>0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f>SUM(Table1[[#This Row],[Gold Spending]]+Table1[[#This Row],[Sweet Spending]]+Table1[[#This Row],[Fish Spending]]+Table1[[#This Row],[Meat Spending]]+Table1[[#This Row],[Fruits Spending]]+Table1[[#This Row],[Wine Spending ]])</f>
        <v>64</v>
      </c>
      <c r="Q628">
        <v>2</v>
      </c>
      <c r="R628">
        <v>2</v>
      </c>
      <c r="S628">
        <v>0</v>
      </c>
      <c r="T628">
        <v>4</v>
      </c>
      <c r="U628">
        <f>SUM(Table1[[#This Row],[Store_Purchases]]+Table1[[#This Row],[Catalog_Purchases]]+Table1[[#This Row],[Web_Purchases]]+Table1[[#This Row],[Deal_Purchases]])</f>
        <v>8</v>
      </c>
      <c r="V628">
        <v>5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f>SUM(Table1[[#This Row],[Accepted_Campaign_2]]+Table1[[#This Row],[Accepted_Campaign_1]]+Table1[[#This Row],[Accepted_Campaign_5]]+Table1[[#This Row],[Accepted_Campaign_4]]+Table1[[#This Row],[Accepted_Campaign_3]])</f>
        <v>0</v>
      </c>
      <c r="AC628">
        <v>0</v>
      </c>
      <c r="AD628">
        <v>0</v>
      </c>
    </row>
    <row r="629" spans="1:30" x14ac:dyDescent="0.25">
      <c r="A629">
        <v>41489</v>
      </c>
      <c r="B629">
        <v>10065</v>
      </c>
      <c r="C629">
        <v>1970</v>
      </c>
      <c r="D629" t="s">
        <v>8</v>
      </c>
      <c r="E629" t="s">
        <v>15</v>
      </c>
      <c r="F629" t="s">
        <v>11</v>
      </c>
      <c r="G629">
        <v>15315</v>
      </c>
      <c r="H629">
        <v>0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f>SUM(Table1[[#This Row],[Gold Spending]]+Table1[[#This Row],[Sweet Spending]]+Table1[[#This Row],[Fish Spending]]+Table1[[#This Row],[Meat Spending]]+Table1[[#This Row],[Fruits Spending]]+Table1[[#This Row],[Wine Spending ]])</f>
        <v>64</v>
      </c>
      <c r="Q629">
        <v>2</v>
      </c>
      <c r="R629">
        <v>2</v>
      </c>
      <c r="S629">
        <v>0</v>
      </c>
      <c r="T629">
        <v>4</v>
      </c>
      <c r="U629">
        <f>SUM(Table1[[#This Row],[Store_Purchases]]+Table1[[#This Row],[Catalog_Purchases]]+Table1[[#This Row],[Web_Purchases]]+Table1[[#This Row],[Deal_Purchases]])</f>
        <v>8</v>
      </c>
      <c r="V629">
        <v>5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f>SUM(Table1[[#This Row],[Accepted_Campaign_2]]+Table1[[#This Row],[Accepted_Campaign_1]]+Table1[[#This Row],[Accepted_Campaign_5]]+Table1[[#This Row],[Accepted_Campaign_4]]+Table1[[#This Row],[Accepted_Campaign_3]])</f>
        <v>0</v>
      </c>
      <c r="AC629">
        <v>0</v>
      </c>
      <c r="AD629">
        <v>0</v>
      </c>
    </row>
    <row r="630" spans="1:30" x14ac:dyDescent="0.25">
      <c r="A630">
        <v>41487</v>
      </c>
      <c r="B630">
        <v>1029</v>
      </c>
      <c r="C630">
        <v>1970</v>
      </c>
      <c r="D630" t="s">
        <v>8</v>
      </c>
      <c r="E630" t="s">
        <v>14</v>
      </c>
      <c r="F630" t="s">
        <v>12</v>
      </c>
      <c r="G630">
        <v>64413</v>
      </c>
      <c r="H630">
        <v>1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f>SUM(Table1[[#This Row],[Gold Spending]]+Table1[[#This Row],[Sweet Spending]]+Table1[[#This Row],[Fish Spending]]+Table1[[#This Row],[Meat Spending]]+Table1[[#This Row],[Fruits Spending]]+Table1[[#This Row],[Wine Spending ]])</f>
        <v>279</v>
      </c>
      <c r="Q630">
        <v>1</v>
      </c>
      <c r="R630">
        <v>5</v>
      </c>
      <c r="S630">
        <v>1</v>
      </c>
      <c r="T630">
        <v>5</v>
      </c>
      <c r="U630">
        <f>SUM(Table1[[#This Row],[Store_Purchases]]+Table1[[#This Row],[Catalog_Purchases]]+Table1[[#This Row],[Web_Purchases]]+Table1[[#This Row],[Deal_Purchases]])</f>
        <v>12</v>
      </c>
      <c r="V630">
        <v>5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f>SUM(Table1[[#This Row],[Accepted_Campaign_2]]+Table1[[#This Row],[Accepted_Campaign_1]]+Table1[[#This Row],[Accepted_Campaign_5]]+Table1[[#This Row],[Accepted_Campaign_4]]+Table1[[#This Row],[Accepted_Campaign_3]])</f>
        <v>0</v>
      </c>
      <c r="AC630">
        <v>0</v>
      </c>
      <c r="AD630">
        <v>0</v>
      </c>
    </row>
    <row r="631" spans="1:30" x14ac:dyDescent="0.25">
      <c r="A631">
        <v>41395</v>
      </c>
      <c r="B631">
        <v>4207</v>
      </c>
      <c r="C631">
        <v>1981</v>
      </c>
      <c r="D631" t="s">
        <v>8</v>
      </c>
      <c r="E631" t="s">
        <v>14</v>
      </c>
      <c r="F631" t="s">
        <v>11</v>
      </c>
      <c r="G631">
        <v>87171</v>
      </c>
      <c r="H631">
        <v>0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f>SUM(Table1[[#This Row],[Gold Spending]]+Table1[[#This Row],[Sweet Spending]]+Table1[[#This Row],[Fish Spending]]+Table1[[#This Row],[Meat Spending]]+Table1[[#This Row],[Fruits Spending]]+Table1[[#This Row],[Wine Spending ]])</f>
        <v>1298</v>
      </c>
      <c r="Q631">
        <v>1</v>
      </c>
      <c r="R631">
        <v>6</v>
      </c>
      <c r="S631">
        <v>7</v>
      </c>
      <c r="T631">
        <v>11</v>
      </c>
      <c r="U631">
        <f>SUM(Table1[[#This Row],[Store_Purchases]]+Table1[[#This Row],[Catalog_Purchases]]+Table1[[#This Row],[Web_Purchases]]+Table1[[#This Row],[Deal_Purchases]])</f>
        <v>25</v>
      </c>
      <c r="V631">
        <v>2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f>SUM(Table1[[#This Row],[Accepted_Campaign_2]]+Table1[[#This Row],[Accepted_Campaign_1]]+Table1[[#This Row],[Accepted_Campaign_5]]+Table1[[#This Row],[Accepted_Campaign_4]]+Table1[[#This Row],[Accepted_Campaign_3]])</f>
        <v>2</v>
      </c>
      <c r="AC631">
        <v>0</v>
      </c>
      <c r="AD631">
        <v>0</v>
      </c>
    </row>
    <row r="632" spans="1:30" x14ac:dyDescent="0.25">
      <c r="A632">
        <v>41326</v>
      </c>
      <c r="B632">
        <v>10277</v>
      </c>
      <c r="C632">
        <v>1961</v>
      </c>
      <c r="D632" t="s">
        <v>8</v>
      </c>
      <c r="E632" t="s">
        <v>6</v>
      </c>
      <c r="F632" t="s">
        <v>9</v>
      </c>
      <c r="G632">
        <v>30081</v>
      </c>
      <c r="H632">
        <v>1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f>SUM(Table1[[#This Row],[Gold Spending]]+Table1[[#This Row],[Sweet Spending]]+Table1[[#This Row],[Fish Spending]]+Table1[[#This Row],[Meat Spending]]+Table1[[#This Row],[Fruits Spending]]+Table1[[#This Row],[Wine Spending ]])</f>
        <v>42</v>
      </c>
      <c r="Q632">
        <v>1</v>
      </c>
      <c r="R632">
        <v>1</v>
      </c>
      <c r="S632">
        <v>0</v>
      </c>
      <c r="T632">
        <v>3</v>
      </c>
      <c r="U632">
        <f>SUM(Table1[[#This Row],[Store_Purchases]]+Table1[[#This Row],[Catalog_Purchases]]+Table1[[#This Row],[Web_Purchases]]+Table1[[#This Row],[Deal_Purchases]])</f>
        <v>5</v>
      </c>
      <c r="V632">
        <v>7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f>SUM(Table1[[#This Row],[Accepted_Campaign_2]]+Table1[[#This Row],[Accepted_Campaign_1]]+Table1[[#This Row],[Accepted_Campaign_5]]+Table1[[#This Row],[Accepted_Campaign_4]]+Table1[[#This Row],[Accepted_Campaign_3]])</f>
        <v>0</v>
      </c>
      <c r="AC632">
        <v>0</v>
      </c>
      <c r="AD632">
        <v>0</v>
      </c>
    </row>
    <row r="633" spans="1:30" x14ac:dyDescent="0.25">
      <c r="A633">
        <v>41325</v>
      </c>
      <c r="B633">
        <v>4436</v>
      </c>
      <c r="C633">
        <v>1976</v>
      </c>
      <c r="D633" t="s">
        <v>8</v>
      </c>
      <c r="E633" t="s">
        <v>6</v>
      </c>
      <c r="F633" t="s">
        <v>9</v>
      </c>
      <c r="G633">
        <v>20180</v>
      </c>
      <c r="H633">
        <v>0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f>SUM(Table1[[#This Row],[Gold Spending]]+Table1[[#This Row],[Sweet Spending]]+Table1[[#This Row],[Fish Spending]]+Table1[[#This Row],[Meat Spending]]+Table1[[#This Row],[Fruits Spending]]+Table1[[#This Row],[Wine Spending ]])</f>
        <v>137</v>
      </c>
      <c r="Q633">
        <v>1</v>
      </c>
      <c r="R633">
        <v>2</v>
      </c>
      <c r="S633">
        <v>1</v>
      </c>
      <c r="T633">
        <v>4</v>
      </c>
      <c r="U633">
        <f>SUM(Table1[[#This Row],[Store_Purchases]]+Table1[[#This Row],[Catalog_Purchases]]+Table1[[#This Row],[Web_Purchases]]+Table1[[#This Row],[Deal_Purchases]])</f>
        <v>8</v>
      </c>
      <c r="V633">
        <v>7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f>SUM(Table1[[#This Row],[Accepted_Campaign_2]]+Table1[[#This Row],[Accepted_Campaign_1]]+Table1[[#This Row],[Accepted_Campaign_5]]+Table1[[#This Row],[Accepted_Campaign_4]]+Table1[[#This Row],[Accepted_Campaign_3]])</f>
        <v>0</v>
      </c>
      <c r="AC633">
        <v>0</v>
      </c>
      <c r="AD633">
        <v>0</v>
      </c>
    </row>
    <row r="634" spans="1:30" x14ac:dyDescent="0.25">
      <c r="A634">
        <v>41325</v>
      </c>
      <c r="B634">
        <v>2929</v>
      </c>
      <c r="C634">
        <v>1976</v>
      </c>
      <c r="D634" t="s">
        <v>8</v>
      </c>
      <c r="E634" t="s">
        <v>6</v>
      </c>
      <c r="F634" t="s">
        <v>9</v>
      </c>
      <c r="G634">
        <v>20180</v>
      </c>
      <c r="H634">
        <v>0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f>SUM(Table1[[#This Row],[Gold Spending]]+Table1[[#This Row],[Sweet Spending]]+Table1[[#This Row],[Fish Spending]]+Table1[[#This Row],[Meat Spending]]+Table1[[#This Row],[Fruits Spending]]+Table1[[#This Row],[Wine Spending ]])</f>
        <v>137</v>
      </c>
      <c r="Q634">
        <v>1</v>
      </c>
      <c r="R634">
        <v>2</v>
      </c>
      <c r="S634">
        <v>1</v>
      </c>
      <c r="T634">
        <v>4</v>
      </c>
      <c r="U634">
        <f>SUM(Table1[[#This Row],[Store_Purchases]]+Table1[[#This Row],[Catalog_Purchases]]+Table1[[#This Row],[Web_Purchases]]+Table1[[#This Row],[Deal_Purchases]])</f>
        <v>8</v>
      </c>
      <c r="V634">
        <v>7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f>SUM(Table1[[#This Row],[Accepted_Campaign_2]]+Table1[[#This Row],[Accepted_Campaign_1]]+Table1[[#This Row],[Accepted_Campaign_5]]+Table1[[#This Row],[Accepted_Campaign_4]]+Table1[[#This Row],[Accepted_Campaign_3]])</f>
        <v>0</v>
      </c>
      <c r="AC634">
        <v>0</v>
      </c>
      <c r="AD634">
        <v>0</v>
      </c>
    </row>
    <row r="635" spans="1:30" x14ac:dyDescent="0.25">
      <c r="A635">
        <v>41319</v>
      </c>
      <c r="B635">
        <v>6281</v>
      </c>
      <c r="C635">
        <v>1966</v>
      </c>
      <c r="D635" t="s">
        <v>8</v>
      </c>
      <c r="E635" t="s">
        <v>6</v>
      </c>
      <c r="F635" t="s">
        <v>7</v>
      </c>
      <c r="G635">
        <v>55686</v>
      </c>
      <c r="H635">
        <v>1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f>SUM(Table1[[#This Row],[Gold Spending]]+Table1[[#This Row],[Sweet Spending]]+Table1[[#This Row],[Fish Spending]]+Table1[[#This Row],[Meat Spending]]+Table1[[#This Row],[Fruits Spending]]+Table1[[#This Row],[Wine Spending ]])</f>
        <v>982</v>
      </c>
      <c r="Q635">
        <v>2</v>
      </c>
      <c r="R635">
        <v>6</v>
      </c>
      <c r="S635">
        <v>3</v>
      </c>
      <c r="T635">
        <v>5</v>
      </c>
      <c r="U635">
        <f>SUM(Table1[[#This Row],[Store_Purchases]]+Table1[[#This Row],[Catalog_Purchases]]+Table1[[#This Row],[Web_Purchases]]+Table1[[#This Row],[Deal_Purchases]])</f>
        <v>16</v>
      </c>
      <c r="V635">
        <v>4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f>SUM(Table1[[#This Row],[Accepted_Campaign_2]]+Table1[[#This Row],[Accepted_Campaign_1]]+Table1[[#This Row],[Accepted_Campaign_5]]+Table1[[#This Row],[Accepted_Campaign_4]]+Table1[[#This Row],[Accepted_Campaign_3]])</f>
        <v>1</v>
      </c>
      <c r="AC635">
        <v>0</v>
      </c>
      <c r="AD635">
        <v>0</v>
      </c>
    </row>
    <row r="636" spans="1:30" x14ac:dyDescent="0.25">
      <c r="A636">
        <v>41315</v>
      </c>
      <c r="B636">
        <v>10390</v>
      </c>
      <c r="C636">
        <v>1959</v>
      </c>
      <c r="D636" t="s">
        <v>8</v>
      </c>
      <c r="E636" t="s">
        <v>15</v>
      </c>
      <c r="F636" t="s">
        <v>11</v>
      </c>
      <c r="G636">
        <v>26887</v>
      </c>
      <c r="H636">
        <v>1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f>SUM(Table1[[#This Row],[Gold Spending]]+Table1[[#This Row],[Sweet Spending]]+Table1[[#This Row],[Fish Spending]]+Table1[[#This Row],[Meat Spending]]+Table1[[#This Row],[Fruits Spending]]+Table1[[#This Row],[Wine Spending ]])</f>
        <v>30</v>
      </c>
      <c r="Q636">
        <v>1</v>
      </c>
      <c r="R636">
        <v>1</v>
      </c>
      <c r="S636">
        <v>0</v>
      </c>
      <c r="T636">
        <v>3</v>
      </c>
      <c r="U636">
        <f>SUM(Table1[[#This Row],[Store_Purchases]]+Table1[[#This Row],[Catalog_Purchases]]+Table1[[#This Row],[Web_Purchases]]+Table1[[#This Row],[Deal_Purchases]])</f>
        <v>5</v>
      </c>
      <c r="V636">
        <v>6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f>SUM(Table1[[#This Row],[Accepted_Campaign_2]]+Table1[[#This Row],[Accepted_Campaign_1]]+Table1[[#This Row],[Accepted_Campaign_5]]+Table1[[#This Row],[Accepted_Campaign_4]]+Table1[[#This Row],[Accepted_Campaign_3]])</f>
        <v>0</v>
      </c>
      <c r="AC636">
        <v>0</v>
      </c>
      <c r="AD636">
        <v>0</v>
      </c>
    </row>
    <row r="637" spans="1:30" x14ac:dyDescent="0.25">
      <c r="A637">
        <v>41305</v>
      </c>
      <c r="B637">
        <v>2574</v>
      </c>
      <c r="C637">
        <v>1977</v>
      </c>
      <c r="D637" t="s">
        <v>8</v>
      </c>
      <c r="E637" t="s">
        <v>14</v>
      </c>
      <c r="F637" t="s">
        <v>11</v>
      </c>
      <c r="G637">
        <v>61996</v>
      </c>
      <c r="H637">
        <v>1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f>SUM(Table1[[#This Row],[Gold Spending]]+Table1[[#This Row],[Sweet Spending]]+Table1[[#This Row],[Fish Spending]]+Table1[[#This Row],[Meat Spending]]+Table1[[#This Row],[Fruits Spending]]+Table1[[#This Row],[Wine Spending ]])</f>
        <v>1230</v>
      </c>
      <c r="Q637">
        <v>3</v>
      </c>
      <c r="R637">
        <v>6</v>
      </c>
      <c r="S637">
        <v>4</v>
      </c>
      <c r="T637">
        <v>8</v>
      </c>
      <c r="U637">
        <f>SUM(Table1[[#This Row],[Store_Purchases]]+Table1[[#This Row],[Catalog_Purchases]]+Table1[[#This Row],[Web_Purchases]]+Table1[[#This Row],[Deal_Purchases]])</f>
        <v>21</v>
      </c>
      <c r="V637">
        <v>5</v>
      </c>
      <c r="W637">
        <v>0</v>
      </c>
      <c r="X637">
        <v>1</v>
      </c>
      <c r="Y637">
        <v>0</v>
      </c>
      <c r="Z637">
        <v>1</v>
      </c>
      <c r="AA637">
        <v>1</v>
      </c>
      <c r="AB637">
        <f>SUM(Table1[[#This Row],[Accepted_Campaign_2]]+Table1[[#This Row],[Accepted_Campaign_1]]+Table1[[#This Row],[Accepted_Campaign_5]]+Table1[[#This Row],[Accepted_Campaign_4]]+Table1[[#This Row],[Accepted_Campaign_3]])</f>
        <v>3</v>
      </c>
      <c r="AC637">
        <v>1</v>
      </c>
      <c r="AD637">
        <v>0</v>
      </c>
    </row>
    <row r="638" spans="1:30" x14ac:dyDescent="0.25">
      <c r="A638">
        <v>41252</v>
      </c>
      <c r="B638">
        <v>709</v>
      </c>
      <c r="C638">
        <v>1952</v>
      </c>
      <c r="D638" t="s">
        <v>20</v>
      </c>
      <c r="E638" t="s">
        <v>6</v>
      </c>
      <c r="F638" t="s">
        <v>7</v>
      </c>
      <c r="G638">
        <v>51537</v>
      </c>
      <c r="H638">
        <v>1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f>SUM(Table1[[#This Row],[Gold Spending]]+Table1[[#This Row],[Sweet Spending]]+Table1[[#This Row],[Fish Spending]]+Table1[[#This Row],[Meat Spending]]+Table1[[#This Row],[Fruits Spending]]+Table1[[#This Row],[Wine Spending ]])</f>
        <v>1103</v>
      </c>
      <c r="Q638">
        <v>3</v>
      </c>
      <c r="R638">
        <v>2</v>
      </c>
      <c r="S638">
        <v>2</v>
      </c>
      <c r="T638">
        <v>11</v>
      </c>
      <c r="U638">
        <f>SUM(Table1[[#This Row],[Store_Purchases]]+Table1[[#This Row],[Catalog_Purchases]]+Table1[[#This Row],[Web_Purchases]]+Table1[[#This Row],[Deal_Purchases]])</f>
        <v>18</v>
      </c>
      <c r="V638">
        <v>8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f>SUM(Table1[[#This Row],[Accepted_Campaign_2]]+Table1[[#This Row],[Accepted_Campaign_1]]+Table1[[#This Row],[Accepted_Campaign_5]]+Table1[[#This Row],[Accepted_Campaign_4]]+Table1[[#This Row],[Accepted_Campaign_3]])</f>
        <v>0</v>
      </c>
      <c r="AC638">
        <v>0</v>
      </c>
      <c r="AD638">
        <v>0</v>
      </c>
    </row>
    <row r="639" spans="1:30" x14ac:dyDescent="0.25">
      <c r="A639">
        <v>41230</v>
      </c>
      <c r="B639">
        <v>5955</v>
      </c>
      <c r="C639">
        <v>1962</v>
      </c>
      <c r="D639" t="s">
        <v>8</v>
      </c>
      <c r="E639" t="s">
        <v>6</v>
      </c>
      <c r="F639" t="s">
        <v>12</v>
      </c>
      <c r="G639">
        <v>72025</v>
      </c>
      <c r="H639">
        <v>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f>SUM(Table1[[#This Row],[Gold Spending]]+Table1[[#This Row],[Sweet Spending]]+Table1[[#This Row],[Fish Spending]]+Table1[[#This Row],[Meat Spending]]+Table1[[#This Row],[Fruits Spending]]+Table1[[#This Row],[Wine Spending ]])</f>
        <v>1932</v>
      </c>
      <c r="Q639">
        <v>1</v>
      </c>
      <c r="R639">
        <v>4</v>
      </c>
      <c r="S639">
        <v>3</v>
      </c>
      <c r="T639">
        <v>8</v>
      </c>
      <c r="U639">
        <f>SUM(Table1[[#This Row],[Store_Purchases]]+Table1[[#This Row],[Catalog_Purchases]]+Table1[[#This Row],[Web_Purchases]]+Table1[[#This Row],[Deal_Purchases]])</f>
        <v>16</v>
      </c>
      <c r="V639">
        <v>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f>SUM(Table1[[#This Row],[Accepted_Campaign_2]]+Table1[[#This Row],[Accepted_Campaign_1]]+Table1[[#This Row],[Accepted_Campaign_5]]+Table1[[#This Row],[Accepted_Campaign_4]]+Table1[[#This Row],[Accepted_Campaign_3]])</f>
        <v>0</v>
      </c>
      <c r="AC639">
        <v>0</v>
      </c>
      <c r="AD639">
        <v>0</v>
      </c>
    </row>
    <row r="640" spans="1:30" x14ac:dyDescent="0.25">
      <c r="A640">
        <v>41183</v>
      </c>
      <c r="B640">
        <v>8486</v>
      </c>
      <c r="C640">
        <v>1971</v>
      </c>
      <c r="D640" t="s">
        <v>8</v>
      </c>
      <c r="E640" t="s">
        <v>18</v>
      </c>
      <c r="F640" t="s">
        <v>12</v>
      </c>
      <c r="G640">
        <v>30538</v>
      </c>
      <c r="H640">
        <v>1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f>SUM(Table1[[#This Row],[Gold Spending]]+Table1[[#This Row],[Sweet Spending]]+Table1[[#This Row],[Fish Spending]]+Table1[[#This Row],[Meat Spending]]+Table1[[#This Row],[Fruits Spending]]+Table1[[#This Row],[Wine Spending ]])</f>
        <v>367</v>
      </c>
      <c r="Q640">
        <v>4</v>
      </c>
      <c r="R640">
        <v>9</v>
      </c>
      <c r="S640">
        <v>0</v>
      </c>
      <c r="T640">
        <v>4</v>
      </c>
      <c r="U640">
        <f>SUM(Table1[[#This Row],[Store_Purchases]]+Table1[[#This Row],[Catalog_Purchases]]+Table1[[#This Row],[Web_Purchases]]+Table1[[#This Row],[Deal_Purchases]])</f>
        <v>17</v>
      </c>
      <c r="V640">
        <v>10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f>SUM(Table1[[#This Row],[Accepted_Campaign_2]]+Table1[[#This Row],[Accepted_Campaign_1]]+Table1[[#This Row],[Accepted_Campaign_5]]+Table1[[#This Row],[Accepted_Campaign_4]]+Table1[[#This Row],[Accepted_Campaign_3]])</f>
        <v>0</v>
      </c>
      <c r="AC640">
        <v>0</v>
      </c>
      <c r="AD640">
        <v>0</v>
      </c>
    </row>
    <row r="641" spans="1:30" x14ac:dyDescent="0.25">
      <c r="A641">
        <v>41181</v>
      </c>
      <c r="B641">
        <v>10343</v>
      </c>
      <c r="C641">
        <v>1991</v>
      </c>
      <c r="D641" t="s">
        <v>17</v>
      </c>
      <c r="E641" t="s">
        <v>15</v>
      </c>
      <c r="F641" t="s">
        <v>9</v>
      </c>
      <c r="G641">
        <v>61618</v>
      </c>
      <c r="H641">
        <v>0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f>SUM(Table1[[#This Row],[Gold Spending]]+Table1[[#This Row],[Sweet Spending]]+Table1[[#This Row],[Fish Spending]]+Table1[[#This Row],[Meat Spending]]+Table1[[#This Row],[Fruits Spending]]+Table1[[#This Row],[Wine Spending ]])</f>
        <v>1345</v>
      </c>
      <c r="Q641">
        <v>2</v>
      </c>
      <c r="R641">
        <v>3</v>
      </c>
      <c r="S641">
        <v>6</v>
      </c>
      <c r="T641">
        <v>8</v>
      </c>
      <c r="U641">
        <f>SUM(Table1[[#This Row],[Store_Purchases]]+Table1[[#This Row],[Catalog_Purchases]]+Table1[[#This Row],[Web_Purchases]]+Table1[[#This Row],[Deal_Purchases]])</f>
        <v>19</v>
      </c>
      <c r="V641">
        <v>3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f>SUM(Table1[[#This Row],[Accepted_Campaign_2]]+Table1[[#This Row],[Accepted_Campaign_1]]+Table1[[#This Row],[Accepted_Campaign_5]]+Table1[[#This Row],[Accepted_Campaign_4]]+Table1[[#This Row],[Accepted_Campaign_3]])</f>
        <v>0</v>
      </c>
      <c r="AC641">
        <v>0</v>
      </c>
      <c r="AD641">
        <v>0</v>
      </c>
    </row>
    <row r="642" spans="1:30" x14ac:dyDescent="0.25">
      <c r="A642">
        <v>41799</v>
      </c>
      <c r="B642">
        <v>6652</v>
      </c>
      <c r="C642">
        <v>1965</v>
      </c>
      <c r="D642" t="s">
        <v>10</v>
      </c>
      <c r="E642" t="s">
        <v>6</v>
      </c>
      <c r="F642" t="s">
        <v>11</v>
      </c>
      <c r="G642">
        <v>77343</v>
      </c>
      <c r="H642">
        <v>0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f>SUM(Table1[[#This Row],[Gold Spending]]+Table1[[#This Row],[Sweet Spending]]+Table1[[#This Row],[Fish Spending]]+Table1[[#This Row],[Meat Spending]]+Table1[[#This Row],[Fruits Spending]]+Table1[[#This Row],[Wine Spending ]])</f>
        <v>1134</v>
      </c>
      <c r="Q642">
        <v>1</v>
      </c>
      <c r="R642">
        <v>3</v>
      </c>
      <c r="S642">
        <v>4</v>
      </c>
      <c r="T642">
        <v>9</v>
      </c>
      <c r="U642">
        <f>SUM(Table1[[#This Row],[Store_Purchases]]+Table1[[#This Row],[Catalog_Purchases]]+Table1[[#This Row],[Web_Purchases]]+Table1[[#This Row],[Deal_Purchases]])</f>
        <v>17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f>SUM(Table1[[#This Row],[Accepted_Campaign_2]]+Table1[[#This Row],[Accepted_Campaign_1]]+Table1[[#This Row],[Accepted_Campaign_5]]+Table1[[#This Row],[Accepted_Campaign_4]]+Table1[[#This Row],[Accepted_Campaign_3]])</f>
        <v>0</v>
      </c>
      <c r="AC642">
        <v>0</v>
      </c>
      <c r="AD642">
        <v>0</v>
      </c>
    </row>
    <row r="643" spans="1:30" x14ac:dyDescent="0.25">
      <c r="A643">
        <v>41734</v>
      </c>
      <c r="B643">
        <v>8746</v>
      </c>
      <c r="C643">
        <v>1989</v>
      </c>
      <c r="D643" t="s">
        <v>8</v>
      </c>
      <c r="E643" t="s">
        <v>6</v>
      </c>
      <c r="F643" t="s">
        <v>11</v>
      </c>
      <c r="G643">
        <v>75433</v>
      </c>
      <c r="H643">
        <v>1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f>SUM(Table1[[#This Row],[Gold Spending]]+Table1[[#This Row],[Sweet Spending]]+Table1[[#This Row],[Fish Spending]]+Table1[[#This Row],[Meat Spending]]+Table1[[#This Row],[Fruits Spending]]+Table1[[#This Row],[Wine Spending ]])</f>
        <v>1188</v>
      </c>
      <c r="Q643">
        <v>2</v>
      </c>
      <c r="R643">
        <v>2</v>
      </c>
      <c r="S643">
        <v>5</v>
      </c>
      <c r="T643">
        <v>10</v>
      </c>
      <c r="U643">
        <f>SUM(Table1[[#This Row],[Store_Purchases]]+Table1[[#This Row],[Catalog_Purchases]]+Table1[[#This Row],[Web_Purchases]]+Table1[[#This Row],[Deal_Purchases]])</f>
        <v>19</v>
      </c>
      <c r="V643">
        <v>6</v>
      </c>
      <c r="W643">
        <v>0</v>
      </c>
      <c r="X643">
        <v>1</v>
      </c>
      <c r="Y643">
        <v>0</v>
      </c>
      <c r="Z643">
        <v>1</v>
      </c>
      <c r="AA643">
        <v>0</v>
      </c>
      <c r="AB643">
        <f>SUM(Table1[[#This Row],[Accepted_Campaign_2]]+Table1[[#This Row],[Accepted_Campaign_1]]+Table1[[#This Row],[Accepted_Campaign_5]]+Table1[[#This Row],[Accepted_Campaign_4]]+Table1[[#This Row],[Accepted_Campaign_3]])</f>
        <v>2</v>
      </c>
      <c r="AC643">
        <v>0</v>
      </c>
      <c r="AD643">
        <v>0</v>
      </c>
    </row>
    <row r="644" spans="1:30" x14ac:dyDescent="0.25">
      <c r="A644">
        <v>41731</v>
      </c>
      <c r="B644">
        <v>4686</v>
      </c>
      <c r="C644">
        <v>1962</v>
      </c>
      <c r="D644" t="s">
        <v>8</v>
      </c>
      <c r="E644" t="s">
        <v>14</v>
      </c>
      <c r="F644" t="s">
        <v>19</v>
      </c>
      <c r="G644">
        <v>82571</v>
      </c>
      <c r="H644">
        <v>0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f>SUM(Table1[[#This Row],[Gold Spending]]+Table1[[#This Row],[Sweet Spending]]+Table1[[#This Row],[Fish Spending]]+Table1[[#This Row],[Meat Spending]]+Table1[[#This Row],[Fruits Spending]]+Table1[[#This Row],[Wine Spending ]])</f>
        <v>1686</v>
      </c>
      <c r="Q644">
        <v>0</v>
      </c>
      <c r="R644">
        <v>6</v>
      </c>
      <c r="S644">
        <v>5</v>
      </c>
      <c r="T644">
        <v>13</v>
      </c>
      <c r="U644">
        <f>SUM(Table1[[#This Row],[Store_Purchases]]+Table1[[#This Row],[Catalog_Purchases]]+Table1[[#This Row],[Web_Purchases]]+Table1[[#This Row],[Deal_Purchases]])</f>
        <v>24</v>
      </c>
      <c r="V644">
        <v>2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f>SUM(Table1[[#This Row],[Accepted_Campaign_2]]+Table1[[#This Row],[Accepted_Campaign_1]]+Table1[[#This Row],[Accepted_Campaign_5]]+Table1[[#This Row],[Accepted_Campaign_4]]+Table1[[#This Row],[Accepted_Campaign_3]])</f>
        <v>1</v>
      </c>
      <c r="AC644">
        <v>0</v>
      </c>
      <c r="AD644">
        <v>0</v>
      </c>
    </row>
    <row r="645" spans="1:30" x14ac:dyDescent="0.25">
      <c r="A645">
        <v>41727</v>
      </c>
      <c r="B645">
        <v>3551</v>
      </c>
      <c r="C645">
        <v>1954</v>
      </c>
      <c r="D645" t="s">
        <v>8</v>
      </c>
      <c r="E645" t="s">
        <v>18</v>
      </c>
      <c r="F645" t="s">
        <v>12</v>
      </c>
      <c r="G645">
        <v>60033</v>
      </c>
      <c r="H645">
        <v>1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f>SUM(Table1[[#This Row],[Gold Spending]]+Table1[[#This Row],[Sweet Spending]]+Table1[[#This Row],[Fish Spending]]+Table1[[#This Row],[Meat Spending]]+Table1[[#This Row],[Fruits Spending]]+Table1[[#This Row],[Wine Spending ]])</f>
        <v>198</v>
      </c>
      <c r="Q645">
        <v>2</v>
      </c>
      <c r="R645">
        <v>2</v>
      </c>
      <c r="S645">
        <v>1</v>
      </c>
      <c r="T645">
        <v>5</v>
      </c>
      <c r="U645">
        <f>SUM(Table1[[#This Row],[Store_Purchases]]+Table1[[#This Row],[Catalog_Purchases]]+Table1[[#This Row],[Web_Purchases]]+Table1[[#This Row],[Deal_Purchases]])</f>
        <v>10</v>
      </c>
      <c r="V645">
        <v>2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f>SUM(Table1[[#This Row],[Accepted_Campaign_2]]+Table1[[#This Row],[Accepted_Campaign_1]]+Table1[[#This Row],[Accepted_Campaign_5]]+Table1[[#This Row],[Accepted_Campaign_4]]+Table1[[#This Row],[Accepted_Campaign_3]])</f>
        <v>0</v>
      </c>
      <c r="AC645">
        <v>0</v>
      </c>
      <c r="AD645">
        <v>0</v>
      </c>
    </row>
    <row r="646" spans="1:30" x14ac:dyDescent="0.25">
      <c r="A646">
        <v>41723</v>
      </c>
      <c r="B646">
        <v>4338</v>
      </c>
      <c r="C646">
        <v>1983</v>
      </c>
      <c r="D646" t="s">
        <v>8</v>
      </c>
      <c r="E646" t="s">
        <v>6</v>
      </c>
      <c r="F646" t="s">
        <v>9</v>
      </c>
      <c r="G646">
        <v>39062</v>
      </c>
      <c r="H646">
        <v>1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646">
        <v>1</v>
      </c>
      <c r="R646">
        <v>1</v>
      </c>
      <c r="S646">
        <v>0</v>
      </c>
      <c r="T646">
        <v>3</v>
      </c>
      <c r="U646">
        <f>SUM(Table1[[#This Row],[Store_Purchases]]+Table1[[#This Row],[Catalog_Purchases]]+Table1[[#This Row],[Web_Purchases]]+Table1[[#This Row],[Deal_Purchases]])</f>
        <v>5</v>
      </c>
      <c r="V646">
        <v>4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f>SUM(Table1[[#This Row],[Accepted_Campaign_2]]+Table1[[#This Row],[Accepted_Campaign_1]]+Table1[[#This Row],[Accepted_Campaign_5]]+Table1[[#This Row],[Accepted_Campaign_4]]+Table1[[#This Row],[Accepted_Campaign_3]])</f>
        <v>1</v>
      </c>
      <c r="AC646">
        <v>0</v>
      </c>
      <c r="AD646">
        <v>0</v>
      </c>
    </row>
    <row r="647" spans="1:30" x14ac:dyDescent="0.25">
      <c r="A647">
        <v>41722</v>
      </c>
      <c r="B647">
        <v>4444</v>
      </c>
      <c r="C647">
        <v>1972</v>
      </c>
      <c r="D647" t="s">
        <v>8</v>
      </c>
      <c r="E647" t="s">
        <v>6</v>
      </c>
      <c r="F647" t="s">
        <v>11</v>
      </c>
      <c r="G647">
        <v>30023</v>
      </c>
      <c r="H647">
        <v>1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f>SUM(Table1[[#This Row],[Gold Spending]]+Table1[[#This Row],[Sweet Spending]]+Table1[[#This Row],[Fish Spending]]+Table1[[#This Row],[Meat Spending]]+Table1[[#This Row],[Fruits Spending]]+Table1[[#This Row],[Wine Spending ]])</f>
        <v>61</v>
      </c>
      <c r="Q647">
        <v>1</v>
      </c>
      <c r="R647">
        <v>2</v>
      </c>
      <c r="S647">
        <v>0</v>
      </c>
      <c r="T647">
        <v>3</v>
      </c>
      <c r="U647">
        <f>SUM(Table1[[#This Row],[Store_Purchases]]+Table1[[#This Row],[Catalog_Purchases]]+Table1[[#This Row],[Web_Purchases]]+Table1[[#This Row],[Deal_Purchases]])</f>
        <v>6</v>
      </c>
      <c r="V647">
        <v>8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f>SUM(Table1[[#This Row],[Accepted_Campaign_2]]+Table1[[#This Row],[Accepted_Campaign_1]]+Table1[[#This Row],[Accepted_Campaign_5]]+Table1[[#This Row],[Accepted_Campaign_4]]+Table1[[#This Row],[Accepted_Campaign_3]])</f>
        <v>0</v>
      </c>
      <c r="AC647">
        <v>0</v>
      </c>
      <c r="AD647">
        <v>0</v>
      </c>
    </row>
    <row r="648" spans="1:30" x14ac:dyDescent="0.25">
      <c r="A648">
        <v>41672</v>
      </c>
      <c r="B648">
        <v>498</v>
      </c>
      <c r="C648">
        <v>1970</v>
      </c>
      <c r="D648" t="s">
        <v>8</v>
      </c>
      <c r="E648" t="s">
        <v>6</v>
      </c>
      <c r="F648" t="s">
        <v>9</v>
      </c>
      <c r="G648">
        <v>30015</v>
      </c>
      <c r="H648">
        <v>1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648">
        <v>2</v>
      </c>
      <c r="R648">
        <v>1</v>
      </c>
      <c r="S648">
        <v>0</v>
      </c>
      <c r="T648">
        <v>4</v>
      </c>
      <c r="U648">
        <f>SUM(Table1[[#This Row],[Store_Purchases]]+Table1[[#This Row],[Catalog_Purchases]]+Table1[[#This Row],[Web_Purchases]]+Table1[[#This Row],[Deal_Purchases]])</f>
        <v>7</v>
      </c>
      <c r="V648">
        <v>5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f>SUM(Table1[[#This Row],[Accepted_Campaign_2]]+Table1[[#This Row],[Accepted_Campaign_1]]+Table1[[#This Row],[Accepted_Campaign_5]]+Table1[[#This Row],[Accepted_Campaign_4]]+Table1[[#This Row],[Accepted_Campaign_3]])</f>
        <v>0</v>
      </c>
      <c r="AC648">
        <v>0</v>
      </c>
      <c r="AD648">
        <v>0</v>
      </c>
    </row>
    <row r="649" spans="1:30" x14ac:dyDescent="0.25">
      <c r="A649">
        <v>41662</v>
      </c>
      <c r="B649">
        <v>8230</v>
      </c>
      <c r="C649">
        <v>1980</v>
      </c>
      <c r="D649" t="s">
        <v>8</v>
      </c>
      <c r="E649" t="s">
        <v>6</v>
      </c>
      <c r="F649" t="s">
        <v>11</v>
      </c>
      <c r="G649">
        <v>33228</v>
      </c>
      <c r="H649">
        <v>1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f>SUM(Table1[[#This Row],[Gold Spending]]+Table1[[#This Row],[Sweet Spending]]+Table1[[#This Row],[Fish Spending]]+Table1[[#This Row],[Meat Spending]]+Table1[[#This Row],[Fruits Spending]]+Table1[[#This Row],[Wine Spending ]])</f>
        <v>71</v>
      </c>
      <c r="Q649">
        <v>1</v>
      </c>
      <c r="R649">
        <v>2</v>
      </c>
      <c r="S649">
        <v>0</v>
      </c>
      <c r="T649">
        <v>3</v>
      </c>
      <c r="U649">
        <f>SUM(Table1[[#This Row],[Store_Purchases]]+Table1[[#This Row],[Catalog_Purchases]]+Table1[[#This Row],[Web_Purchases]]+Table1[[#This Row],[Deal_Purchases]])</f>
        <v>6</v>
      </c>
      <c r="V649">
        <v>7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f>SUM(Table1[[#This Row],[Accepted_Campaign_2]]+Table1[[#This Row],[Accepted_Campaign_1]]+Table1[[#This Row],[Accepted_Campaign_5]]+Table1[[#This Row],[Accepted_Campaign_4]]+Table1[[#This Row],[Accepted_Campaign_3]])</f>
        <v>0</v>
      </c>
      <c r="AC649">
        <v>0</v>
      </c>
      <c r="AD649">
        <v>0</v>
      </c>
    </row>
    <row r="650" spans="1:30" x14ac:dyDescent="0.25">
      <c r="A650">
        <v>41575</v>
      </c>
      <c r="B650">
        <v>2826</v>
      </c>
      <c r="C650">
        <v>1967</v>
      </c>
      <c r="D650" t="s">
        <v>8</v>
      </c>
      <c r="E650" t="s">
        <v>6</v>
      </c>
      <c r="F650" t="s">
        <v>11</v>
      </c>
      <c r="G650">
        <v>22574</v>
      </c>
      <c r="H650">
        <v>3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f>SUM(Table1[[#This Row],[Gold Spending]]+Table1[[#This Row],[Sweet Spending]]+Table1[[#This Row],[Fish Spending]]+Table1[[#This Row],[Meat Spending]]+Table1[[#This Row],[Fruits Spending]]+Table1[[#This Row],[Wine Spending ]])</f>
        <v>37</v>
      </c>
      <c r="Q650">
        <v>2</v>
      </c>
      <c r="R650">
        <v>2</v>
      </c>
      <c r="S650">
        <v>0</v>
      </c>
      <c r="T650">
        <v>3</v>
      </c>
      <c r="U650">
        <f>SUM(Table1[[#This Row],[Store_Purchases]]+Table1[[#This Row],[Catalog_Purchases]]+Table1[[#This Row],[Web_Purchases]]+Table1[[#This Row],[Deal_Purchases]])</f>
        <v>7</v>
      </c>
      <c r="V650">
        <v>7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f>SUM(Table1[[#This Row],[Accepted_Campaign_2]]+Table1[[#This Row],[Accepted_Campaign_1]]+Table1[[#This Row],[Accepted_Campaign_5]]+Table1[[#This Row],[Accepted_Campaign_4]]+Table1[[#This Row],[Accepted_Campaign_3]])</f>
        <v>0</v>
      </c>
      <c r="AC650">
        <v>0</v>
      </c>
      <c r="AD650">
        <v>0</v>
      </c>
    </row>
    <row r="651" spans="1:30" x14ac:dyDescent="0.25">
      <c r="A651">
        <v>41575</v>
      </c>
      <c r="B651">
        <v>6222</v>
      </c>
      <c r="C651">
        <v>1967</v>
      </c>
      <c r="D651" t="s">
        <v>8</v>
      </c>
      <c r="E651" t="s">
        <v>6</v>
      </c>
      <c r="F651" t="s">
        <v>11</v>
      </c>
      <c r="G651">
        <v>22574</v>
      </c>
      <c r="H651">
        <v>3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f>SUM(Table1[[#This Row],[Gold Spending]]+Table1[[#This Row],[Sweet Spending]]+Table1[[#This Row],[Fish Spending]]+Table1[[#This Row],[Meat Spending]]+Table1[[#This Row],[Fruits Spending]]+Table1[[#This Row],[Wine Spending ]])</f>
        <v>37</v>
      </c>
      <c r="Q651">
        <v>2</v>
      </c>
      <c r="R651">
        <v>2</v>
      </c>
      <c r="S651">
        <v>0</v>
      </c>
      <c r="T651">
        <v>3</v>
      </c>
      <c r="U651">
        <f>SUM(Table1[[#This Row],[Store_Purchases]]+Table1[[#This Row],[Catalog_Purchases]]+Table1[[#This Row],[Web_Purchases]]+Table1[[#This Row],[Deal_Purchases]])</f>
        <v>7</v>
      </c>
      <c r="V651">
        <v>7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f>SUM(Table1[[#This Row],[Accepted_Campaign_2]]+Table1[[#This Row],[Accepted_Campaign_1]]+Table1[[#This Row],[Accepted_Campaign_5]]+Table1[[#This Row],[Accepted_Campaign_4]]+Table1[[#This Row],[Accepted_Campaign_3]])</f>
        <v>0</v>
      </c>
      <c r="AC651">
        <v>0</v>
      </c>
      <c r="AD651">
        <v>0</v>
      </c>
    </row>
    <row r="652" spans="1:30" x14ac:dyDescent="0.25">
      <c r="A652">
        <v>41568</v>
      </c>
      <c r="B652">
        <v>7352</v>
      </c>
      <c r="C652">
        <v>1957</v>
      </c>
      <c r="D652" t="s">
        <v>10</v>
      </c>
      <c r="E652" t="s">
        <v>6</v>
      </c>
      <c r="F652" t="s">
        <v>11</v>
      </c>
      <c r="G652">
        <v>55267</v>
      </c>
      <c r="H652">
        <v>1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f>SUM(Table1[[#This Row],[Gold Spending]]+Table1[[#This Row],[Sweet Spending]]+Table1[[#This Row],[Fish Spending]]+Table1[[#This Row],[Meat Spending]]+Table1[[#This Row],[Fruits Spending]]+Table1[[#This Row],[Wine Spending ]])</f>
        <v>405</v>
      </c>
      <c r="Q652">
        <v>4</v>
      </c>
      <c r="R652">
        <v>3</v>
      </c>
      <c r="S652">
        <v>4</v>
      </c>
      <c r="T652">
        <v>6</v>
      </c>
      <c r="U652">
        <f>SUM(Table1[[#This Row],[Store_Purchases]]+Table1[[#This Row],[Catalog_Purchases]]+Table1[[#This Row],[Web_Purchases]]+Table1[[#This Row],[Deal_Purchases]])</f>
        <v>17</v>
      </c>
      <c r="V652">
        <v>3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f>SUM(Table1[[#This Row],[Accepted_Campaign_2]]+Table1[[#This Row],[Accepted_Campaign_1]]+Table1[[#This Row],[Accepted_Campaign_5]]+Table1[[#This Row],[Accepted_Campaign_4]]+Table1[[#This Row],[Accepted_Campaign_3]])</f>
        <v>0</v>
      </c>
      <c r="AC652">
        <v>0</v>
      </c>
      <c r="AD652">
        <v>0</v>
      </c>
    </row>
    <row r="653" spans="1:30" x14ac:dyDescent="0.25">
      <c r="A653">
        <v>41533</v>
      </c>
      <c r="B653">
        <v>10928</v>
      </c>
      <c r="C653">
        <v>1958</v>
      </c>
      <c r="D653" t="s">
        <v>8</v>
      </c>
      <c r="E653" t="s">
        <v>6</v>
      </c>
      <c r="F653" t="s">
        <v>12</v>
      </c>
      <c r="G653">
        <v>66886</v>
      </c>
      <c r="H653">
        <v>1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f>SUM(Table1[[#This Row],[Gold Spending]]+Table1[[#This Row],[Sweet Spending]]+Table1[[#This Row],[Fish Spending]]+Table1[[#This Row],[Meat Spending]]+Table1[[#This Row],[Fruits Spending]]+Table1[[#This Row],[Wine Spending ]])</f>
        <v>599</v>
      </c>
      <c r="Q653">
        <v>2</v>
      </c>
      <c r="R653">
        <v>7</v>
      </c>
      <c r="S653">
        <v>1</v>
      </c>
      <c r="T653">
        <v>7</v>
      </c>
      <c r="U653">
        <f>SUM(Table1[[#This Row],[Store_Purchases]]+Table1[[#This Row],[Catalog_Purchases]]+Table1[[#This Row],[Web_Purchases]]+Table1[[#This Row],[Deal_Purchases]])</f>
        <v>17</v>
      </c>
      <c r="V653">
        <v>5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f>SUM(Table1[[#This Row],[Accepted_Campaign_2]]+Table1[[#This Row],[Accepted_Campaign_1]]+Table1[[#This Row],[Accepted_Campaign_5]]+Table1[[#This Row],[Accepted_Campaign_4]]+Table1[[#This Row],[Accepted_Campaign_3]])</f>
        <v>0</v>
      </c>
      <c r="AC653">
        <v>0</v>
      </c>
      <c r="AD653">
        <v>0</v>
      </c>
    </row>
    <row r="654" spans="1:30" x14ac:dyDescent="0.25">
      <c r="A654">
        <v>41529</v>
      </c>
      <c r="B654">
        <v>10736</v>
      </c>
      <c r="C654">
        <v>1971</v>
      </c>
      <c r="D654" t="s">
        <v>10</v>
      </c>
      <c r="E654" t="s">
        <v>6</v>
      </c>
      <c r="F654" t="s">
        <v>9</v>
      </c>
      <c r="G654">
        <v>72258</v>
      </c>
      <c r="H654">
        <v>1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f>SUM(Table1[[#This Row],[Gold Spending]]+Table1[[#This Row],[Sweet Spending]]+Table1[[#This Row],[Fish Spending]]+Table1[[#This Row],[Meat Spending]]+Table1[[#This Row],[Fruits Spending]]+Table1[[#This Row],[Wine Spending ]])</f>
        <v>1525</v>
      </c>
      <c r="Q654">
        <v>2</v>
      </c>
      <c r="R654">
        <v>6</v>
      </c>
      <c r="S654">
        <v>9</v>
      </c>
      <c r="T654">
        <v>5</v>
      </c>
      <c r="U654">
        <f>SUM(Table1[[#This Row],[Store_Purchases]]+Table1[[#This Row],[Catalog_Purchases]]+Table1[[#This Row],[Web_Purchases]]+Table1[[#This Row],[Deal_Purchases]])</f>
        <v>22</v>
      </c>
      <c r="V654">
        <v>2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f>SUM(Table1[[#This Row],[Accepted_Campaign_2]]+Table1[[#This Row],[Accepted_Campaign_1]]+Table1[[#This Row],[Accepted_Campaign_5]]+Table1[[#This Row],[Accepted_Campaign_4]]+Table1[[#This Row],[Accepted_Campaign_3]])</f>
        <v>0</v>
      </c>
      <c r="AC654">
        <v>0</v>
      </c>
      <c r="AD654">
        <v>0</v>
      </c>
    </row>
    <row r="655" spans="1:30" x14ac:dyDescent="0.25">
      <c r="A655">
        <v>41527</v>
      </c>
      <c r="B655">
        <v>10163</v>
      </c>
      <c r="C655">
        <v>1984</v>
      </c>
      <c r="D655" t="s">
        <v>8</v>
      </c>
      <c r="E655" t="s">
        <v>14</v>
      </c>
      <c r="F655" t="s">
        <v>9</v>
      </c>
      <c r="G655">
        <v>82733</v>
      </c>
      <c r="H655">
        <v>0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f>SUM(Table1[[#This Row],[Gold Spending]]+Table1[[#This Row],[Sweet Spending]]+Table1[[#This Row],[Fish Spending]]+Table1[[#This Row],[Meat Spending]]+Table1[[#This Row],[Fruits Spending]]+Table1[[#This Row],[Wine Spending ]])</f>
        <v>1323</v>
      </c>
      <c r="Q655">
        <v>1</v>
      </c>
      <c r="R655">
        <v>8</v>
      </c>
      <c r="S655">
        <v>4</v>
      </c>
      <c r="T655">
        <v>7</v>
      </c>
      <c r="U655">
        <f>SUM(Table1[[#This Row],[Store_Purchases]]+Table1[[#This Row],[Catalog_Purchases]]+Table1[[#This Row],[Web_Purchases]]+Table1[[#This Row],[Deal_Purchases]])</f>
        <v>20</v>
      </c>
      <c r="V655">
        <v>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f>SUM(Table1[[#This Row],[Accepted_Campaign_2]]+Table1[[#This Row],[Accepted_Campaign_1]]+Table1[[#This Row],[Accepted_Campaign_5]]+Table1[[#This Row],[Accepted_Campaign_4]]+Table1[[#This Row],[Accepted_Campaign_3]])</f>
        <v>0</v>
      </c>
      <c r="AC655">
        <v>1</v>
      </c>
      <c r="AD655">
        <v>0</v>
      </c>
    </row>
    <row r="656" spans="1:30" x14ac:dyDescent="0.25">
      <c r="A656">
        <v>41470</v>
      </c>
      <c r="B656">
        <v>6168</v>
      </c>
      <c r="C656">
        <v>1963</v>
      </c>
      <c r="D656" t="s">
        <v>17</v>
      </c>
      <c r="E656" t="s">
        <v>6</v>
      </c>
      <c r="F656" t="s">
        <v>7</v>
      </c>
      <c r="G656">
        <v>45146</v>
      </c>
      <c r="H656">
        <v>2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f>SUM(Table1[[#This Row],[Gold Spending]]+Table1[[#This Row],[Sweet Spending]]+Table1[[#This Row],[Fish Spending]]+Table1[[#This Row],[Meat Spending]]+Table1[[#This Row],[Fruits Spending]]+Table1[[#This Row],[Wine Spending ]])</f>
        <v>53</v>
      </c>
      <c r="Q656">
        <v>2</v>
      </c>
      <c r="R656">
        <v>1</v>
      </c>
      <c r="S656">
        <v>1</v>
      </c>
      <c r="T656">
        <v>2</v>
      </c>
      <c r="U656">
        <f>SUM(Table1[[#This Row],[Store_Purchases]]+Table1[[#This Row],[Catalog_Purchases]]+Table1[[#This Row],[Web_Purchases]]+Table1[[#This Row],[Deal_Purchases]])</f>
        <v>6</v>
      </c>
      <c r="V656">
        <v>4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f>SUM(Table1[[#This Row],[Accepted_Campaign_2]]+Table1[[#This Row],[Accepted_Campaign_1]]+Table1[[#This Row],[Accepted_Campaign_5]]+Table1[[#This Row],[Accepted_Campaign_4]]+Table1[[#This Row],[Accepted_Campaign_3]])</f>
        <v>0</v>
      </c>
      <c r="AC656">
        <v>0</v>
      </c>
      <c r="AD656">
        <v>0</v>
      </c>
    </row>
    <row r="657" spans="1:30" x14ac:dyDescent="0.25">
      <c r="A657">
        <v>41363</v>
      </c>
      <c r="B657">
        <v>4656</v>
      </c>
      <c r="C657">
        <v>1990</v>
      </c>
      <c r="D657" t="s">
        <v>20</v>
      </c>
      <c r="E657" t="s">
        <v>15</v>
      </c>
      <c r="F657" t="s">
        <v>9</v>
      </c>
      <c r="G657">
        <v>51250</v>
      </c>
      <c r="H657">
        <v>1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f>SUM(Table1[[#This Row],[Gold Spending]]+Table1[[#This Row],[Sweet Spending]]+Table1[[#This Row],[Fish Spending]]+Table1[[#This Row],[Meat Spending]]+Table1[[#This Row],[Fruits Spending]]+Table1[[#This Row],[Wine Spending ]])</f>
        <v>710</v>
      </c>
      <c r="Q657">
        <v>5</v>
      </c>
      <c r="R657">
        <v>10</v>
      </c>
      <c r="S657">
        <v>5</v>
      </c>
      <c r="T657">
        <v>4</v>
      </c>
      <c r="U657">
        <f>SUM(Table1[[#This Row],[Store_Purchases]]+Table1[[#This Row],[Catalog_Purchases]]+Table1[[#This Row],[Web_Purchases]]+Table1[[#This Row],[Deal_Purchases]])</f>
        <v>24</v>
      </c>
      <c r="V657">
        <v>9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f>SUM(Table1[[#This Row],[Accepted_Campaign_2]]+Table1[[#This Row],[Accepted_Campaign_1]]+Table1[[#This Row],[Accepted_Campaign_5]]+Table1[[#This Row],[Accepted_Campaign_4]]+Table1[[#This Row],[Accepted_Campaign_3]])</f>
        <v>1</v>
      </c>
      <c r="AC657">
        <v>0</v>
      </c>
      <c r="AD657">
        <v>0</v>
      </c>
    </row>
    <row r="658" spans="1:30" x14ac:dyDescent="0.25">
      <c r="A658">
        <v>41342</v>
      </c>
      <c r="B658">
        <v>626</v>
      </c>
      <c r="C658">
        <v>1951</v>
      </c>
      <c r="D658" t="s">
        <v>63</v>
      </c>
      <c r="E658" t="s">
        <v>6</v>
      </c>
      <c r="F658" t="s">
        <v>11</v>
      </c>
      <c r="G658">
        <v>32871</v>
      </c>
      <c r="H658">
        <v>2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f>SUM(Table1[[#This Row],[Gold Spending]]+Table1[[#This Row],[Sweet Spending]]+Table1[[#This Row],[Fish Spending]]+Table1[[#This Row],[Meat Spending]]+Table1[[#This Row],[Fruits Spending]]+Table1[[#This Row],[Wine Spending ]])</f>
        <v>43</v>
      </c>
      <c r="Q658">
        <v>1</v>
      </c>
      <c r="R658">
        <v>1</v>
      </c>
      <c r="S658">
        <v>0</v>
      </c>
      <c r="T658">
        <v>3</v>
      </c>
      <c r="U658">
        <f>SUM(Table1[[#This Row],[Store_Purchases]]+Table1[[#This Row],[Catalog_Purchases]]+Table1[[#This Row],[Web_Purchases]]+Table1[[#This Row],[Deal_Purchases]])</f>
        <v>5</v>
      </c>
      <c r="V658">
        <v>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f>SUM(Table1[[#This Row],[Accepted_Campaign_2]]+Table1[[#This Row],[Accepted_Campaign_1]]+Table1[[#This Row],[Accepted_Campaign_5]]+Table1[[#This Row],[Accepted_Campaign_4]]+Table1[[#This Row],[Accepted_Campaign_3]])</f>
        <v>0</v>
      </c>
      <c r="AC658">
        <v>0</v>
      </c>
      <c r="AD658">
        <v>0</v>
      </c>
    </row>
    <row r="659" spans="1:30" x14ac:dyDescent="0.25">
      <c r="A659">
        <v>41314</v>
      </c>
      <c r="B659">
        <v>3870</v>
      </c>
      <c r="C659">
        <v>1978</v>
      </c>
      <c r="D659" t="s">
        <v>16</v>
      </c>
      <c r="E659" t="s">
        <v>15</v>
      </c>
      <c r="F659" t="s">
        <v>12</v>
      </c>
      <c r="G659">
        <v>63855</v>
      </c>
      <c r="H659">
        <v>0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f>SUM(Table1[[#This Row],[Gold Spending]]+Table1[[#This Row],[Sweet Spending]]+Table1[[#This Row],[Fish Spending]]+Table1[[#This Row],[Meat Spending]]+Table1[[#This Row],[Fruits Spending]]+Table1[[#This Row],[Wine Spending ]])</f>
        <v>1006</v>
      </c>
      <c r="Q659">
        <v>1</v>
      </c>
      <c r="R659">
        <v>7</v>
      </c>
      <c r="S659">
        <v>3</v>
      </c>
      <c r="T659">
        <v>13</v>
      </c>
      <c r="U659">
        <f>SUM(Table1[[#This Row],[Store_Purchases]]+Table1[[#This Row],[Catalog_Purchases]]+Table1[[#This Row],[Web_Purchases]]+Table1[[#This Row],[Deal_Purchases]])</f>
        <v>24</v>
      </c>
      <c r="V659">
        <v>4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f>SUM(Table1[[#This Row],[Accepted_Campaign_2]]+Table1[[#This Row],[Accepted_Campaign_1]]+Table1[[#This Row],[Accepted_Campaign_5]]+Table1[[#This Row],[Accepted_Campaign_4]]+Table1[[#This Row],[Accepted_Campaign_3]])</f>
        <v>0</v>
      </c>
      <c r="AC659">
        <v>0</v>
      </c>
      <c r="AD659">
        <v>0</v>
      </c>
    </row>
    <row r="660" spans="1:30" x14ac:dyDescent="0.25">
      <c r="A660">
        <v>41276</v>
      </c>
      <c r="B660">
        <v>6299</v>
      </c>
      <c r="C660">
        <v>1968</v>
      </c>
      <c r="D660" t="s">
        <v>10</v>
      </c>
      <c r="E660" t="s">
        <v>14</v>
      </c>
      <c r="F660" t="s">
        <v>7</v>
      </c>
      <c r="G660">
        <v>42564</v>
      </c>
      <c r="H660">
        <v>1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f>SUM(Table1[[#This Row],[Gold Spending]]+Table1[[#This Row],[Sweet Spending]]+Table1[[#This Row],[Fish Spending]]+Table1[[#This Row],[Meat Spending]]+Table1[[#This Row],[Fruits Spending]]+Table1[[#This Row],[Wine Spending ]])</f>
        <v>813</v>
      </c>
      <c r="Q660">
        <v>6</v>
      </c>
      <c r="R660">
        <v>6</v>
      </c>
      <c r="S660">
        <v>8</v>
      </c>
      <c r="T660">
        <v>4</v>
      </c>
      <c r="U660">
        <f>SUM(Table1[[#This Row],[Store_Purchases]]+Table1[[#This Row],[Catalog_Purchases]]+Table1[[#This Row],[Web_Purchases]]+Table1[[#This Row],[Deal_Purchases]])</f>
        <v>24</v>
      </c>
      <c r="V660">
        <v>7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f>SUM(Table1[[#This Row],[Accepted_Campaign_2]]+Table1[[#This Row],[Accepted_Campaign_1]]+Table1[[#This Row],[Accepted_Campaign_5]]+Table1[[#This Row],[Accepted_Campaign_4]]+Table1[[#This Row],[Accepted_Campaign_3]])</f>
        <v>1</v>
      </c>
      <c r="AC660">
        <v>1</v>
      </c>
      <c r="AD660">
        <v>0</v>
      </c>
    </row>
    <row r="661" spans="1:30" x14ac:dyDescent="0.25">
      <c r="A661">
        <v>41257</v>
      </c>
      <c r="B661">
        <v>7798</v>
      </c>
      <c r="C661">
        <v>1972</v>
      </c>
      <c r="D661" t="s">
        <v>10</v>
      </c>
      <c r="E661" t="s">
        <v>15</v>
      </c>
      <c r="F661" t="s">
        <v>12</v>
      </c>
      <c r="G661">
        <v>46344</v>
      </c>
      <c r="H661">
        <v>1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f>SUM(Table1[[#This Row],[Gold Spending]]+Table1[[#This Row],[Sweet Spending]]+Table1[[#This Row],[Fish Spending]]+Table1[[#This Row],[Meat Spending]]+Table1[[#This Row],[Fruits Spending]]+Table1[[#This Row],[Wine Spending ]])</f>
        <v>429</v>
      </c>
      <c r="Q661">
        <v>4</v>
      </c>
      <c r="R661">
        <v>7</v>
      </c>
      <c r="S661">
        <v>1</v>
      </c>
      <c r="T661">
        <v>5</v>
      </c>
      <c r="U661">
        <f>SUM(Table1[[#This Row],[Store_Purchases]]+Table1[[#This Row],[Catalog_Purchases]]+Table1[[#This Row],[Web_Purchases]]+Table1[[#This Row],[Deal_Purchases]])</f>
        <v>17</v>
      </c>
      <c r="V661">
        <v>7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f>SUM(Table1[[#This Row],[Accepted_Campaign_2]]+Table1[[#This Row],[Accepted_Campaign_1]]+Table1[[#This Row],[Accepted_Campaign_5]]+Table1[[#This Row],[Accepted_Campaign_4]]+Table1[[#This Row],[Accepted_Campaign_3]])</f>
        <v>0</v>
      </c>
      <c r="AC661">
        <v>0</v>
      </c>
      <c r="AD661">
        <v>0</v>
      </c>
    </row>
    <row r="662" spans="1:30" x14ac:dyDescent="0.25">
      <c r="A662">
        <v>41199</v>
      </c>
      <c r="B662">
        <v>9973</v>
      </c>
      <c r="C662">
        <v>1963</v>
      </c>
      <c r="D662" t="s">
        <v>8</v>
      </c>
      <c r="E662" t="s">
        <v>6</v>
      </c>
      <c r="F662" t="s">
        <v>11</v>
      </c>
      <c r="G662">
        <v>50437</v>
      </c>
      <c r="H662">
        <v>2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f>SUM(Table1[[#This Row],[Gold Spending]]+Table1[[#This Row],[Sweet Spending]]+Table1[[#This Row],[Fish Spending]]+Table1[[#This Row],[Meat Spending]]+Table1[[#This Row],[Fruits Spending]]+Table1[[#This Row],[Wine Spending ]])</f>
        <v>490</v>
      </c>
      <c r="Q662">
        <v>3</v>
      </c>
      <c r="R662">
        <v>7</v>
      </c>
      <c r="S662">
        <v>1</v>
      </c>
      <c r="T662">
        <v>8</v>
      </c>
      <c r="U662">
        <f>SUM(Table1[[#This Row],[Store_Purchases]]+Table1[[#This Row],[Catalog_Purchases]]+Table1[[#This Row],[Web_Purchases]]+Table1[[#This Row],[Deal_Purchases]])</f>
        <v>19</v>
      </c>
      <c r="V662">
        <v>7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f>SUM(Table1[[#This Row],[Accepted_Campaign_2]]+Table1[[#This Row],[Accepted_Campaign_1]]+Table1[[#This Row],[Accepted_Campaign_5]]+Table1[[#This Row],[Accepted_Campaign_4]]+Table1[[#This Row],[Accepted_Campaign_3]])</f>
        <v>0</v>
      </c>
      <c r="AC662">
        <v>0</v>
      </c>
      <c r="AD662">
        <v>0</v>
      </c>
    </row>
    <row r="663" spans="1:30" x14ac:dyDescent="0.25">
      <c r="A663">
        <v>41173</v>
      </c>
      <c r="B663">
        <v>4299</v>
      </c>
      <c r="C663">
        <v>1960</v>
      </c>
      <c r="D663" t="s">
        <v>8</v>
      </c>
      <c r="E663" t="s">
        <v>6</v>
      </c>
      <c r="F663" t="s">
        <v>12</v>
      </c>
      <c r="G663">
        <v>70971</v>
      </c>
      <c r="H663">
        <v>1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f>SUM(Table1[[#This Row],[Gold Spending]]+Table1[[#This Row],[Sweet Spending]]+Table1[[#This Row],[Fish Spending]]+Table1[[#This Row],[Meat Spending]]+Table1[[#This Row],[Fruits Spending]]+Table1[[#This Row],[Wine Spending ]])</f>
        <v>1825</v>
      </c>
      <c r="Q663">
        <v>7</v>
      </c>
      <c r="R663">
        <v>11</v>
      </c>
      <c r="S663">
        <v>11</v>
      </c>
      <c r="T663">
        <v>5</v>
      </c>
      <c r="U663">
        <f>SUM(Table1[[#This Row],[Store_Purchases]]+Table1[[#This Row],[Catalog_Purchases]]+Table1[[#This Row],[Web_Purchases]]+Table1[[#This Row],[Deal_Purchases]])</f>
        <v>34</v>
      </c>
      <c r="V663">
        <v>7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f>SUM(Table1[[#This Row],[Accepted_Campaign_2]]+Table1[[#This Row],[Accepted_Campaign_1]]+Table1[[#This Row],[Accepted_Campaign_5]]+Table1[[#This Row],[Accepted_Campaign_4]]+Table1[[#This Row],[Accepted_Campaign_3]])</f>
        <v>0</v>
      </c>
      <c r="AC663">
        <v>1</v>
      </c>
      <c r="AD663">
        <v>0</v>
      </c>
    </row>
    <row r="664" spans="1:30" x14ac:dyDescent="0.25">
      <c r="A664">
        <v>41155</v>
      </c>
      <c r="B664">
        <v>10971</v>
      </c>
      <c r="C664">
        <v>1977</v>
      </c>
      <c r="D664" t="s">
        <v>8</v>
      </c>
      <c r="E664" t="s">
        <v>6</v>
      </c>
      <c r="F664" t="s">
        <v>9</v>
      </c>
      <c r="G664">
        <v>37774</v>
      </c>
      <c r="H664">
        <v>2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f>SUM(Table1[[#This Row],[Gold Spending]]+Table1[[#This Row],[Sweet Spending]]+Table1[[#This Row],[Fish Spending]]+Table1[[#This Row],[Meat Spending]]+Table1[[#This Row],[Fruits Spending]]+Table1[[#This Row],[Wine Spending ]])</f>
        <v>473</v>
      </c>
      <c r="Q664">
        <v>4</v>
      </c>
      <c r="R664">
        <v>7</v>
      </c>
      <c r="S664">
        <v>2</v>
      </c>
      <c r="T664">
        <v>3</v>
      </c>
      <c r="U664">
        <f>SUM(Table1[[#This Row],[Store_Purchases]]+Table1[[#This Row],[Catalog_Purchases]]+Table1[[#This Row],[Web_Purchases]]+Table1[[#This Row],[Deal_Purchases]])</f>
        <v>16</v>
      </c>
      <c r="V664">
        <v>9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f>SUM(Table1[[#This Row],[Accepted_Campaign_2]]+Table1[[#This Row],[Accepted_Campaign_1]]+Table1[[#This Row],[Accepted_Campaign_5]]+Table1[[#This Row],[Accepted_Campaign_4]]+Table1[[#This Row],[Accepted_Campaign_3]])</f>
        <v>1</v>
      </c>
      <c r="AC664">
        <v>1</v>
      </c>
      <c r="AD664">
        <v>1</v>
      </c>
    </row>
    <row r="665" spans="1:30" x14ac:dyDescent="0.25">
      <c r="A665">
        <v>41813</v>
      </c>
      <c r="B665">
        <v>9931</v>
      </c>
      <c r="C665">
        <v>1963</v>
      </c>
      <c r="D665" t="s">
        <v>8</v>
      </c>
      <c r="E665" t="s">
        <v>14</v>
      </c>
      <c r="F665" t="s">
        <v>11</v>
      </c>
      <c r="G665">
        <v>4023</v>
      </c>
      <c r="H665">
        <v>2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f>SUM(Table1[[#This Row],[Gold Spending]]+Table1[[#This Row],[Sweet Spending]]+Table1[[#This Row],[Fish Spending]]+Table1[[#This Row],[Meat Spending]]+Table1[[#This Row],[Fruits Spending]]+Table1[[#This Row],[Wine Spending ]])</f>
        <v>9</v>
      </c>
      <c r="Q665">
        <v>15</v>
      </c>
      <c r="R665">
        <v>0</v>
      </c>
      <c r="S665">
        <v>0</v>
      </c>
      <c r="T665">
        <v>0</v>
      </c>
      <c r="U665">
        <f>SUM(Table1[[#This Row],[Store_Purchases]]+Table1[[#This Row],[Catalog_Purchases]]+Table1[[#This Row],[Web_Purchases]]+Table1[[#This Row],[Deal_Purchases]])</f>
        <v>15</v>
      </c>
      <c r="V665">
        <v>19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f>SUM(Table1[[#This Row],[Accepted_Campaign_2]]+Table1[[#This Row],[Accepted_Campaign_1]]+Table1[[#This Row],[Accepted_Campaign_5]]+Table1[[#This Row],[Accepted_Campaign_4]]+Table1[[#This Row],[Accepted_Campaign_3]])</f>
        <v>0</v>
      </c>
      <c r="AC665">
        <v>0</v>
      </c>
      <c r="AD665">
        <v>0</v>
      </c>
    </row>
    <row r="666" spans="1:30" x14ac:dyDescent="0.25">
      <c r="A666">
        <v>41802</v>
      </c>
      <c r="B666">
        <v>6679</v>
      </c>
      <c r="C666">
        <v>1966</v>
      </c>
      <c r="D666" t="s">
        <v>8</v>
      </c>
      <c r="E666" t="s">
        <v>6</v>
      </c>
      <c r="F666" t="s">
        <v>9</v>
      </c>
      <c r="G666">
        <v>33279</v>
      </c>
      <c r="H666">
        <v>0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f>SUM(Table1[[#This Row],[Gold Spending]]+Table1[[#This Row],[Sweet Spending]]+Table1[[#This Row],[Fish Spending]]+Table1[[#This Row],[Meat Spending]]+Table1[[#This Row],[Fruits Spending]]+Table1[[#This Row],[Wine Spending ]])</f>
        <v>16</v>
      </c>
      <c r="Q666">
        <v>1</v>
      </c>
      <c r="R666">
        <v>0</v>
      </c>
      <c r="S666">
        <v>0</v>
      </c>
      <c r="T666">
        <v>3</v>
      </c>
      <c r="U666">
        <f>SUM(Table1[[#This Row],[Store_Purchases]]+Table1[[#This Row],[Catalog_Purchases]]+Table1[[#This Row],[Web_Purchases]]+Table1[[#This Row],[Deal_Purchases]])</f>
        <v>4</v>
      </c>
      <c r="V666">
        <v>3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f>SUM(Table1[[#This Row],[Accepted_Campaign_2]]+Table1[[#This Row],[Accepted_Campaign_1]]+Table1[[#This Row],[Accepted_Campaign_5]]+Table1[[#This Row],[Accepted_Campaign_4]]+Table1[[#This Row],[Accepted_Campaign_3]])</f>
        <v>0</v>
      </c>
      <c r="AC666">
        <v>0</v>
      </c>
      <c r="AD666">
        <v>0</v>
      </c>
    </row>
    <row r="667" spans="1:30" x14ac:dyDescent="0.25">
      <c r="A667">
        <v>41797</v>
      </c>
      <c r="B667">
        <v>5961</v>
      </c>
      <c r="C667">
        <v>1978</v>
      </c>
      <c r="D667" t="s">
        <v>8</v>
      </c>
      <c r="E667" t="s">
        <v>6</v>
      </c>
      <c r="F667" t="s">
        <v>11</v>
      </c>
      <c r="G667">
        <v>42693</v>
      </c>
      <c r="H667">
        <v>1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667">
        <v>1</v>
      </c>
      <c r="R667">
        <v>1</v>
      </c>
      <c r="S667">
        <v>0</v>
      </c>
      <c r="T667">
        <v>3</v>
      </c>
      <c r="U667">
        <f>SUM(Table1[[#This Row],[Store_Purchases]]+Table1[[#This Row],[Catalog_Purchases]]+Table1[[#This Row],[Web_Purchases]]+Table1[[#This Row],[Deal_Purchases]])</f>
        <v>5</v>
      </c>
      <c r="V667">
        <v>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f>SUM(Table1[[#This Row],[Accepted_Campaign_2]]+Table1[[#This Row],[Accepted_Campaign_1]]+Table1[[#This Row],[Accepted_Campaign_5]]+Table1[[#This Row],[Accepted_Campaign_4]]+Table1[[#This Row],[Accepted_Campaign_3]])</f>
        <v>0</v>
      </c>
      <c r="AC667">
        <v>0</v>
      </c>
      <c r="AD667">
        <v>0</v>
      </c>
    </row>
    <row r="668" spans="1:30" x14ac:dyDescent="0.25">
      <c r="A668">
        <v>41793</v>
      </c>
      <c r="B668">
        <v>6255</v>
      </c>
      <c r="C668">
        <v>1952</v>
      </c>
      <c r="D668" t="s">
        <v>13</v>
      </c>
      <c r="E668" t="s">
        <v>18</v>
      </c>
      <c r="F668" t="s">
        <v>12</v>
      </c>
      <c r="G668">
        <v>70545</v>
      </c>
      <c r="H668">
        <v>1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f>SUM(Table1[[#This Row],[Gold Spending]]+Table1[[#This Row],[Sweet Spending]]+Table1[[#This Row],[Fish Spending]]+Table1[[#This Row],[Meat Spending]]+Table1[[#This Row],[Fruits Spending]]+Table1[[#This Row],[Wine Spending ]])</f>
        <v>334</v>
      </c>
      <c r="Q668">
        <v>1</v>
      </c>
      <c r="R668">
        <v>4</v>
      </c>
      <c r="S668">
        <v>1</v>
      </c>
      <c r="T668">
        <v>7</v>
      </c>
      <c r="U668">
        <f>SUM(Table1[[#This Row],[Store_Purchases]]+Table1[[#This Row],[Catalog_Purchases]]+Table1[[#This Row],[Web_Purchases]]+Table1[[#This Row],[Deal_Purchases]])</f>
        <v>13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f>SUM(Table1[[#This Row],[Accepted_Campaign_2]]+Table1[[#This Row],[Accepted_Campaign_1]]+Table1[[#This Row],[Accepted_Campaign_5]]+Table1[[#This Row],[Accepted_Campaign_4]]+Table1[[#This Row],[Accepted_Campaign_3]])</f>
        <v>0</v>
      </c>
      <c r="AC668">
        <v>0</v>
      </c>
      <c r="AD668">
        <v>0</v>
      </c>
    </row>
    <row r="669" spans="1:30" x14ac:dyDescent="0.25">
      <c r="A669">
        <v>41771</v>
      </c>
      <c r="B669">
        <v>8614</v>
      </c>
      <c r="C669">
        <v>1957</v>
      </c>
      <c r="D669" t="s">
        <v>13</v>
      </c>
      <c r="E669" t="s">
        <v>6</v>
      </c>
      <c r="F669" t="s">
        <v>19</v>
      </c>
      <c r="G669">
        <v>65486</v>
      </c>
      <c r="H669">
        <v>1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f>SUM(Table1[[#This Row],[Gold Spending]]+Table1[[#This Row],[Sweet Spending]]+Table1[[#This Row],[Fish Spending]]+Table1[[#This Row],[Meat Spending]]+Table1[[#This Row],[Fruits Spending]]+Table1[[#This Row],[Wine Spending ]])</f>
        <v>507</v>
      </c>
      <c r="Q669">
        <v>1</v>
      </c>
      <c r="R669">
        <v>4</v>
      </c>
      <c r="S669">
        <v>2</v>
      </c>
      <c r="T669">
        <v>10</v>
      </c>
      <c r="U669">
        <f>SUM(Table1[[#This Row],[Store_Purchases]]+Table1[[#This Row],[Catalog_Purchases]]+Table1[[#This Row],[Web_Purchases]]+Table1[[#This Row],[Deal_Purchases]])</f>
        <v>17</v>
      </c>
      <c r="V669">
        <v>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f>SUM(Table1[[#This Row],[Accepted_Campaign_2]]+Table1[[#This Row],[Accepted_Campaign_1]]+Table1[[#This Row],[Accepted_Campaign_5]]+Table1[[#This Row],[Accepted_Campaign_4]]+Table1[[#This Row],[Accepted_Campaign_3]])</f>
        <v>0</v>
      </c>
      <c r="AC669">
        <v>0</v>
      </c>
      <c r="AD669">
        <v>0</v>
      </c>
    </row>
    <row r="670" spans="1:30" x14ac:dyDescent="0.25">
      <c r="A670">
        <v>41759</v>
      </c>
      <c r="B670">
        <v>7828</v>
      </c>
      <c r="C670">
        <v>1981</v>
      </c>
      <c r="D670" t="s">
        <v>20</v>
      </c>
      <c r="E670" t="s">
        <v>18</v>
      </c>
      <c r="F670" t="s">
        <v>12</v>
      </c>
      <c r="G670">
        <v>77882</v>
      </c>
      <c r="H670">
        <v>0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f>SUM(Table1[[#This Row],[Gold Spending]]+Table1[[#This Row],[Sweet Spending]]+Table1[[#This Row],[Fish Spending]]+Table1[[#This Row],[Meat Spending]]+Table1[[#This Row],[Fruits Spending]]+Table1[[#This Row],[Wine Spending ]])</f>
        <v>818</v>
      </c>
      <c r="Q670">
        <v>1</v>
      </c>
      <c r="R670">
        <v>3</v>
      </c>
      <c r="S670">
        <v>3</v>
      </c>
      <c r="T670">
        <v>5</v>
      </c>
      <c r="U670">
        <f>SUM(Table1[[#This Row],[Store_Purchases]]+Table1[[#This Row],[Catalog_Purchases]]+Table1[[#This Row],[Web_Purchases]]+Table1[[#This Row],[Deal_Purchases]])</f>
        <v>12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f>SUM(Table1[[#This Row],[Accepted_Campaign_2]]+Table1[[#This Row],[Accepted_Campaign_1]]+Table1[[#This Row],[Accepted_Campaign_5]]+Table1[[#This Row],[Accepted_Campaign_4]]+Table1[[#This Row],[Accepted_Campaign_3]])</f>
        <v>0</v>
      </c>
      <c r="AC670">
        <v>0</v>
      </c>
      <c r="AD670">
        <v>0</v>
      </c>
    </row>
    <row r="671" spans="1:30" x14ac:dyDescent="0.25">
      <c r="A671">
        <v>41738</v>
      </c>
      <c r="B671">
        <v>1277</v>
      </c>
      <c r="C671">
        <v>1960</v>
      </c>
      <c r="D671" t="s">
        <v>63</v>
      </c>
      <c r="E671" t="s">
        <v>6</v>
      </c>
      <c r="F671" t="s">
        <v>12</v>
      </c>
      <c r="G671">
        <v>78468</v>
      </c>
      <c r="H671">
        <v>0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f>SUM(Table1[[#This Row],[Gold Spending]]+Table1[[#This Row],[Sweet Spending]]+Table1[[#This Row],[Fish Spending]]+Table1[[#This Row],[Meat Spending]]+Table1[[#This Row],[Fruits Spending]]+Table1[[#This Row],[Wine Spending ]])</f>
        <v>1004</v>
      </c>
      <c r="Q671">
        <v>1</v>
      </c>
      <c r="R671">
        <v>10</v>
      </c>
      <c r="S671">
        <v>7</v>
      </c>
      <c r="T671">
        <v>10</v>
      </c>
      <c r="U671">
        <f>SUM(Table1[[#This Row],[Store_Purchases]]+Table1[[#This Row],[Catalog_Purchases]]+Table1[[#This Row],[Web_Purchases]]+Table1[[#This Row],[Deal_Purchases]])</f>
        <v>28</v>
      </c>
      <c r="V671">
        <v>4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f>SUM(Table1[[#This Row],[Accepted_Campaign_2]]+Table1[[#This Row],[Accepted_Campaign_1]]+Table1[[#This Row],[Accepted_Campaign_5]]+Table1[[#This Row],[Accepted_Campaign_4]]+Table1[[#This Row],[Accepted_Campaign_3]])</f>
        <v>1</v>
      </c>
      <c r="AC671">
        <v>0</v>
      </c>
      <c r="AD671">
        <v>0</v>
      </c>
    </row>
    <row r="672" spans="1:30" x14ac:dyDescent="0.25">
      <c r="A672">
        <v>41698</v>
      </c>
      <c r="B672">
        <v>3595</v>
      </c>
      <c r="C672">
        <v>1963</v>
      </c>
      <c r="D672" t="s">
        <v>8</v>
      </c>
      <c r="E672" t="s">
        <v>6</v>
      </c>
      <c r="F672" t="s">
        <v>12</v>
      </c>
      <c r="G672">
        <v>77226</v>
      </c>
      <c r="H672">
        <v>1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f>SUM(Table1[[#This Row],[Gold Spending]]+Table1[[#This Row],[Sweet Spending]]+Table1[[#This Row],[Fish Spending]]+Table1[[#This Row],[Meat Spending]]+Table1[[#This Row],[Fruits Spending]]+Table1[[#This Row],[Wine Spending ]])</f>
        <v>1138</v>
      </c>
      <c r="Q672">
        <v>2</v>
      </c>
      <c r="R672">
        <v>6</v>
      </c>
      <c r="S672">
        <v>8</v>
      </c>
      <c r="T672">
        <v>12</v>
      </c>
      <c r="U672">
        <f>SUM(Table1[[#This Row],[Store_Purchases]]+Table1[[#This Row],[Catalog_Purchases]]+Table1[[#This Row],[Web_Purchases]]+Table1[[#This Row],[Deal_Purchases]])</f>
        <v>28</v>
      </c>
      <c r="V672">
        <v>3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f>SUM(Table1[[#This Row],[Accepted_Campaign_2]]+Table1[[#This Row],[Accepted_Campaign_1]]+Table1[[#This Row],[Accepted_Campaign_5]]+Table1[[#This Row],[Accepted_Campaign_4]]+Table1[[#This Row],[Accepted_Campaign_3]])</f>
        <v>0</v>
      </c>
      <c r="AC672">
        <v>0</v>
      </c>
      <c r="AD672">
        <v>0</v>
      </c>
    </row>
    <row r="673" spans="1:30" x14ac:dyDescent="0.25">
      <c r="A673">
        <v>41683</v>
      </c>
      <c r="B673">
        <v>5735</v>
      </c>
      <c r="C673">
        <v>1991</v>
      </c>
      <c r="D673" t="s">
        <v>8</v>
      </c>
      <c r="E673" t="s">
        <v>18</v>
      </c>
      <c r="F673" t="s">
        <v>9</v>
      </c>
      <c r="G673">
        <v>90638</v>
      </c>
      <c r="H673">
        <v>0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f>SUM(Table1[[#This Row],[Gold Spending]]+Table1[[#This Row],[Sweet Spending]]+Table1[[#This Row],[Fish Spending]]+Table1[[#This Row],[Meat Spending]]+Table1[[#This Row],[Fruits Spending]]+Table1[[#This Row],[Wine Spending ]])</f>
        <v>2525</v>
      </c>
      <c r="Q673">
        <v>1</v>
      </c>
      <c r="R673">
        <v>3</v>
      </c>
      <c r="S673">
        <v>4</v>
      </c>
      <c r="T673">
        <v>10</v>
      </c>
      <c r="U673">
        <f>SUM(Table1[[#This Row],[Store_Purchases]]+Table1[[#This Row],[Catalog_Purchases]]+Table1[[#This Row],[Web_Purchases]]+Table1[[#This Row],[Deal_Purchases]])</f>
        <v>18</v>
      </c>
      <c r="V673">
        <v>1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f>SUM(Table1[[#This Row],[Accepted_Campaign_2]]+Table1[[#This Row],[Accepted_Campaign_1]]+Table1[[#This Row],[Accepted_Campaign_5]]+Table1[[#This Row],[Accepted_Campaign_4]]+Table1[[#This Row],[Accepted_Campaign_3]])</f>
        <v>1</v>
      </c>
      <c r="AC673">
        <v>0</v>
      </c>
      <c r="AD673">
        <v>0</v>
      </c>
    </row>
    <row r="674" spans="1:30" x14ac:dyDescent="0.25">
      <c r="A674">
        <v>41683</v>
      </c>
      <c r="B674">
        <v>5350</v>
      </c>
      <c r="C674">
        <v>1991</v>
      </c>
      <c r="D674" t="s">
        <v>20</v>
      </c>
      <c r="E674" t="s">
        <v>18</v>
      </c>
      <c r="F674" t="s">
        <v>9</v>
      </c>
      <c r="G674">
        <v>90638</v>
      </c>
      <c r="H674">
        <v>0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f>SUM(Table1[[#This Row],[Gold Spending]]+Table1[[#This Row],[Sweet Spending]]+Table1[[#This Row],[Fish Spending]]+Table1[[#This Row],[Meat Spending]]+Table1[[#This Row],[Fruits Spending]]+Table1[[#This Row],[Wine Spending ]])</f>
        <v>2525</v>
      </c>
      <c r="Q674">
        <v>1</v>
      </c>
      <c r="R674">
        <v>3</v>
      </c>
      <c r="S674">
        <v>4</v>
      </c>
      <c r="T674">
        <v>10</v>
      </c>
      <c r="U674">
        <f>SUM(Table1[[#This Row],[Store_Purchases]]+Table1[[#This Row],[Catalog_Purchases]]+Table1[[#This Row],[Web_Purchases]]+Table1[[#This Row],[Deal_Purchases]])</f>
        <v>18</v>
      </c>
      <c r="V674">
        <v>1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f>SUM(Table1[[#This Row],[Accepted_Campaign_2]]+Table1[[#This Row],[Accepted_Campaign_1]]+Table1[[#This Row],[Accepted_Campaign_5]]+Table1[[#This Row],[Accepted_Campaign_4]]+Table1[[#This Row],[Accepted_Campaign_3]])</f>
        <v>1</v>
      </c>
      <c r="AC674">
        <v>1</v>
      </c>
      <c r="AD674">
        <v>0</v>
      </c>
    </row>
    <row r="675" spans="1:30" x14ac:dyDescent="0.25">
      <c r="A675">
        <v>41614</v>
      </c>
      <c r="B675">
        <v>4137</v>
      </c>
      <c r="C675">
        <v>1948</v>
      </c>
      <c r="D675" t="s">
        <v>13</v>
      </c>
      <c r="E675" t="s">
        <v>6</v>
      </c>
      <c r="F675" t="s">
        <v>12</v>
      </c>
      <c r="G675">
        <v>70666</v>
      </c>
      <c r="H675">
        <v>0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f>SUM(Table1[[#This Row],[Gold Spending]]+Table1[[#This Row],[Sweet Spending]]+Table1[[#This Row],[Fish Spending]]+Table1[[#This Row],[Meat Spending]]+Table1[[#This Row],[Fruits Spending]]+Table1[[#This Row],[Wine Spending ]])</f>
        <v>1076</v>
      </c>
      <c r="Q675">
        <v>1</v>
      </c>
      <c r="R675">
        <v>7</v>
      </c>
      <c r="S675">
        <v>4</v>
      </c>
      <c r="T675">
        <v>4</v>
      </c>
      <c r="U675">
        <f>SUM(Table1[[#This Row],[Store_Purchases]]+Table1[[#This Row],[Catalog_Purchases]]+Table1[[#This Row],[Web_Purchases]]+Table1[[#This Row],[Deal_Purchases]])</f>
        <v>16</v>
      </c>
      <c r="V675">
        <v>4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f>SUM(Table1[[#This Row],[Accepted_Campaign_2]]+Table1[[#This Row],[Accepted_Campaign_1]]+Table1[[#This Row],[Accepted_Campaign_5]]+Table1[[#This Row],[Accepted_Campaign_4]]+Table1[[#This Row],[Accepted_Campaign_3]])</f>
        <v>0</v>
      </c>
      <c r="AC675">
        <v>0</v>
      </c>
      <c r="AD675">
        <v>0</v>
      </c>
    </row>
    <row r="676" spans="1:30" x14ac:dyDescent="0.25">
      <c r="A676">
        <v>41595</v>
      </c>
      <c r="B676">
        <v>6357</v>
      </c>
      <c r="C676">
        <v>1959</v>
      </c>
      <c r="D676" t="s">
        <v>20</v>
      </c>
      <c r="E676" t="s">
        <v>15</v>
      </c>
      <c r="F676" t="s">
        <v>7</v>
      </c>
      <c r="G676">
        <v>59052</v>
      </c>
      <c r="H676">
        <v>1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f>SUM(Table1[[#This Row],[Gold Spending]]+Table1[[#This Row],[Sweet Spending]]+Table1[[#This Row],[Fish Spending]]+Table1[[#This Row],[Meat Spending]]+Table1[[#This Row],[Fruits Spending]]+Table1[[#This Row],[Wine Spending ]])</f>
        <v>491</v>
      </c>
      <c r="Q676">
        <v>3</v>
      </c>
      <c r="R676">
        <v>7</v>
      </c>
      <c r="S676">
        <v>1</v>
      </c>
      <c r="T676">
        <v>7</v>
      </c>
      <c r="U676">
        <f>SUM(Table1[[#This Row],[Store_Purchases]]+Table1[[#This Row],[Catalog_Purchases]]+Table1[[#This Row],[Web_Purchases]]+Table1[[#This Row],[Deal_Purchases]])</f>
        <v>18</v>
      </c>
      <c r="V676">
        <v>5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f>SUM(Table1[[#This Row],[Accepted_Campaign_2]]+Table1[[#This Row],[Accepted_Campaign_1]]+Table1[[#This Row],[Accepted_Campaign_5]]+Table1[[#This Row],[Accepted_Campaign_4]]+Table1[[#This Row],[Accepted_Campaign_3]])</f>
        <v>0</v>
      </c>
      <c r="AC676">
        <v>0</v>
      </c>
      <c r="AD676">
        <v>0</v>
      </c>
    </row>
    <row r="677" spans="1:30" x14ac:dyDescent="0.25">
      <c r="A677">
        <v>41580</v>
      </c>
      <c r="B677">
        <v>9316</v>
      </c>
      <c r="C677">
        <v>1952</v>
      </c>
      <c r="D677" t="s">
        <v>63</v>
      </c>
      <c r="E677" t="s">
        <v>21</v>
      </c>
      <c r="F677" t="s">
        <v>12</v>
      </c>
      <c r="G677">
        <v>13084</v>
      </c>
      <c r="H677">
        <v>0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f>SUM(Table1[[#This Row],[Gold Spending]]+Table1[[#This Row],[Sweet Spending]]+Table1[[#This Row],[Fish Spending]]+Table1[[#This Row],[Meat Spending]]+Table1[[#This Row],[Fruits Spending]]+Table1[[#This Row],[Wine Spending ]])</f>
        <v>29</v>
      </c>
      <c r="Q677">
        <v>1</v>
      </c>
      <c r="R677">
        <v>1</v>
      </c>
      <c r="S677">
        <v>0</v>
      </c>
      <c r="T677">
        <v>3</v>
      </c>
      <c r="U677">
        <f>SUM(Table1[[#This Row],[Store_Purchases]]+Table1[[#This Row],[Catalog_Purchases]]+Table1[[#This Row],[Web_Purchases]]+Table1[[#This Row],[Deal_Purchases]])</f>
        <v>5</v>
      </c>
      <c r="V677">
        <v>6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f>SUM(Table1[[#This Row],[Accepted_Campaign_2]]+Table1[[#This Row],[Accepted_Campaign_1]]+Table1[[#This Row],[Accepted_Campaign_5]]+Table1[[#This Row],[Accepted_Campaign_4]]+Table1[[#This Row],[Accepted_Campaign_3]])</f>
        <v>0</v>
      </c>
      <c r="AC677">
        <v>0</v>
      </c>
      <c r="AD677">
        <v>0</v>
      </c>
    </row>
    <row r="678" spans="1:30" x14ac:dyDescent="0.25">
      <c r="A678">
        <v>41567</v>
      </c>
      <c r="B678">
        <v>3578</v>
      </c>
      <c r="C678">
        <v>1949</v>
      </c>
      <c r="D678" t="s">
        <v>8</v>
      </c>
      <c r="E678" t="s">
        <v>6</v>
      </c>
      <c r="F678" t="s">
        <v>7</v>
      </c>
      <c r="G678">
        <v>49160</v>
      </c>
      <c r="H678">
        <v>1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f>SUM(Table1[[#This Row],[Gold Spending]]+Table1[[#This Row],[Sweet Spending]]+Table1[[#This Row],[Fish Spending]]+Table1[[#This Row],[Meat Spending]]+Table1[[#This Row],[Fruits Spending]]+Table1[[#This Row],[Wine Spending ]])</f>
        <v>236</v>
      </c>
      <c r="Q678">
        <v>2</v>
      </c>
      <c r="R678">
        <v>3</v>
      </c>
      <c r="S678">
        <v>1</v>
      </c>
      <c r="T678">
        <v>6</v>
      </c>
      <c r="U678">
        <f>SUM(Table1[[#This Row],[Store_Purchases]]+Table1[[#This Row],[Catalog_Purchases]]+Table1[[#This Row],[Web_Purchases]]+Table1[[#This Row],[Deal_Purchases]])</f>
        <v>12</v>
      </c>
      <c r="V678">
        <v>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f>SUM(Table1[[#This Row],[Accepted_Campaign_2]]+Table1[[#This Row],[Accepted_Campaign_1]]+Table1[[#This Row],[Accepted_Campaign_5]]+Table1[[#This Row],[Accepted_Campaign_4]]+Table1[[#This Row],[Accepted_Campaign_3]])</f>
        <v>0</v>
      </c>
      <c r="AC678">
        <v>0</v>
      </c>
      <c r="AD678">
        <v>0</v>
      </c>
    </row>
    <row r="679" spans="1:30" x14ac:dyDescent="0.25">
      <c r="A679">
        <v>41564</v>
      </c>
      <c r="B679">
        <v>153</v>
      </c>
      <c r="C679">
        <v>1953</v>
      </c>
      <c r="D679" t="s">
        <v>8</v>
      </c>
      <c r="E679" t="s">
        <v>6</v>
      </c>
      <c r="F679" t="s">
        <v>7</v>
      </c>
      <c r="G679">
        <v>23272</v>
      </c>
      <c r="H679">
        <v>0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679">
        <v>1</v>
      </c>
      <c r="R679">
        <v>1</v>
      </c>
      <c r="S679">
        <v>0</v>
      </c>
      <c r="T679">
        <v>3</v>
      </c>
      <c r="U679">
        <f>SUM(Table1[[#This Row],[Store_Purchases]]+Table1[[#This Row],[Catalog_Purchases]]+Table1[[#This Row],[Web_Purchases]]+Table1[[#This Row],[Deal_Purchases]])</f>
        <v>5</v>
      </c>
      <c r="V679">
        <v>4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f>SUM(Table1[[#This Row],[Accepted_Campaign_2]]+Table1[[#This Row],[Accepted_Campaign_1]]+Table1[[#This Row],[Accepted_Campaign_5]]+Table1[[#This Row],[Accepted_Campaign_4]]+Table1[[#This Row],[Accepted_Campaign_3]])</f>
        <v>0</v>
      </c>
      <c r="AC679">
        <v>0</v>
      </c>
      <c r="AD679">
        <v>0</v>
      </c>
    </row>
    <row r="680" spans="1:30" x14ac:dyDescent="0.25">
      <c r="A680">
        <v>41445</v>
      </c>
      <c r="B680">
        <v>10524</v>
      </c>
      <c r="C680">
        <v>1963</v>
      </c>
      <c r="D680" t="s">
        <v>10</v>
      </c>
      <c r="E680" t="s">
        <v>18</v>
      </c>
      <c r="F680" t="s">
        <v>7</v>
      </c>
      <c r="G680">
        <v>49476</v>
      </c>
      <c r="H680">
        <v>1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f>SUM(Table1[[#This Row],[Gold Spending]]+Table1[[#This Row],[Sweet Spending]]+Table1[[#This Row],[Fish Spending]]+Table1[[#This Row],[Meat Spending]]+Table1[[#This Row],[Fruits Spending]]+Table1[[#This Row],[Wine Spending ]])</f>
        <v>795</v>
      </c>
      <c r="Q680">
        <v>4</v>
      </c>
      <c r="R680">
        <v>2</v>
      </c>
      <c r="S680">
        <v>11</v>
      </c>
      <c r="T680">
        <v>5</v>
      </c>
      <c r="U680">
        <f>SUM(Table1[[#This Row],[Store_Purchases]]+Table1[[#This Row],[Catalog_Purchases]]+Table1[[#This Row],[Web_Purchases]]+Table1[[#This Row],[Deal_Purchases]])</f>
        <v>22</v>
      </c>
      <c r="V680">
        <v>2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f>SUM(Table1[[#This Row],[Accepted_Campaign_2]]+Table1[[#This Row],[Accepted_Campaign_1]]+Table1[[#This Row],[Accepted_Campaign_5]]+Table1[[#This Row],[Accepted_Campaign_4]]+Table1[[#This Row],[Accepted_Campaign_3]])</f>
        <v>0</v>
      </c>
      <c r="AC680">
        <v>0</v>
      </c>
      <c r="AD680">
        <v>0</v>
      </c>
    </row>
    <row r="681" spans="1:30" x14ac:dyDescent="0.25">
      <c r="A681">
        <v>41442</v>
      </c>
      <c r="B681">
        <v>1518</v>
      </c>
      <c r="C681">
        <v>1965</v>
      </c>
      <c r="D681" t="s">
        <v>8</v>
      </c>
      <c r="E681" t="s">
        <v>18</v>
      </c>
      <c r="F681" t="s">
        <v>11</v>
      </c>
      <c r="G681">
        <v>62694</v>
      </c>
      <c r="H681">
        <v>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f>SUM(Table1[[#This Row],[Gold Spending]]+Table1[[#This Row],[Sweet Spending]]+Table1[[#This Row],[Fish Spending]]+Table1[[#This Row],[Meat Spending]]+Table1[[#This Row],[Fruits Spending]]+Table1[[#This Row],[Wine Spending ]])</f>
        <v>749</v>
      </c>
      <c r="Q681">
        <v>5</v>
      </c>
      <c r="R681">
        <v>9</v>
      </c>
      <c r="S681">
        <v>3</v>
      </c>
      <c r="T681">
        <v>7</v>
      </c>
      <c r="U681">
        <f>SUM(Table1[[#This Row],[Store_Purchases]]+Table1[[#This Row],[Catalog_Purchases]]+Table1[[#This Row],[Web_Purchases]]+Table1[[#This Row],[Deal_Purchases]])</f>
        <v>24</v>
      </c>
      <c r="V681">
        <v>7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f>SUM(Table1[[#This Row],[Accepted_Campaign_2]]+Table1[[#This Row],[Accepted_Campaign_1]]+Table1[[#This Row],[Accepted_Campaign_5]]+Table1[[#This Row],[Accepted_Campaign_4]]+Table1[[#This Row],[Accepted_Campaign_3]])</f>
        <v>0</v>
      </c>
      <c r="AC681">
        <v>0</v>
      </c>
      <c r="AD681">
        <v>0</v>
      </c>
    </row>
    <row r="682" spans="1:30" x14ac:dyDescent="0.25">
      <c r="A682">
        <v>41436</v>
      </c>
      <c r="B682">
        <v>2036</v>
      </c>
      <c r="C682">
        <v>1973</v>
      </c>
      <c r="D682" t="s">
        <v>17</v>
      </c>
      <c r="E682" t="s">
        <v>14</v>
      </c>
      <c r="F682" t="s">
        <v>12</v>
      </c>
      <c r="G682">
        <v>57906</v>
      </c>
      <c r="H682">
        <v>1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f>SUM(Table1[[#This Row],[Gold Spending]]+Table1[[#This Row],[Sweet Spending]]+Table1[[#This Row],[Fish Spending]]+Table1[[#This Row],[Meat Spending]]+Table1[[#This Row],[Fruits Spending]]+Table1[[#This Row],[Wine Spending ]])</f>
        <v>401</v>
      </c>
      <c r="Q682">
        <v>3</v>
      </c>
      <c r="R682">
        <v>4</v>
      </c>
      <c r="S682">
        <v>2</v>
      </c>
      <c r="T682">
        <v>8</v>
      </c>
      <c r="U682">
        <f>SUM(Table1[[#This Row],[Store_Purchases]]+Table1[[#This Row],[Catalog_Purchases]]+Table1[[#This Row],[Web_Purchases]]+Table1[[#This Row],[Deal_Purchases]])</f>
        <v>17</v>
      </c>
      <c r="V682">
        <v>4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f>SUM(Table1[[#This Row],[Accepted_Campaign_2]]+Table1[[#This Row],[Accepted_Campaign_1]]+Table1[[#This Row],[Accepted_Campaign_5]]+Table1[[#This Row],[Accepted_Campaign_4]]+Table1[[#This Row],[Accepted_Campaign_3]])</f>
        <v>0</v>
      </c>
      <c r="AC682">
        <v>0</v>
      </c>
      <c r="AD682">
        <v>0</v>
      </c>
    </row>
    <row r="683" spans="1:30" x14ac:dyDescent="0.25">
      <c r="A683">
        <v>41402</v>
      </c>
      <c r="B683">
        <v>9495</v>
      </c>
      <c r="C683">
        <v>1982</v>
      </c>
      <c r="D683" t="s">
        <v>8</v>
      </c>
      <c r="E683" t="s">
        <v>6</v>
      </c>
      <c r="F683" t="s">
        <v>12</v>
      </c>
      <c r="G683">
        <v>71853</v>
      </c>
      <c r="H683">
        <v>0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f>SUM(Table1[[#This Row],[Gold Spending]]+Table1[[#This Row],[Sweet Spending]]+Table1[[#This Row],[Fish Spending]]+Table1[[#This Row],[Meat Spending]]+Table1[[#This Row],[Fruits Spending]]+Table1[[#This Row],[Wine Spending ]])</f>
        <v>1149</v>
      </c>
      <c r="Q683">
        <v>1</v>
      </c>
      <c r="R683">
        <v>2</v>
      </c>
      <c r="S683">
        <v>8</v>
      </c>
      <c r="T683">
        <v>6</v>
      </c>
      <c r="U683">
        <f>SUM(Table1[[#This Row],[Store_Purchases]]+Table1[[#This Row],[Catalog_Purchases]]+Table1[[#This Row],[Web_Purchases]]+Table1[[#This Row],[Deal_Purchases]])</f>
        <v>17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f>SUM(Table1[[#This Row],[Accepted_Campaign_2]]+Table1[[#This Row],[Accepted_Campaign_1]]+Table1[[#This Row],[Accepted_Campaign_5]]+Table1[[#This Row],[Accepted_Campaign_4]]+Table1[[#This Row],[Accepted_Campaign_3]])</f>
        <v>0</v>
      </c>
      <c r="AC683">
        <v>0</v>
      </c>
      <c r="AD683">
        <v>0</v>
      </c>
    </row>
    <row r="684" spans="1:30" x14ac:dyDescent="0.25">
      <c r="A684">
        <v>41402</v>
      </c>
      <c r="B684">
        <v>2631</v>
      </c>
      <c r="C684">
        <v>1982</v>
      </c>
      <c r="D684" t="s">
        <v>8</v>
      </c>
      <c r="E684" t="s">
        <v>6</v>
      </c>
      <c r="F684" t="s">
        <v>12</v>
      </c>
      <c r="G684">
        <v>71853</v>
      </c>
      <c r="H684">
        <v>0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f>SUM(Table1[[#This Row],[Gold Spending]]+Table1[[#This Row],[Sweet Spending]]+Table1[[#This Row],[Fish Spending]]+Table1[[#This Row],[Meat Spending]]+Table1[[#This Row],[Fruits Spending]]+Table1[[#This Row],[Wine Spending ]])</f>
        <v>1149</v>
      </c>
      <c r="Q684">
        <v>1</v>
      </c>
      <c r="R684">
        <v>2</v>
      </c>
      <c r="S684">
        <v>8</v>
      </c>
      <c r="T684">
        <v>6</v>
      </c>
      <c r="U684">
        <f>SUM(Table1[[#This Row],[Store_Purchases]]+Table1[[#This Row],[Catalog_Purchases]]+Table1[[#This Row],[Web_Purchases]]+Table1[[#This Row],[Deal_Purchases]])</f>
        <v>17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f>SUM(Table1[[#This Row],[Accepted_Campaign_2]]+Table1[[#This Row],[Accepted_Campaign_1]]+Table1[[#This Row],[Accepted_Campaign_5]]+Table1[[#This Row],[Accepted_Campaign_4]]+Table1[[#This Row],[Accepted_Campaign_3]])</f>
        <v>0</v>
      </c>
      <c r="AC684">
        <v>0</v>
      </c>
      <c r="AD684">
        <v>0</v>
      </c>
    </row>
    <row r="685" spans="1:30" x14ac:dyDescent="0.25">
      <c r="A685">
        <v>41350</v>
      </c>
      <c r="B685">
        <v>6312</v>
      </c>
      <c r="C685">
        <v>1959</v>
      </c>
      <c r="D685" t="s">
        <v>16</v>
      </c>
      <c r="E685" t="s">
        <v>6</v>
      </c>
      <c r="F685" t="s">
        <v>11</v>
      </c>
      <c r="G685">
        <v>65031</v>
      </c>
      <c r="H685">
        <v>1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f>SUM(Table1[[#This Row],[Gold Spending]]+Table1[[#This Row],[Sweet Spending]]+Table1[[#This Row],[Fish Spending]]+Table1[[#This Row],[Meat Spending]]+Table1[[#This Row],[Fruits Spending]]+Table1[[#This Row],[Wine Spending ]])</f>
        <v>863</v>
      </c>
      <c r="Q685">
        <v>4</v>
      </c>
      <c r="R685">
        <v>10</v>
      </c>
      <c r="S685">
        <v>3</v>
      </c>
      <c r="T685">
        <v>13</v>
      </c>
      <c r="U685">
        <f>SUM(Table1[[#This Row],[Store_Purchases]]+Table1[[#This Row],[Catalog_Purchases]]+Table1[[#This Row],[Web_Purchases]]+Table1[[#This Row],[Deal_Purchases]])</f>
        <v>30</v>
      </c>
      <c r="V685">
        <v>7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f>SUM(Table1[[#This Row],[Accepted_Campaign_2]]+Table1[[#This Row],[Accepted_Campaign_1]]+Table1[[#This Row],[Accepted_Campaign_5]]+Table1[[#This Row],[Accepted_Campaign_4]]+Table1[[#This Row],[Accepted_Campaign_3]])</f>
        <v>0</v>
      </c>
      <c r="AC685">
        <v>0</v>
      </c>
      <c r="AD685">
        <v>0</v>
      </c>
    </row>
    <row r="686" spans="1:30" x14ac:dyDescent="0.25">
      <c r="A686">
        <v>41344</v>
      </c>
      <c r="B686">
        <v>615</v>
      </c>
      <c r="C686">
        <v>1960</v>
      </c>
      <c r="D686" t="s">
        <v>8</v>
      </c>
      <c r="E686" t="s">
        <v>6</v>
      </c>
      <c r="F686" t="s">
        <v>12</v>
      </c>
      <c r="G686">
        <v>30507</v>
      </c>
      <c r="H686">
        <v>0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f>SUM(Table1[[#This Row],[Gold Spending]]+Table1[[#This Row],[Sweet Spending]]+Table1[[#This Row],[Fish Spending]]+Table1[[#This Row],[Meat Spending]]+Table1[[#This Row],[Fruits Spending]]+Table1[[#This Row],[Wine Spending ]])</f>
        <v>343</v>
      </c>
      <c r="Q686">
        <v>1</v>
      </c>
      <c r="R686">
        <v>5</v>
      </c>
      <c r="S686">
        <v>1</v>
      </c>
      <c r="T686">
        <v>4</v>
      </c>
      <c r="U686">
        <f>SUM(Table1[[#This Row],[Store_Purchases]]+Table1[[#This Row],[Catalog_Purchases]]+Table1[[#This Row],[Web_Purchases]]+Table1[[#This Row],[Deal_Purchases]])</f>
        <v>11</v>
      </c>
      <c r="V686">
        <v>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f>SUM(Table1[[#This Row],[Accepted_Campaign_2]]+Table1[[#This Row],[Accepted_Campaign_1]]+Table1[[#This Row],[Accepted_Campaign_5]]+Table1[[#This Row],[Accepted_Campaign_4]]+Table1[[#This Row],[Accepted_Campaign_3]])</f>
        <v>0</v>
      </c>
      <c r="AC686">
        <v>0</v>
      </c>
      <c r="AD686">
        <v>0</v>
      </c>
    </row>
    <row r="687" spans="1:30" x14ac:dyDescent="0.25">
      <c r="A687">
        <v>41290</v>
      </c>
      <c r="B687">
        <v>4406</v>
      </c>
      <c r="C687">
        <v>1970</v>
      </c>
      <c r="D687" t="s">
        <v>10</v>
      </c>
      <c r="E687" t="s">
        <v>6</v>
      </c>
      <c r="F687" t="s">
        <v>12</v>
      </c>
      <c r="G687">
        <v>67419</v>
      </c>
      <c r="H687">
        <v>1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f>SUM(Table1[[#This Row],[Gold Spending]]+Table1[[#This Row],[Sweet Spending]]+Table1[[#This Row],[Fish Spending]]+Table1[[#This Row],[Meat Spending]]+Table1[[#This Row],[Fruits Spending]]+Table1[[#This Row],[Wine Spending ]])</f>
        <v>1471</v>
      </c>
      <c r="Q687">
        <v>4</v>
      </c>
      <c r="R687">
        <v>9</v>
      </c>
      <c r="S687">
        <v>4</v>
      </c>
      <c r="T687">
        <v>8</v>
      </c>
      <c r="U687">
        <f>SUM(Table1[[#This Row],[Store_Purchases]]+Table1[[#This Row],[Catalog_Purchases]]+Table1[[#This Row],[Web_Purchases]]+Table1[[#This Row],[Deal_Purchases]])</f>
        <v>25</v>
      </c>
      <c r="V687">
        <v>5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f>SUM(Table1[[#This Row],[Accepted_Campaign_2]]+Table1[[#This Row],[Accepted_Campaign_1]]+Table1[[#This Row],[Accepted_Campaign_5]]+Table1[[#This Row],[Accepted_Campaign_4]]+Table1[[#This Row],[Accepted_Campaign_3]])</f>
        <v>0</v>
      </c>
      <c r="AC687">
        <v>0</v>
      </c>
      <c r="AD687">
        <v>0</v>
      </c>
    </row>
    <row r="688" spans="1:30" x14ac:dyDescent="0.25">
      <c r="A688">
        <v>41279</v>
      </c>
      <c r="B688">
        <v>10061</v>
      </c>
      <c r="C688">
        <v>1950</v>
      </c>
      <c r="D688" t="s">
        <v>63</v>
      </c>
      <c r="E688" t="s">
        <v>6</v>
      </c>
      <c r="F688" t="s">
        <v>11</v>
      </c>
      <c r="G688">
        <v>59462</v>
      </c>
      <c r="H688">
        <v>1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f>SUM(Table1[[#This Row],[Gold Spending]]+Table1[[#This Row],[Sweet Spending]]+Table1[[#This Row],[Fish Spending]]+Table1[[#This Row],[Meat Spending]]+Table1[[#This Row],[Fruits Spending]]+Table1[[#This Row],[Wine Spending ]])</f>
        <v>1088</v>
      </c>
      <c r="Q688">
        <v>2</v>
      </c>
      <c r="R688">
        <v>9</v>
      </c>
      <c r="S688">
        <v>2</v>
      </c>
      <c r="T688">
        <v>12</v>
      </c>
      <c r="U688">
        <f>SUM(Table1[[#This Row],[Store_Purchases]]+Table1[[#This Row],[Catalog_Purchases]]+Table1[[#This Row],[Web_Purchases]]+Table1[[#This Row],[Deal_Purchases]])</f>
        <v>25</v>
      </c>
      <c r="V688">
        <v>7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f>SUM(Table1[[#This Row],[Accepted_Campaign_2]]+Table1[[#This Row],[Accepted_Campaign_1]]+Table1[[#This Row],[Accepted_Campaign_5]]+Table1[[#This Row],[Accepted_Campaign_4]]+Table1[[#This Row],[Accepted_Campaign_3]])</f>
        <v>0</v>
      </c>
      <c r="AC688">
        <v>0</v>
      </c>
      <c r="AD688">
        <v>0</v>
      </c>
    </row>
    <row r="689" spans="1:30" x14ac:dyDescent="0.25">
      <c r="A689">
        <v>41246</v>
      </c>
      <c r="B689">
        <v>10619</v>
      </c>
      <c r="C689">
        <v>1994</v>
      </c>
      <c r="D689" t="s">
        <v>20</v>
      </c>
      <c r="E689" t="s">
        <v>6</v>
      </c>
      <c r="F689" t="s">
        <v>9</v>
      </c>
      <c r="G689">
        <v>95529</v>
      </c>
      <c r="H689">
        <v>0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f>SUM(Table1[[#This Row],[Gold Spending]]+Table1[[#This Row],[Sweet Spending]]+Table1[[#This Row],[Fish Spending]]+Table1[[#This Row],[Meat Spending]]+Table1[[#This Row],[Fruits Spending]]+Table1[[#This Row],[Wine Spending ]])</f>
        <v>1990</v>
      </c>
      <c r="Q689">
        <v>1</v>
      </c>
      <c r="R689">
        <v>7</v>
      </c>
      <c r="S689">
        <v>3</v>
      </c>
      <c r="T689">
        <v>7</v>
      </c>
      <c r="U689">
        <f>SUM(Table1[[#This Row],[Store_Purchases]]+Table1[[#This Row],[Catalog_Purchases]]+Table1[[#This Row],[Web_Purchases]]+Table1[[#This Row],[Deal_Purchases]])</f>
        <v>18</v>
      </c>
      <c r="V689">
        <v>3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f>SUM(Table1[[#This Row],[Accepted_Campaign_2]]+Table1[[#This Row],[Accepted_Campaign_1]]+Table1[[#This Row],[Accepted_Campaign_5]]+Table1[[#This Row],[Accepted_Campaign_4]]+Table1[[#This Row],[Accepted_Campaign_3]])</f>
        <v>1</v>
      </c>
      <c r="AC689">
        <v>1</v>
      </c>
      <c r="AD689">
        <v>0</v>
      </c>
    </row>
    <row r="690" spans="1:30" x14ac:dyDescent="0.25">
      <c r="A690">
        <v>41220</v>
      </c>
      <c r="B690">
        <v>4945</v>
      </c>
      <c r="C690">
        <v>1953</v>
      </c>
      <c r="D690" t="s">
        <v>8</v>
      </c>
      <c r="E690" t="s">
        <v>6</v>
      </c>
      <c r="F690" t="s">
        <v>19</v>
      </c>
      <c r="G690">
        <v>53653</v>
      </c>
      <c r="H690">
        <v>0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f>SUM(Table1[[#This Row],[Gold Spending]]+Table1[[#This Row],[Sweet Spending]]+Table1[[#This Row],[Fish Spending]]+Table1[[#This Row],[Meat Spending]]+Table1[[#This Row],[Fruits Spending]]+Table1[[#This Row],[Wine Spending ]])</f>
        <v>1210</v>
      </c>
      <c r="Q690">
        <v>2</v>
      </c>
      <c r="R690">
        <v>10</v>
      </c>
      <c r="S690">
        <v>4</v>
      </c>
      <c r="T690">
        <v>12</v>
      </c>
      <c r="U690">
        <f>SUM(Table1[[#This Row],[Store_Purchases]]+Table1[[#This Row],[Catalog_Purchases]]+Table1[[#This Row],[Web_Purchases]]+Table1[[#This Row],[Deal_Purchases]])</f>
        <v>28</v>
      </c>
      <c r="V690">
        <v>6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f>SUM(Table1[[#This Row],[Accepted_Campaign_2]]+Table1[[#This Row],[Accepted_Campaign_1]]+Table1[[#This Row],[Accepted_Campaign_5]]+Table1[[#This Row],[Accepted_Campaign_4]]+Table1[[#This Row],[Accepted_Campaign_3]])</f>
        <v>0</v>
      </c>
      <c r="AC690">
        <v>0</v>
      </c>
      <c r="AD690">
        <v>0</v>
      </c>
    </row>
    <row r="691" spans="1:30" x14ac:dyDescent="0.25">
      <c r="A691">
        <v>41159</v>
      </c>
      <c r="B691">
        <v>1777</v>
      </c>
      <c r="C691">
        <v>1980</v>
      </c>
      <c r="D691" t="s">
        <v>8</v>
      </c>
      <c r="E691" t="s">
        <v>21</v>
      </c>
      <c r="F691" t="s">
        <v>11</v>
      </c>
      <c r="G691">
        <v>25965</v>
      </c>
      <c r="H691">
        <v>0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f>SUM(Table1[[#This Row],[Gold Spending]]+Table1[[#This Row],[Sweet Spending]]+Table1[[#This Row],[Fish Spending]]+Table1[[#This Row],[Meat Spending]]+Table1[[#This Row],[Fruits Spending]]+Table1[[#This Row],[Wine Spending ]])</f>
        <v>74</v>
      </c>
      <c r="Q691">
        <v>1</v>
      </c>
      <c r="R691">
        <v>2</v>
      </c>
      <c r="S691">
        <v>0</v>
      </c>
      <c r="T691">
        <v>3</v>
      </c>
      <c r="U691">
        <f>SUM(Table1[[#This Row],[Store_Purchases]]+Table1[[#This Row],[Catalog_Purchases]]+Table1[[#This Row],[Web_Purchases]]+Table1[[#This Row],[Deal_Purchases]])</f>
        <v>6</v>
      </c>
      <c r="V691">
        <v>8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f>SUM(Table1[[#This Row],[Accepted_Campaign_2]]+Table1[[#This Row],[Accepted_Campaign_1]]+Table1[[#This Row],[Accepted_Campaign_5]]+Table1[[#This Row],[Accepted_Campaign_4]]+Table1[[#This Row],[Accepted_Campaign_3]])</f>
        <v>0</v>
      </c>
      <c r="AC691">
        <v>0</v>
      </c>
      <c r="AD691">
        <v>0</v>
      </c>
    </row>
    <row r="692" spans="1:30" x14ac:dyDescent="0.25">
      <c r="A692">
        <v>41158</v>
      </c>
      <c r="B692">
        <v>4023</v>
      </c>
      <c r="C692">
        <v>1970</v>
      </c>
      <c r="D692" t="s">
        <v>8</v>
      </c>
      <c r="E692" t="s">
        <v>6</v>
      </c>
      <c r="F692" t="s">
        <v>11</v>
      </c>
      <c r="G692">
        <v>22979</v>
      </c>
      <c r="H692">
        <v>1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f>SUM(Table1[[#This Row],[Gold Spending]]+Table1[[#This Row],[Sweet Spending]]+Table1[[#This Row],[Fish Spending]]+Table1[[#This Row],[Meat Spending]]+Table1[[#This Row],[Fruits Spending]]+Table1[[#This Row],[Wine Spending ]])</f>
        <v>115</v>
      </c>
      <c r="Q692">
        <v>3</v>
      </c>
      <c r="R692">
        <v>3</v>
      </c>
      <c r="S692">
        <v>2</v>
      </c>
      <c r="T692">
        <v>2</v>
      </c>
      <c r="U692">
        <f>SUM(Table1[[#This Row],[Store_Purchases]]+Table1[[#This Row],[Catalog_Purchases]]+Table1[[#This Row],[Web_Purchases]]+Table1[[#This Row],[Deal_Purchases]])</f>
        <v>10</v>
      </c>
      <c r="V692">
        <v>8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f>SUM(Table1[[#This Row],[Accepted_Campaign_2]]+Table1[[#This Row],[Accepted_Campaign_1]]+Table1[[#This Row],[Accepted_Campaign_5]]+Table1[[#This Row],[Accepted_Campaign_4]]+Table1[[#This Row],[Accepted_Campaign_3]])</f>
        <v>0</v>
      </c>
      <c r="AC692">
        <v>1</v>
      </c>
      <c r="AD692">
        <v>0</v>
      </c>
    </row>
    <row r="693" spans="1:30" x14ac:dyDescent="0.25">
      <c r="A693">
        <v>41133</v>
      </c>
      <c r="B693">
        <v>7922</v>
      </c>
      <c r="C693">
        <v>1951</v>
      </c>
      <c r="D693" t="s">
        <v>20</v>
      </c>
      <c r="E693" t="s">
        <v>14</v>
      </c>
      <c r="F693" t="s">
        <v>9</v>
      </c>
      <c r="G693">
        <v>64950</v>
      </c>
      <c r="H693">
        <v>1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f>SUM(Table1[[#This Row],[Gold Spending]]+Table1[[#This Row],[Sweet Spending]]+Table1[[#This Row],[Fish Spending]]+Table1[[#This Row],[Meat Spending]]+Table1[[#This Row],[Fruits Spending]]+Table1[[#This Row],[Wine Spending ]])</f>
        <v>966</v>
      </c>
      <c r="Q693">
        <v>2</v>
      </c>
      <c r="R693">
        <v>11</v>
      </c>
      <c r="S693">
        <v>2</v>
      </c>
      <c r="T693">
        <v>10</v>
      </c>
      <c r="U693">
        <f>SUM(Table1[[#This Row],[Store_Purchases]]+Table1[[#This Row],[Catalog_Purchases]]+Table1[[#This Row],[Web_Purchases]]+Table1[[#This Row],[Deal_Purchases]])</f>
        <v>25</v>
      </c>
      <c r="V693">
        <v>7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f>SUM(Table1[[#This Row],[Accepted_Campaign_2]]+Table1[[#This Row],[Accepted_Campaign_1]]+Table1[[#This Row],[Accepted_Campaign_5]]+Table1[[#This Row],[Accepted_Campaign_4]]+Table1[[#This Row],[Accepted_Campaign_3]])</f>
        <v>1</v>
      </c>
      <c r="AC693">
        <v>0</v>
      </c>
      <c r="AD693">
        <v>0</v>
      </c>
    </row>
    <row r="694" spans="1:30" x14ac:dyDescent="0.25">
      <c r="A694">
        <v>41806</v>
      </c>
      <c r="B694">
        <v>10699</v>
      </c>
      <c r="C694">
        <v>1985</v>
      </c>
      <c r="D694" t="s">
        <v>20</v>
      </c>
      <c r="E694" t="s">
        <v>6</v>
      </c>
      <c r="F694" t="s">
        <v>11</v>
      </c>
      <c r="G694">
        <v>44322</v>
      </c>
      <c r="H694">
        <v>1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f>SUM(Table1[[#This Row],[Gold Spending]]+Table1[[#This Row],[Sweet Spending]]+Table1[[#This Row],[Fish Spending]]+Table1[[#This Row],[Meat Spending]]+Table1[[#This Row],[Fruits Spending]]+Table1[[#This Row],[Wine Spending ]])</f>
        <v>92</v>
      </c>
      <c r="Q694">
        <v>2</v>
      </c>
      <c r="R694">
        <v>3</v>
      </c>
      <c r="S694">
        <v>0</v>
      </c>
      <c r="T694">
        <v>3</v>
      </c>
      <c r="U694">
        <f>SUM(Table1[[#This Row],[Store_Purchases]]+Table1[[#This Row],[Catalog_Purchases]]+Table1[[#This Row],[Web_Purchases]]+Table1[[#This Row],[Deal_Purchases]])</f>
        <v>8</v>
      </c>
      <c r="V694">
        <v>8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f>SUM(Table1[[#This Row],[Accepted_Campaign_2]]+Table1[[#This Row],[Accepted_Campaign_1]]+Table1[[#This Row],[Accepted_Campaign_5]]+Table1[[#This Row],[Accepted_Campaign_4]]+Table1[[#This Row],[Accepted_Campaign_3]])</f>
        <v>0</v>
      </c>
      <c r="AC694">
        <v>0</v>
      </c>
      <c r="AD694">
        <v>0</v>
      </c>
    </row>
    <row r="695" spans="1:30" x14ac:dyDescent="0.25">
      <c r="A695">
        <v>41781</v>
      </c>
      <c r="B695">
        <v>7516</v>
      </c>
      <c r="C695">
        <v>1983</v>
      </c>
      <c r="D695" t="s">
        <v>16</v>
      </c>
      <c r="E695" t="s">
        <v>6</v>
      </c>
      <c r="F695" t="s">
        <v>11</v>
      </c>
      <c r="G695">
        <v>30096</v>
      </c>
      <c r="H695">
        <v>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f>SUM(Table1[[#This Row],[Gold Spending]]+Table1[[#This Row],[Sweet Spending]]+Table1[[#This Row],[Fish Spending]]+Table1[[#This Row],[Meat Spending]]+Table1[[#This Row],[Fruits Spending]]+Table1[[#This Row],[Wine Spending ]])</f>
        <v>45</v>
      </c>
      <c r="Q695">
        <v>1</v>
      </c>
      <c r="R695">
        <v>2</v>
      </c>
      <c r="S695">
        <v>0</v>
      </c>
      <c r="T695">
        <v>3</v>
      </c>
      <c r="U695">
        <f>SUM(Table1[[#This Row],[Store_Purchases]]+Table1[[#This Row],[Catalog_Purchases]]+Table1[[#This Row],[Web_Purchases]]+Table1[[#This Row],[Deal_Purchases]])</f>
        <v>6</v>
      </c>
      <c r="V695">
        <v>6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f>SUM(Table1[[#This Row],[Accepted_Campaign_2]]+Table1[[#This Row],[Accepted_Campaign_1]]+Table1[[#This Row],[Accepted_Campaign_5]]+Table1[[#This Row],[Accepted_Campaign_4]]+Table1[[#This Row],[Accepted_Campaign_3]])</f>
        <v>0</v>
      </c>
      <c r="AC695">
        <v>0</v>
      </c>
      <c r="AD695">
        <v>0</v>
      </c>
    </row>
    <row r="696" spans="1:30" x14ac:dyDescent="0.25">
      <c r="A696">
        <v>41781</v>
      </c>
      <c r="B696">
        <v>3129</v>
      </c>
      <c r="C696">
        <v>1983</v>
      </c>
      <c r="D696" t="s">
        <v>8</v>
      </c>
      <c r="E696" t="s">
        <v>6</v>
      </c>
      <c r="F696" t="s">
        <v>11</v>
      </c>
      <c r="G696">
        <v>30096</v>
      </c>
      <c r="H696">
        <v>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f>SUM(Table1[[#This Row],[Gold Spending]]+Table1[[#This Row],[Sweet Spending]]+Table1[[#This Row],[Fish Spending]]+Table1[[#This Row],[Meat Spending]]+Table1[[#This Row],[Fruits Spending]]+Table1[[#This Row],[Wine Spending ]])</f>
        <v>45</v>
      </c>
      <c r="Q696">
        <v>1</v>
      </c>
      <c r="R696">
        <v>2</v>
      </c>
      <c r="S696">
        <v>0</v>
      </c>
      <c r="T696">
        <v>3</v>
      </c>
      <c r="U696">
        <f>SUM(Table1[[#This Row],[Store_Purchases]]+Table1[[#This Row],[Catalog_Purchases]]+Table1[[#This Row],[Web_Purchases]]+Table1[[#This Row],[Deal_Purchases]])</f>
        <v>6</v>
      </c>
      <c r="V696">
        <v>6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f>SUM(Table1[[#This Row],[Accepted_Campaign_2]]+Table1[[#This Row],[Accepted_Campaign_1]]+Table1[[#This Row],[Accepted_Campaign_5]]+Table1[[#This Row],[Accepted_Campaign_4]]+Table1[[#This Row],[Accepted_Campaign_3]])</f>
        <v>0</v>
      </c>
      <c r="AC696">
        <v>0</v>
      </c>
      <c r="AD696">
        <v>0</v>
      </c>
    </row>
    <row r="697" spans="1:30" x14ac:dyDescent="0.25">
      <c r="A697">
        <v>41719</v>
      </c>
      <c r="B697">
        <v>5121</v>
      </c>
      <c r="C697">
        <v>1977</v>
      </c>
      <c r="D697" t="s">
        <v>10</v>
      </c>
      <c r="E697" t="s">
        <v>6</v>
      </c>
      <c r="F697" t="s">
        <v>9</v>
      </c>
      <c r="G697">
        <v>56628</v>
      </c>
      <c r="H697">
        <v>1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f>SUM(Table1[[#This Row],[Gold Spending]]+Table1[[#This Row],[Sweet Spending]]+Table1[[#This Row],[Fish Spending]]+Table1[[#This Row],[Meat Spending]]+Table1[[#This Row],[Fruits Spending]]+Table1[[#This Row],[Wine Spending ]])</f>
        <v>761</v>
      </c>
      <c r="Q697">
        <v>2</v>
      </c>
      <c r="R697">
        <v>7</v>
      </c>
      <c r="S697">
        <v>6</v>
      </c>
      <c r="T697">
        <v>5</v>
      </c>
      <c r="U697">
        <f>SUM(Table1[[#This Row],[Store_Purchases]]+Table1[[#This Row],[Catalog_Purchases]]+Table1[[#This Row],[Web_Purchases]]+Table1[[#This Row],[Deal_Purchases]])</f>
        <v>20</v>
      </c>
      <c r="V697">
        <v>5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f>SUM(Table1[[#This Row],[Accepted_Campaign_2]]+Table1[[#This Row],[Accepted_Campaign_1]]+Table1[[#This Row],[Accepted_Campaign_5]]+Table1[[#This Row],[Accepted_Campaign_4]]+Table1[[#This Row],[Accepted_Campaign_3]])</f>
        <v>1</v>
      </c>
      <c r="AC697">
        <v>0</v>
      </c>
      <c r="AD697">
        <v>0</v>
      </c>
    </row>
    <row r="698" spans="1:30" x14ac:dyDescent="0.25">
      <c r="A698">
        <v>41708</v>
      </c>
      <c r="B698">
        <v>2186</v>
      </c>
      <c r="C698">
        <v>1977</v>
      </c>
      <c r="D698" t="s">
        <v>8</v>
      </c>
      <c r="E698" t="s">
        <v>15</v>
      </c>
      <c r="F698" t="s">
        <v>12</v>
      </c>
      <c r="G698">
        <v>82326</v>
      </c>
      <c r="H698">
        <v>0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f>SUM(Table1[[#This Row],[Gold Spending]]+Table1[[#This Row],[Sweet Spending]]+Table1[[#This Row],[Fish Spending]]+Table1[[#This Row],[Meat Spending]]+Table1[[#This Row],[Fruits Spending]]+Table1[[#This Row],[Wine Spending ]])</f>
        <v>2257</v>
      </c>
      <c r="Q698">
        <v>1</v>
      </c>
      <c r="R698">
        <v>5</v>
      </c>
      <c r="S698">
        <v>10</v>
      </c>
      <c r="T698">
        <v>6</v>
      </c>
      <c r="U698">
        <f>SUM(Table1[[#This Row],[Store_Purchases]]+Table1[[#This Row],[Catalog_Purchases]]+Table1[[#This Row],[Web_Purchases]]+Table1[[#This Row],[Deal_Purchases]])</f>
        <v>22</v>
      </c>
      <c r="V698">
        <v>2</v>
      </c>
      <c r="W698">
        <v>0</v>
      </c>
      <c r="X698">
        <v>1</v>
      </c>
      <c r="Y698">
        <v>1</v>
      </c>
      <c r="Z698">
        <v>1</v>
      </c>
      <c r="AA698">
        <v>0</v>
      </c>
      <c r="AB698">
        <f>SUM(Table1[[#This Row],[Accepted_Campaign_2]]+Table1[[#This Row],[Accepted_Campaign_1]]+Table1[[#This Row],[Accepted_Campaign_5]]+Table1[[#This Row],[Accepted_Campaign_4]]+Table1[[#This Row],[Accepted_Campaign_3]])</f>
        <v>3</v>
      </c>
      <c r="AC698">
        <v>1</v>
      </c>
      <c r="AD698">
        <v>0</v>
      </c>
    </row>
    <row r="699" spans="1:30" x14ac:dyDescent="0.25">
      <c r="A699">
        <v>41707</v>
      </c>
      <c r="B699">
        <v>10548</v>
      </c>
      <c r="C699">
        <v>1995</v>
      </c>
      <c r="D699" t="s">
        <v>16</v>
      </c>
      <c r="E699" t="s">
        <v>6</v>
      </c>
      <c r="F699" t="s">
        <v>9</v>
      </c>
      <c r="G699">
        <v>71163</v>
      </c>
      <c r="H699">
        <v>0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f>SUM(Table1[[#This Row],[Gold Spending]]+Table1[[#This Row],[Sweet Spending]]+Table1[[#This Row],[Fish Spending]]+Table1[[#This Row],[Meat Spending]]+Table1[[#This Row],[Fruits Spending]]+Table1[[#This Row],[Wine Spending ]])</f>
        <v>960</v>
      </c>
      <c r="Q699">
        <v>1</v>
      </c>
      <c r="R699">
        <v>3</v>
      </c>
      <c r="S699">
        <v>8</v>
      </c>
      <c r="T699">
        <v>12</v>
      </c>
      <c r="U699">
        <f>SUM(Table1[[#This Row],[Store_Purchases]]+Table1[[#This Row],[Catalog_Purchases]]+Table1[[#This Row],[Web_Purchases]]+Table1[[#This Row],[Deal_Purchases]])</f>
        <v>24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f>SUM(Table1[[#This Row],[Accepted_Campaign_2]]+Table1[[#This Row],[Accepted_Campaign_1]]+Table1[[#This Row],[Accepted_Campaign_5]]+Table1[[#This Row],[Accepted_Campaign_4]]+Table1[[#This Row],[Accepted_Campaign_3]])</f>
        <v>0</v>
      </c>
      <c r="AC699">
        <v>0</v>
      </c>
      <c r="AD699">
        <v>0</v>
      </c>
    </row>
    <row r="700" spans="1:30" x14ac:dyDescent="0.25">
      <c r="A700">
        <v>41681</v>
      </c>
      <c r="B700">
        <v>6384</v>
      </c>
      <c r="C700">
        <v>1978</v>
      </c>
      <c r="D700" t="s">
        <v>63</v>
      </c>
      <c r="E700" t="s">
        <v>6</v>
      </c>
      <c r="F700" t="s">
        <v>7</v>
      </c>
      <c r="G700">
        <v>71022</v>
      </c>
      <c r="H700">
        <v>1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f>SUM(Table1[[#This Row],[Gold Spending]]+Table1[[#This Row],[Sweet Spending]]+Table1[[#This Row],[Fish Spending]]+Table1[[#This Row],[Meat Spending]]+Table1[[#This Row],[Fruits Spending]]+Table1[[#This Row],[Wine Spending ]])</f>
        <v>1453</v>
      </c>
      <c r="Q700">
        <v>3</v>
      </c>
      <c r="R700">
        <v>5</v>
      </c>
      <c r="S700">
        <v>2</v>
      </c>
      <c r="T700">
        <v>11</v>
      </c>
      <c r="U700">
        <f>SUM(Table1[[#This Row],[Store_Purchases]]+Table1[[#This Row],[Catalog_Purchases]]+Table1[[#This Row],[Web_Purchases]]+Table1[[#This Row],[Deal_Purchases]])</f>
        <v>21</v>
      </c>
      <c r="V700">
        <v>8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f>SUM(Table1[[#This Row],[Accepted_Campaign_2]]+Table1[[#This Row],[Accepted_Campaign_1]]+Table1[[#This Row],[Accepted_Campaign_5]]+Table1[[#This Row],[Accepted_Campaign_4]]+Table1[[#This Row],[Accepted_Campaign_3]])</f>
        <v>1</v>
      </c>
      <c r="AC700">
        <v>0</v>
      </c>
      <c r="AD700">
        <v>0</v>
      </c>
    </row>
    <row r="701" spans="1:30" x14ac:dyDescent="0.25">
      <c r="A701">
        <v>41595</v>
      </c>
      <c r="B701">
        <v>2625</v>
      </c>
      <c r="C701">
        <v>1954</v>
      </c>
      <c r="D701" t="s">
        <v>20</v>
      </c>
      <c r="E701" t="s">
        <v>15</v>
      </c>
      <c r="F701" t="s">
        <v>9</v>
      </c>
      <c r="G701">
        <v>42607</v>
      </c>
      <c r="H701">
        <v>1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f>SUM(Table1[[#This Row],[Gold Spending]]+Table1[[#This Row],[Sweet Spending]]+Table1[[#This Row],[Fish Spending]]+Table1[[#This Row],[Meat Spending]]+Table1[[#This Row],[Fruits Spending]]+Table1[[#This Row],[Wine Spending ]])</f>
        <v>350</v>
      </c>
      <c r="Q701">
        <v>2</v>
      </c>
      <c r="R701">
        <v>3</v>
      </c>
      <c r="S701">
        <v>2</v>
      </c>
      <c r="T701">
        <v>7</v>
      </c>
      <c r="U701">
        <f>SUM(Table1[[#This Row],[Store_Purchases]]+Table1[[#This Row],[Catalog_Purchases]]+Table1[[#This Row],[Web_Purchases]]+Table1[[#This Row],[Deal_Purchases]])</f>
        <v>14</v>
      </c>
      <c r="V701">
        <v>3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f>SUM(Table1[[#This Row],[Accepted_Campaign_2]]+Table1[[#This Row],[Accepted_Campaign_1]]+Table1[[#This Row],[Accepted_Campaign_5]]+Table1[[#This Row],[Accepted_Campaign_4]]+Table1[[#This Row],[Accepted_Campaign_3]])</f>
        <v>0</v>
      </c>
      <c r="AC701">
        <v>0</v>
      </c>
      <c r="AD701">
        <v>0</v>
      </c>
    </row>
    <row r="702" spans="1:30" x14ac:dyDescent="0.25">
      <c r="A702">
        <v>41577</v>
      </c>
      <c r="B702">
        <v>1676</v>
      </c>
      <c r="C702">
        <v>1975</v>
      </c>
      <c r="D702" t="s">
        <v>8</v>
      </c>
      <c r="E702" t="s">
        <v>6</v>
      </c>
      <c r="F702" t="s">
        <v>11</v>
      </c>
      <c r="G702">
        <v>43057</v>
      </c>
      <c r="H702">
        <v>1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f>SUM(Table1[[#This Row],[Gold Spending]]+Table1[[#This Row],[Sweet Spending]]+Table1[[#This Row],[Fish Spending]]+Table1[[#This Row],[Meat Spending]]+Table1[[#This Row],[Fruits Spending]]+Table1[[#This Row],[Wine Spending ]])</f>
        <v>266</v>
      </c>
      <c r="Q702">
        <v>4</v>
      </c>
      <c r="R702">
        <v>4</v>
      </c>
      <c r="S702">
        <v>2</v>
      </c>
      <c r="T702">
        <v>5</v>
      </c>
      <c r="U702">
        <f>SUM(Table1[[#This Row],[Store_Purchases]]+Table1[[#This Row],[Catalog_Purchases]]+Table1[[#This Row],[Web_Purchases]]+Table1[[#This Row],[Deal_Purchases]])</f>
        <v>15</v>
      </c>
      <c r="V702">
        <v>5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f>SUM(Table1[[#This Row],[Accepted_Campaign_2]]+Table1[[#This Row],[Accepted_Campaign_1]]+Table1[[#This Row],[Accepted_Campaign_5]]+Table1[[#This Row],[Accepted_Campaign_4]]+Table1[[#This Row],[Accepted_Campaign_3]])</f>
        <v>0</v>
      </c>
      <c r="AC702">
        <v>0</v>
      </c>
      <c r="AD702">
        <v>0</v>
      </c>
    </row>
    <row r="703" spans="1:30" x14ac:dyDescent="0.25">
      <c r="A703">
        <v>41567</v>
      </c>
      <c r="B703">
        <v>5534</v>
      </c>
      <c r="C703">
        <v>1975</v>
      </c>
      <c r="D703" t="s">
        <v>8</v>
      </c>
      <c r="E703" t="s">
        <v>18</v>
      </c>
      <c r="F703" t="s">
        <v>11</v>
      </c>
      <c r="G703">
        <v>47808</v>
      </c>
      <c r="H703">
        <v>1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f>SUM(Table1[[#This Row],[Gold Spending]]+Table1[[#This Row],[Sweet Spending]]+Table1[[#This Row],[Fish Spending]]+Table1[[#This Row],[Meat Spending]]+Table1[[#This Row],[Fruits Spending]]+Table1[[#This Row],[Wine Spending ]])</f>
        <v>224</v>
      </c>
      <c r="Q703">
        <v>2</v>
      </c>
      <c r="R703">
        <v>3</v>
      </c>
      <c r="S703">
        <v>2</v>
      </c>
      <c r="T703">
        <v>3</v>
      </c>
      <c r="U703">
        <f>SUM(Table1[[#This Row],[Store_Purchases]]+Table1[[#This Row],[Catalog_Purchases]]+Table1[[#This Row],[Web_Purchases]]+Table1[[#This Row],[Deal_Purchases]])</f>
        <v>10</v>
      </c>
      <c r="V703">
        <v>7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f>SUM(Table1[[#This Row],[Accepted_Campaign_2]]+Table1[[#This Row],[Accepted_Campaign_1]]+Table1[[#This Row],[Accepted_Campaign_5]]+Table1[[#This Row],[Accepted_Campaign_4]]+Table1[[#This Row],[Accepted_Campaign_3]])</f>
        <v>1</v>
      </c>
      <c r="AC703">
        <v>0</v>
      </c>
      <c r="AD703">
        <v>0</v>
      </c>
    </row>
    <row r="704" spans="1:30" x14ac:dyDescent="0.25">
      <c r="A704">
        <v>41555</v>
      </c>
      <c r="B704">
        <v>6859</v>
      </c>
      <c r="C704">
        <v>1987</v>
      </c>
      <c r="D704" t="s">
        <v>8</v>
      </c>
      <c r="E704" t="s">
        <v>6</v>
      </c>
      <c r="F704" t="s">
        <v>9</v>
      </c>
      <c r="G704">
        <v>29236</v>
      </c>
      <c r="H704">
        <v>1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f>SUM(Table1[[#This Row],[Gold Spending]]+Table1[[#This Row],[Sweet Spending]]+Table1[[#This Row],[Fish Spending]]+Table1[[#This Row],[Meat Spending]]+Table1[[#This Row],[Fruits Spending]]+Table1[[#This Row],[Wine Spending ]])</f>
        <v>99</v>
      </c>
      <c r="Q704">
        <v>2</v>
      </c>
      <c r="R704">
        <v>4</v>
      </c>
      <c r="S704">
        <v>0</v>
      </c>
      <c r="T704">
        <v>3</v>
      </c>
      <c r="U704">
        <f>SUM(Table1[[#This Row],[Store_Purchases]]+Table1[[#This Row],[Catalog_Purchases]]+Table1[[#This Row],[Web_Purchases]]+Table1[[#This Row],[Deal_Purchases]])</f>
        <v>9</v>
      </c>
      <c r="V704">
        <v>9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f>SUM(Table1[[#This Row],[Accepted_Campaign_2]]+Table1[[#This Row],[Accepted_Campaign_1]]+Table1[[#This Row],[Accepted_Campaign_5]]+Table1[[#This Row],[Accepted_Campaign_4]]+Table1[[#This Row],[Accepted_Campaign_3]])</f>
        <v>0</v>
      </c>
      <c r="AC704">
        <v>0</v>
      </c>
      <c r="AD704">
        <v>0</v>
      </c>
    </row>
    <row r="705" spans="1:30" x14ac:dyDescent="0.25">
      <c r="A705">
        <v>41549</v>
      </c>
      <c r="B705">
        <v>271</v>
      </c>
      <c r="C705">
        <v>1969</v>
      </c>
      <c r="D705" t="s">
        <v>10</v>
      </c>
      <c r="E705" t="s">
        <v>6</v>
      </c>
      <c r="F705" t="s">
        <v>19</v>
      </c>
      <c r="G705">
        <v>40590</v>
      </c>
      <c r="H705">
        <v>2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f>SUM(Table1[[#This Row],[Gold Spending]]+Table1[[#This Row],[Sweet Spending]]+Table1[[#This Row],[Fish Spending]]+Table1[[#This Row],[Meat Spending]]+Table1[[#This Row],[Fruits Spending]]+Table1[[#This Row],[Wine Spending ]])</f>
        <v>258</v>
      </c>
      <c r="Q705">
        <v>5</v>
      </c>
      <c r="R705">
        <v>3</v>
      </c>
      <c r="S705">
        <v>4</v>
      </c>
      <c r="T705">
        <v>3</v>
      </c>
      <c r="U705">
        <f>SUM(Table1[[#This Row],[Store_Purchases]]+Table1[[#This Row],[Catalog_Purchases]]+Table1[[#This Row],[Web_Purchases]]+Table1[[#This Row],[Deal_Purchases]])</f>
        <v>15</v>
      </c>
      <c r="V705">
        <v>6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f>SUM(Table1[[#This Row],[Accepted_Campaign_2]]+Table1[[#This Row],[Accepted_Campaign_1]]+Table1[[#This Row],[Accepted_Campaign_5]]+Table1[[#This Row],[Accepted_Campaign_4]]+Table1[[#This Row],[Accepted_Campaign_3]])</f>
        <v>1</v>
      </c>
      <c r="AC705">
        <v>0</v>
      </c>
      <c r="AD705">
        <v>0</v>
      </c>
    </row>
    <row r="706" spans="1:30" x14ac:dyDescent="0.25">
      <c r="A706">
        <v>41549</v>
      </c>
      <c r="B706">
        <v>7699</v>
      </c>
      <c r="C706">
        <v>1969</v>
      </c>
      <c r="D706" t="s">
        <v>10</v>
      </c>
      <c r="E706" t="s">
        <v>6</v>
      </c>
      <c r="F706" t="s">
        <v>19</v>
      </c>
      <c r="G706">
        <v>40590</v>
      </c>
      <c r="H706">
        <v>2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f>SUM(Table1[[#This Row],[Gold Spending]]+Table1[[#This Row],[Sweet Spending]]+Table1[[#This Row],[Fish Spending]]+Table1[[#This Row],[Meat Spending]]+Table1[[#This Row],[Fruits Spending]]+Table1[[#This Row],[Wine Spending ]])</f>
        <v>258</v>
      </c>
      <c r="Q706">
        <v>5</v>
      </c>
      <c r="R706">
        <v>3</v>
      </c>
      <c r="S706">
        <v>4</v>
      </c>
      <c r="T706">
        <v>3</v>
      </c>
      <c r="U706">
        <f>SUM(Table1[[#This Row],[Store_Purchases]]+Table1[[#This Row],[Catalog_Purchases]]+Table1[[#This Row],[Web_Purchases]]+Table1[[#This Row],[Deal_Purchases]])</f>
        <v>15</v>
      </c>
      <c r="V706">
        <v>6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f>SUM(Table1[[#This Row],[Accepted_Campaign_2]]+Table1[[#This Row],[Accepted_Campaign_1]]+Table1[[#This Row],[Accepted_Campaign_5]]+Table1[[#This Row],[Accepted_Campaign_4]]+Table1[[#This Row],[Accepted_Campaign_3]])</f>
        <v>1</v>
      </c>
      <c r="AC706">
        <v>0</v>
      </c>
      <c r="AD706">
        <v>0</v>
      </c>
    </row>
    <row r="707" spans="1:30" x14ac:dyDescent="0.25">
      <c r="A707">
        <v>41514</v>
      </c>
      <c r="B707">
        <v>7832</v>
      </c>
      <c r="C707">
        <v>1959</v>
      </c>
      <c r="D707" t="s">
        <v>8</v>
      </c>
      <c r="E707" t="s">
        <v>18</v>
      </c>
      <c r="F707" t="s">
        <v>11</v>
      </c>
      <c r="G707">
        <v>77520</v>
      </c>
      <c r="H707">
        <v>1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f>SUM(Table1[[#This Row],[Gold Spending]]+Table1[[#This Row],[Sweet Spending]]+Table1[[#This Row],[Fish Spending]]+Table1[[#This Row],[Meat Spending]]+Table1[[#This Row],[Fruits Spending]]+Table1[[#This Row],[Wine Spending ]])</f>
        <v>1526</v>
      </c>
      <c r="Q707">
        <v>1</v>
      </c>
      <c r="R707">
        <v>8</v>
      </c>
      <c r="S707">
        <v>7</v>
      </c>
      <c r="T707">
        <v>7</v>
      </c>
      <c r="U707">
        <f>SUM(Table1[[#This Row],[Store_Purchases]]+Table1[[#This Row],[Catalog_Purchases]]+Table1[[#This Row],[Web_Purchases]]+Table1[[#This Row],[Deal_Purchases]])</f>
        <v>23</v>
      </c>
      <c r="V707">
        <v>4</v>
      </c>
      <c r="W707">
        <v>1</v>
      </c>
      <c r="X707">
        <v>0</v>
      </c>
      <c r="Y707">
        <v>1</v>
      </c>
      <c r="Z707">
        <v>1</v>
      </c>
      <c r="AA707">
        <v>0</v>
      </c>
      <c r="AB707">
        <f>SUM(Table1[[#This Row],[Accepted_Campaign_2]]+Table1[[#This Row],[Accepted_Campaign_1]]+Table1[[#This Row],[Accepted_Campaign_5]]+Table1[[#This Row],[Accepted_Campaign_4]]+Table1[[#This Row],[Accepted_Campaign_3]])</f>
        <v>3</v>
      </c>
      <c r="AC707">
        <v>1</v>
      </c>
      <c r="AD707">
        <v>0</v>
      </c>
    </row>
    <row r="708" spans="1:30" x14ac:dyDescent="0.25">
      <c r="A708">
        <v>41485</v>
      </c>
      <c r="B708">
        <v>938</v>
      </c>
      <c r="C708">
        <v>1981</v>
      </c>
      <c r="D708" t="s">
        <v>8</v>
      </c>
      <c r="E708" t="s">
        <v>6</v>
      </c>
      <c r="F708" t="s">
        <v>11</v>
      </c>
      <c r="G708">
        <v>40211</v>
      </c>
      <c r="H708">
        <v>2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f>SUM(Table1[[#This Row],[Gold Spending]]+Table1[[#This Row],[Sweet Spending]]+Table1[[#This Row],[Fish Spending]]+Table1[[#This Row],[Meat Spending]]+Table1[[#This Row],[Fruits Spending]]+Table1[[#This Row],[Wine Spending ]])</f>
        <v>87</v>
      </c>
      <c r="Q708">
        <v>2</v>
      </c>
      <c r="R708">
        <v>2</v>
      </c>
      <c r="S708">
        <v>1</v>
      </c>
      <c r="T708">
        <v>2</v>
      </c>
      <c r="U708">
        <f>SUM(Table1[[#This Row],[Store_Purchases]]+Table1[[#This Row],[Catalog_Purchases]]+Table1[[#This Row],[Web_Purchases]]+Table1[[#This Row],[Deal_Purchases]])</f>
        <v>7</v>
      </c>
      <c r="V708">
        <v>8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f>SUM(Table1[[#This Row],[Accepted_Campaign_2]]+Table1[[#This Row],[Accepted_Campaign_1]]+Table1[[#This Row],[Accepted_Campaign_5]]+Table1[[#This Row],[Accepted_Campaign_4]]+Table1[[#This Row],[Accepted_Campaign_3]])</f>
        <v>1</v>
      </c>
      <c r="AC708">
        <v>0</v>
      </c>
      <c r="AD708">
        <v>0</v>
      </c>
    </row>
    <row r="709" spans="1:30" x14ac:dyDescent="0.25">
      <c r="A709">
        <v>41461</v>
      </c>
      <c r="B709">
        <v>7873</v>
      </c>
      <c r="C709">
        <v>1973</v>
      </c>
      <c r="D709" t="s">
        <v>10</v>
      </c>
      <c r="E709" t="s">
        <v>14</v>
      </c>
      <c r="F709" t="s">
        <v>12</v>
      </c>
      <c r="G709">
        <v>63516</v>
      </c>
      <c r="H709">
        <v>2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f>SUM(Table1[[#This Row],[Gold Spending]]+Table1[[#This Row],[Sweet Spending]]+Table1[[#This Row],[Fish Spending]]+Table1[[#This Row],[Meat Spending]]+Table1[[#This Row],[Fruits Spending]]+Table1[[#This Row],[Wine Spending ]])</f>
        <v>300</v>
      </c>
      <c r="Q709">
        <v>4</v>
      </c>
      <c r="R709">
        <v>4</v>
      </c>
      <c r="S709">
        <v>1</v>
      </c>
      <c r="T709">
        <v>7</v>
      </c>
      <c r="U709">
        <f>SUM(Table1[[#This Row],[Store_Purchases]]+Table1[[#This Row],[Catalog_Purchases]]+Table1[[#This Row],[Web_Purchases]]+Table1[[#This Row],[Deal_Purchases]])</f>
        <v>16</v>
      </c>
      <c r="V709">
        <v>5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f>SUM(Table1[[#This Row],[Accepted_Campaign_2]]+Table1[[#This Row],[Accepted_Campaign_1]]+Table1[[#This Row],[Accepted_Campaign_5]]+Table1[[#This Row],[Accepted_Campaign_4]]+Table1[[#This Row],[Accepted_Campaign_3]])</f>
        <v>0</v>
      </c>
      <c r="AC709">
        <v>0</v>
      </c>
      <c r="AD709">
        <v>0</v>
      </c>
    </row>
    <row r="710" spans="1:30" x14ac:dyDescent="0.25">
      <c r="A710">
        <v>41424</v>
      </c>
      <c r="B710">
        <v>9967</v>
      </c>
      <c r="C710">
        <v>1974</v>
      </c>
      <c r="D710" t="s">
        <v>63</v>
      </c>
      <c r="E710" t="s">
        <v>6</v>
      </c>
      <c r="F710" t="s">
        <v>7</v>
      </c>
      <c r="G710">
        <v>53034</v>
      </c>
      <c r="H710">
        <v>2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f>SUM(Table1[[#This Row],[Gold Spending]]+Table1[[#This Row],[Sweet Spending]]+Table1[[#This Row],[Fish Spending]]+Table1[[#This Row],[Meat Spending]]+Table1[[#This Row],[Fruits Spending]]+Table1[[#This Row],[Wine Spending ]])</f>
        <v>447</v>
      </c>
      <c r="Q710">
        <v>8</v>
      </c>
      <c r="R710">
        <v>6</v>
      </c>
      <c r="S710">
        <v>1</v>
      </c>
      <c r="T710">
        <v>7</v>
      </c>
      <c r="U710">
        <f>SUM(Table1[[#This Row],[Store_Purchases]]+Table1[[#This Row],[Catalog_Purchases]]+Table1[[#This Row],[Web_Purchases]]+Table1[[#This Row],[Deal_Purchases]])</f>
        <v>22</v>
      </c>
      <c r="V710">
        <v>8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f>SUM(Table1[[#This Row],[Accepted_Campaign_2]]+Table1[[#This Row],[Accepted_Campaign_1]]+Table1[[#This Row],[Accepted_Campaign_5]]+Table1[[#This Row],[Accepted_Campaign_4]]+Table1[[#This Row],[Accepted_Campaign_3]])</f>
        <v>0</v>
      </c>
      <c r="AC710">
        <v>0</v>
      </c>
      <c r="AD710">
        <v>0</v>
      </c>
    </row>
    <row r="711" spans="1:30" x14ac:dyDescent="0.25">
      <c r="A711">
        <v>41416</v>
      </c>
      <c r="B711">
        <v>1087</v>
      </c>
      <c r="C711">
        <v>1975</v>
      </c>
      <c r="D711" t="s">
        <v>8</v>
      </c>
      <c r="E711" t="s">
        <v>18</v>
      </c>
      <c r="F711" t="s">
        <v>12</v>
      </c>
      <c r="G711">
        <v>22669</v>
      </c>
      <c r="H711">
        <v>1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f>SUM(Table1[[#This Row],[Gold Spending]]+Table1[[#This Row],[Sweet Spending]]+Table1[[#This Row],[Fish Spending]]+Table1[[#This Row],[Meat Spending]]+Table1[[#This Row],[Fruits Spending]]+Table1[[#This Row],[Wine Spending ]])</f>
        <v>173</v>
      </c>
      <c r="Q711">
        <v>3</v>
      </c>
      <c r="R711">
        <v>4</v>
      </c>
      <c r="S711">
        <v>1</v>
      </c>
      <c r="T711">
        <v>2</v>
      </c>
      <c r="U711">
        <f>SUM(Table1[[#This Row],[Store_Purchases]]+Table1[[#This Row],[Catalog_Purchases]]+Table1[[#This Row],[Web_Purchases]]+Table1[[#This Row],[Deal_Purchases]])</f>
        <v>10</v>
      </c>
      <c r="V711">
        <v>9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f>SUM(Table1[[#This Row],[Accepted_Campaign_2]]+Table1[[#This Row],[Accepted_Campaign_1]]+Table1[[#This Row],[Accepted_Campaign_5]]+Table1[[#This Row],[Accepted_Campaign_4]]+Table1[[#This Row],[Accepted_Campaign_3]])</f>
        <v>0</v>
      </c>
      <c r="AC711">
        <v>1</v>
      </c>
      <c r="AD711">
        <v>0</v>
      </c>
    </row>
    <row r="712" spans="1:30" x14ac:dyDescent="0.25">
      <c r="A712">
        <v>41369</v>
      </c>
      <c r="B712">
        <v>8314</v>
      </c>
      <c r="C712">
        <v>1982</v>
      </c>
      <c r="D712" t="s">
        <v>8</v>
      </c>
      <c r="E712" t="s">
        <v>6</v>
      </c>
      <c r="F712" t="s">
        <v>11</v>
      </c>
      <c r="G712">
        <v>79908</v>
      </c>
      <c r="H712">
        <v>0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f>SUM(Table1[[#This Row],[Gold Spending]]+Table1[[#This Row],[Sweet Spending]]+Table1[[#This Row],[Fish Spending]]+Table1[[#This Row],[Meat Spending]]+Table1[[#This Row],[Fruits Spending]]+Table1[[#This Row],[Wine Spending ]])</f>
        <v>1772</v>
      </c>
      <c r="Q712">
        <v>1</v>
      </c>
      <c r="R712">
        <v>5</v>
      </c>
      <c r="S712">
        <v>6</v>
      </c>
      <c r="T712">
        <v>7</v>
      </c>
      <c r="U712">
        <f>SUM(Table1[[#This Row],[Store_Purchases]]+Table1[[#This Row],[Catalog_Purchases]]+Table1[[#This Row],[Web_Purchases]]+Table1[[#This Row],[Deal_Purchases]])</f>
        <v>19</v>
      </c>
      <c r="V712">
        <v>2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f>SUM(Table1[[#This Row],[Accepted_Campaign_2]]+Table1[[#This Row],[Accepted_Campaign_1]]+Table1[[#This Row],[Accepted_Campaign_5]]+Table1[[#This Row],[Accepted_Campaign_4]]+Table1[[#This Row],[Accepted_Campaign_3]])</f>
        <v>1</v>
      </c>
      <c r="AC712">
        <v>0</v>
      </c>
      <c r="AD712">
        <v>0</v>
      </c>
    </row>
    <row r="713" spans="1:30" x14ac:dyDescent="0.25">
      <c r="A713">
        <v>41366</v>
      </c>
      <c r="B713">
        <v>3762</v>
      </c>
      <c r="C713">
        <v>1986</v>
      </c>
      <c r="D713" t="s">
        <v>20</v>
      </c>
      <c r="E713" t="s">
        <v>14</v>
      </c>
      <c r="F713" t="s">
        <v>9</v>
      </c>
      <c r="G713">
        <v>69867</v>
      </c>
      <c r="H713">
        <v>0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f>SUM(Table1[[#This Row],[Gold Spending]]+Table1[[#This Row],[Sweet Spending]]+Table1[[#This Row],[Fish Spending]]+Table1[[#This Row],[Meat Spending]]+Table1[[#This Row],[Fruits Spending]]+Table1[[#This Row],[Wine Spending ]])</f>
        <v>925</v>
      </c>
      <c r="Q713">
        <v>1</v>
      </c>
      <c r="R713">
        <v>3</v>
      </c>
      <c r="S713">
        <v>5</v>
      </c>
      <c r="T713">
        <v>8</v>
      </c>
      <c r="U713">
        <f>SUM(Table1[[#This Row],[Store_Purchases]]+Table1[[#This Row],[Catalog_Purchases]]+Table1[[#This Row],[Web_Purchases]]+Table1[[#This Row],[Deal_Purchases]])</f>
        <v>17</v>
      </c>
      <c r="V713">
        <v>1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f>SUM(Table1[[#This Row],[Accepted_Campaign_2]]+Table1[[#This Row],[Accepted_Campaign_1]]+Table1[[#This Row],[Accepted_Campaign_5]]+Table1[[#This Row],[Accepted_Campaign_4]]+Table1[[#This Row],[Accepted_Campaign_3]])</f>
        <v>1</v>
      </c>
      <c r="AC713">
        <v>1</v>
      </c>
      <c r="AD713">
        <v>0</v>
      </c>
    </row>
    <row r="714" spans="1:30" x14ac:dyDescent="0.25">
      <c r="A714">
        <v>41366</v>
      </c>
      <c r="B714">
        <v>10383</v>
      </c>
      <c r="C714">
        <v>1966</v>
      </c>
      <c r="D714" t="s">
        <v>13</v>
      </c>
      <c r="E714" t="s">
        <v>6</v>
      </c>
      <c r="F714" t="s">
        <v>7</v>
      </c>
      <c r="G714">
        <v>70287</v>
      </c>
      <c r="H714">
        <v>0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f>SUM(Table1[[#This Row],[Gold Spending]]+Table1[[#This Row],[Sweet Spending]]+Table1[[#This Row],[Fish Spending]]+Table1[[#This Row],[Meat Spending]]+Table1[[#This Row],[Fruits Spending]]+Table1[[#This Row],[Wine Spending ]])</f>
        <v>1093</v>
      </c>
      <c r="Q714">
        <v>1</v>
      </c>
      <c r="R714">
        <v>5</v>
      </c>
      <c r="S714">
        <v>5</v>
      </c>
      <c r="T714">
        <v>10</v>
      </c>
      <c r="U714">
        <f>SUM(Table1[[#This Row],[Store_Purchases]]+Table1[[#This Row],[Catalog_Purchases]]+Table1[[#This Row],[Web_Purchases]]+Table1[[#This Row],[Deal_Purchases]])</f>
        <v>21</v>
      </c>
      <c r="V714">
        <v>3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f>SUM(Table1[[#This Row],[Accepted_Campaign_2]]+Table1[[#This Row],[Accepted_Campaign_1]]+Table1[[#This Row],[Accepted_Campaign_5]]+Table1[[#This Row],[Accepted_Campaign_4]]+Table1[[#This Row],[Accepted_Campaign_3]])</f>
        <v>0</v>
      </c>
      <c r="AC714">
        <v>1</v>
      </c>
      <c r="AD714">
        <v>0</v>
      </c>
    </row>
    <row r="715" spans="1:30" x14ac:dyDescent="0.25">
      <c r="A715">
        <v>41353</v>
      </c>
      <c r="B715">
        <v>6798</v>
      </c>
      <c r="C715">
        <v>1966</v>
      </c>
      <c r="D715" t="s">
        <v>20</v>
      </c>
      <c r="E715" t="s">
        <v>6</v>
      </c>
      <c r="F715" t="s">
        <v>9</v>
      </c>
      <c r="G715">
        <v>37070</v>
      </c>
      <c r="H715">
        <v>2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f>SUM(Table1[[#This Row],[Gold Spending]]+Table1[[#This Row],[Sweet Spending]]+Table1[[#This Row],[Fish Spending]]+Table1[[#This Row],[Meat Spending]]+Table1[[#This Row],[Fruits Spending]]+Table1[[#This Row],[Wine Spending ]])</f>
        <v>433</v>
      </c>
      <c r="Q715">
        <v>9</v>
      </c>
      <c r="R715">
        <v>5</v>
      </c>
      <c r="S715">
        <v>1</v>
      </c>
      <c r="T715">
        <v>8</v>
      </c>
      <c r="U715">
        <f>SUM(Table1[[#This Row],[Store_Purchases]]+Table1[[#This Row],[Catalog_Purchases]]+Table1[[#This Row],[Web_Purchases]]+Table1[[#This Row],[Deal_Purchases]])</f>
        <v>23</v>
      </c>
      <c r="V715">
        <v>7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f>SUM(Table1[[#This Row],[Accepted_Campaign_2]]+Table1[[#This Row],[Accepted_Campaign_1]]+Table1[[#This Row],[Accepted_Campaign_5]]+Table1[[#This Row],[Accepted_Campaign_4]]+Table1[[#This Row],[Accepted_Campaign_3]])</f>
        <v>0</v>
      </c>
      <c r="AC715">
        <v>1</v>
      </c>
      <c r="AD715">
        <v>0</v>
      </c>
    </row>
    <row r="716" spans="1:30" x14ac:dyDescent="0.25">
      <c r="A716">
        <v>41353</v>
      </c>
      <c r="B716">
        <v>4168</v>
      </c>
      <c r="C716">
        <v>1966</v>
      </c>
      <c r="D716" t="s">
        <v>8</v>
      </c>
      <c r="E716" t="s">
        <v>6</v>
      </c>
      <c r="F716" t="s">
        <v>9</v>
      </c>
      <c r="G716">
        <v>37070</v>
      </c>
      <c r="H716">
        <v>2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f>SUM(Table1[[#This Row],[Gold Spending]]+Table1[[#This Row],[Sweet Spending]]+Table1[[#This Row],[Fish Spending]]+Table1[[#This Row],[Meat Spending]]+Table1[[#This Row],[Fruits Spending]]+Table1[[#This Row],[Wine Spending ]])</f>
        <v>433</v>
      </c>
      <c r="Q716">
        <v>9</v>
      </c>
      <c r="R716">
        <v>5</v>
      </c>
      <c r="S716">
        <v>1</v>
      </c>
      <c r="T716">
        <v>8</v>
      </c>
      <c r="U716">
        <f>SUM(Table1[[#This Row],[Store_Purchases]]+Table1[[#This Row],[Catalog_Purchases]]+Table1[[#This Row],[Web_Purchases]]+Table1[[#This Row],[Deal_Purchases]])</f>
        <v>23</v>
      </c>
      <c r="V716">
        <v>7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f>SUM(Table1[[#This Row],[Accepted_Campaign_2]]+Table1[[#This Row],[Accepted_Campaign_1]]+Table1[[#This Row],[Accepted_Campaign_5]]+Table1[[#This Row],[Accepted_Campaign_4]]+Table1[[#This Row],[Accepted_Campaign_3]])</f>
        <v>0</v>
      </c>
      <c r="AC716">
        <v>1</v>
      </c>
      <c r="AD716">
        <v>0</v>
      </c>
    </row>
    <row r="717" spans="1:30" x14ac:dyDescent="0.25">
      <c r="A717">
        <v>41347</v>
      </c>
      <c r="B717">
        <v>6690</v>
      </c>
      <c r="C717">
        <v>1966</v>
      </c>
      <c r="D717" t="s">
        <v>20</v>
      </c>
      <c r="E717" t="s">
        <v>18</v>
      </c>
      <c r="F717" t="s">
        <v>11</v>
      </c>
      <c r="G717">
        <v>38179</v>
      </c>
      <c r="H717">
        <v>2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f>SUM(Table1[[#This Row],[Gold Spending]]+Table1[[#This Row],[Sweet Spending]]+Table1[[#This Row],[Fish Spending]]+Table1[[#This Row],[Meat Spending]]+Table1[[#This Row],[Fruits Spending]]+Table1[[#This Row],[Wine Spending ]])</f>
        <v>90</v>
      </c>
      <c r="Q717">
        <v>4</v>
      </c>
      <c r="R717">
        <v>3</v>
      </c>
      <c r="S717">
        <v>1</v>
      </c>
      <c r="T717">
        <v>3</v>
      </c>
      <c r="U717">
        <f>SUM(Table1[[#This Row],[Store_Purchases]]+Table1[[#This Row],[Catalog_Purchases]]+Table1[[#This Row],[Web_Purchases]]+Table1[[#This Row],[Deal_Purchases]])</f>
        <v>11</v>
      </c>
      <c r="V717">
        <v>7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f>SUM(Table1[[#This Row],[Accepted_Campaign_2]]+Table1[[#This Row],[Accepted_Campaign_1]]+Table1[[#This Row],[Accepted_Campaign_5]]+Table1[[#This Row],[Accepted_Campaign_4]]+Table1[[#This Row],[Accepted_Campaign_3]])</f>
        <v>0</v>
      </c>
      <c r="AC717">
        <v>0</v>
      </c>
      <c r="AD717">
        <v>0</v>
      </c>
    </row>
    <row r="718" spans="1:30" x14ac:dyDescent="0.25">
      <c r="A718">
        <v>41319</v>
      </c>
      <c r="B718">
        <v>10602</v>
      </c>
      <c r="C718">
        <v>1983</v>
      </c>
      <c r="D718" t="s">
        <v>17</v>
      </c>
      <c r="E718" t="s">
        <v>6</v>
      </c>
      <c r="F718" t="s">
        <v>11</v>
      </c>
      <c r="G718">
        <v>39922</v>
      </c>
      <c r="H718">
        <v>1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f>SUM(Table1[[#This Row],[Gold Spending]]+Table1[[#This Row],[Sweet Spending]]+Table1[[#This Row],[Fish Spending]]+Table1[[#This Row],[Meat Spending]]+Table1[[#This Row],[Fruits Spending]]+Table1[[#This Row],[Wine Spending ]])</f>
        <v>156</v>
      </c>
      <c r="Q718">
        <v>2</v>
      </c>
      <c r="R718">
        <v>3</v>
      </c>
      <c r="S718">
        <v>0</v>
      </c>
      <c r="T718">
        <v>4</v>
      </c>
      <c r="U718">
        <f>SUM(Table1[[#This Row],[Store_Purchases]]+Table1[[#This Row],[Catalog_Purchases]]+Table1[[#This Row],[Web_Purchases]]+Table1[[#This Row],[Deal_Purchases]])</f>
        <v>9</v>
      </c>
      <c r="V718">
        <v>8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f>SUM(Table1[[#This Row],[Accepted_Campaign_2]]+Table1[[#This Row],[Accepted_Campaign_1]]+Table1[[#This Row],[Accepted_Campaign_5]]+Table1[[#This Row],[Accepted_Campaign_4]]+Table1[[#This Row],[Accepted_Campaign_3]])</f>
        <v>0</v>
      </c>
      <c r="AC718">
        <v>0</v>
      </c>
      <c r="AD718">
        <v>0</v>
      </c>
    </row>
    <row r="719" spans="1:30" x14ac:dyDescent="0.25">
      <c r="A719">
        <v>41319</v>
      </c>
      <c r="B719">
        <v>3220</v>
      </c>
      <c r="C719">
        <v>1983</v>
      </c>
      <c r="D719" t="s">
        <v>16</v>
      </c>
      <c r="E719" t="s">
        <v>6</v>
      </c>
      <c r="F719" t="s">
        <v>11</v>
      </c>
      <c r="G719">
        <v>39922</v>
      </c>
      <c r="H719">
        <v>1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f>SUM(Table1[[#This Row],[Gold Spending]]+Table1[[#This Row],[Sweet Spending]]+Table1[[#This Row],[Fish Spending]]+Table1[[#This Row],[Meat Spending]]+Table1[[#This Row],[Fruits Spending]]+Table1[[#This Row],[Wine Spending ]])</f>
        <v>156</v>
      </c>
      <c r="Q719">
        <v>2</v>
      </c>
      <c r="R719">
        <v>3</v>
      </c>
      <c r="S719">
        <v>0</v>
      </c>
      <c r="T719">
        <v>4</v>
      </c>
      <c r="U719">
        <f>SUM(Table1[[#This Row],[Store_Purchases]]+Table1[[#This Row],[Catalog_Purchases]]+Table1[[#This Row],[Web_Purchases]]+Table1[[#This Row],[Deal_Purchases]])</f>
        <v>9</v>
      </c>
      <c r="V719">
        <v>8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f>SUM(Table1[[#This Row],[Accepted_Campaign_2]]+Table1[[#This Row],[Accepted_Campaign_1]]+Table1[[#This Row],[Accepted_Campaign_5]]+Table1[[#This Row],[Accepted_Campaign_4]]+Table1[[#This Row],[Accepted_Campaign_3]])</f>
        <v>0</v>
      </c>
      <c r="AC719">
        <v>0</v>
      </c>
      <c r="AD719">
        <v>0</v>
      </c>
    </row>
    <row r="720" spans="1:30" x14ac:dyDescent="0.25">
      <c r="A720">
        <v>41319</v>
      </c>
      <c r="B720">
        <v>5424</v>
      </c>
      <c r="C720">
        <v>1983</v>
      </c>
      <c r="D720" t="s">
        <v>20</v>
      </c>
      <c r="E720" t="s">
        <v>6</v>
      </c>
      <c r="F720" t="s">
        <v>11</v>
      </c>
      <c r="G720">
        <v>39922</v>
      </c>
      <c r="H720">
        <v>1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f>SUM(Table1[[#This Row],[Gold Spending]]+Table1[[#This Row],[Sweet Spending]]+Table1[[#This Row],[Fish Spending]]+Table1[[#This Row],[Meat Spending]]+Table1[[#This Row],[Fruits Spending]]+Table1[[#This Row],[Wine Spending ]])</f>
        <v>156</v>
      </c>
      <c r="Q720">
        <v>2</v>
      </c>
      <c r="R720">
        <v>3</v>
      </c>
      <c r="S720">
        <v>0</v>
      </c>
      <c r="T720">
        <v>4</v>
      </c>
      <c r="U720">
        <f>SUM(Table1[[#This Row],[Store_Purchases]]+Table1[[#This Row],[Catalog_Purchases]]+Table1[[#This Row],[Web_Purchases]]+Table1[[#This Row],[Deal_Purchases]])</f>
        <v>9</v>
      </c>
      <c r="V720">
        <v>8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f>SUM(Table1[[#This Row],[Accepted_Campaign_2]]+Table1[[#This Row],[Accepted_Campaign_1]]+Table1[[#This Row],[Accepted_Campaign_5]]+Table1[[#This Row],[Accepted_Campaign_4]]+Table1[[#This Row],[Accepted_Campaign_3]])</f>
        <v>0</v>
      </c>
      <c r="AC720">
        <v>0</v>
      </c>
      <c r="AD720">
        <v>0</v>
      </c>
    </row>
    <row r="721" spans="1:30" x14ac:dyDescent="0.25">
      <c r="A721">
        <v>41296</v>
      </c>
      <c r="B721">
        <v>7488</v>
      </c>
      <c r="C721">
        <v>1963</v>
      </c>
      <c r="D721" t="s">
        <v>8</v>
      </c>
      <c r="E721" t="s">
        <v>18</v>
      </c>
      <c r="F721" t="s">
        <v>9</v>
      </c>
      <c r="G721">
        <v>64191</v>
      </c>
      <c r="H721">
        <v>1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f>SUM(Table1[[#This Row],[Gold Spending]]+Table1[[#This Row],[Sweet Spending]]+Table1[[#This Row],[Fish Spending]]+Table1[[#This Row],[Meat Spending]]+Table1[[#This Row],[Fruits Spending]]+Table1[[#This Row],[Wine Spending ]])</f>
        <v>825</v>
      </c>
      <c r="Q721">
        <v>3</v>
      </c>
      <c r="R721">
        <v>5</v>
      </c>
      <c r="S721">
        <v>3</v>
      </c>
      <c r="T721">
        <v>13</v>
      </c>
      <c r="U721">
        <f>SUM(Table1[[#This Row],[Store_Purchases]]+Table1[[#This Row],[Catalog_Purchases]]+Table1[[#This Row],[Web_Purchases]]+Table1[[#This Row],[Deal_Purchases]])</f>
        <v>24</v>
      </c>
      <c r="V721">
        <v>3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f>SUM(Table1[[#This Row],[Accepted_Campaign_2]]+Table1[[#This Row],[Accepted_Campaign_1]]+Table1[[#This Row],[Accepted_Campaign_5]]+Table1[[#This Row],[Accepted_Campaign_4]]+Table1[[#This Row],[Accepted_Campaign_3]])</f>
        <v>0</v>
      </c>
      <c r="AC721">
        <v>0</v>
      </c>
      <c r="AD721">
        <v>0</v>
      </c>
    </row>
    <row r="722" spans="1:30" x14ac:dyDescent="0.25">
      <c r="A722">
        <v>41222</v>
      </c>
      <c r="B722">
        <v>5289</v>
      </c>
      <c r="C722">
        <v>1975</v>
      </c>
      <c r="D722" t="s">
        <v>13</v>
      </c>
      <c r="E722" t="s">
        <v>15</v>
      </c>
      <c r="F722" t="s">
        <v>9</v>
      </c>
      <c r="G722">
        <v>41658</v>
      </c>
      <c r="H722">
        <v>2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f>SUM(Table1[[#This Row],[Gold Spending]]+Table1[[#This Row],[Sweet Spending]]+Table1[[#This Row],[Fish Spending]]+Table1[[#This Row],[Meat Spending]]+Table1[[#This Row],[Fruits Spending]]+Table1[[#This Row],[Wine Spending ]])</f>
        <v>72</v>
      </c>
      <c r="Q722">
        <v>2</v>
      </c>
      <c r="R722">
        <v>1</v>
      </c>
      <c r="S722">
        <v>1</v>
      </c>
      <c r="T722">
        <v>2</v>
      </c>
      <c r="U722">
        <f>SUM(Table1[[#This Row],[Store_Purchases]]+Table1[[#This Row],[Catalog_Purchases]]+Table1[[#This Row],[Web_Purchases]]+Table1[[#This Row],[Deal_Purchases]])</f>
        <v>6</v>
      </c>
      <c r="V722">
        <v>4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f>SUM(Table1[[#This Row],[Accepted_Campaign_2]]+Table1[[#This Row],[Accepted_Campaign_1]]+Table1[[#This Row],[Accepted_Campaign_5]]+Table1[[#This Row],[Accepted_Campaign_4]]+Table1[[#This Row],[Accepted_Campaign_3]])</f>
        <v>0</v>
      </c>
      <c r="AC722">
        <v>0</v>
      </c>
      <c r="AD722">
        <v>0</v>
      </c>
    </row>
    <row r="723" spans="1:30" x14ac:dyDescent="0.25">
      <c r="A723">
        <v>41160</v>
      </c>
      <c r="B723">
        <v>347</v>
      </c>
      <c r="C723">
        <v>1976</v>
      </c>
      <c r="D723" t="s">
        <v>10</v>
      </c>
      <c r="E723" t="s">
        <v>6</v>
      </c>
      <c r="F723" t="s">
        <v>7</v>
      </c>
      <c r="G723">
        <v>40780</v>
      </c>
      <c r="H723">
        <v>1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f>SUM(Table1[[#This Row],[Gold Spending]]+Table1[[#This Row],[Sweet Spending]]+Table1[[#This Row],[Fish Spending]]+Table1[[#This Row],[Meat Spending]]+Table1[[#This Row],[Fruits Spending]]+Table1[[#This Row],[Wine Spending ]])</f>
        <v>377</v>
      </c>
      <c r="Q723">
        <v>4</v>
      </c>
      <c r="R723">
        <v>7</v>
      </c>
      <c r="S723">
        <v>1</v>
      </c>
      <c r="T723">
        <v>5</v>
      </c>
      <c r="U723">
        <f>SUM(Table1[[#This Row],[Store_Purchases]]+Table1[[#This Row],[Catalog_Purchases]]+Table1[[#This Row],[Web_Purchases]]+Table1[[#This Row],[Deal_Purchases]])</f>
        <v>17</v>
      </c>
      <c r="V723">
        <v>9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f>SUM(Table1[[#This Row],[Accepted_Campaign_2]]+Table1[[#This Row],[Accepted_Campaign_1]]+Table1[[#This Row],[Accepted_Campaign_5]]+Table1[[#This Row],[Accepted_Campaign_4]]+Table1[[#This Row],[Accepted_Campaign_3]])</f>
        <v>0</v>
      </c>
      <c r="AC723">
        <v>0</v>
      </c>
      <c r="AD723">
        <v>0</v>
      </c>
    </row>
    <row r="724" spans="1:30" x14ac:dyDescent="0.25">
      <c r="A724">
        <v>41146</v>
      </c>
      <c r="B724">
        <v>5236</v>
      </c>
      <c r="C724">
        <v>1979</v>
      </c>
      <c r="D724" t="s">
        <v>8</v>
      </c>
      <c r="E724" t="s">
        <v>6</v>
      </c>
      <c r="F724" t="s">
        <v>12</v>
      </c>
      <c r="G724">
        <v>77568</v>
      </c>
      <c r="H724">
        <v>1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f>SUM(Table1[[#This Row],[Gold Spending]]+Table1[[#This Row],[Sweet Spending]]+Table1[[#This Row],[Fish Spending]]+Table1[[#This Row],[Meat Spending]]+Table1[[#This Row],[Fruits Spending]]+Table1[[#This Row],[Wine Spending ]])</f>
        <v>2194</v>
      </c>
      <c r="Q724">
        <v>1</v>
      </c>
      <c r="R724">
        <v>10</v>
      </c>
      <c r="S724">
        <v>2</v>
      </c>
      <c r="T724">
        <v>8</v>
      </c>
      <c r="U724">
        <f>SUM(Table1[[#This Row],[Store_Purchases]]+Table1[[#This Row],[Catalog_Purchases]]+Table1[[#This Row],[Web_Purchases]]+Table1[[#This Row],[Deal_Purchases]])</f>
        <v>21</v>
      </c>
      <c r="V724">
        <v>5</v>
      </c>
      <c r="W724">
        <v>0</v>
      </c>
      <c r="X724">
        <v>1</v>
      </c>
      <c r="Y724">
        <v>1</v>
      </c>
      <c r="Z724">
        <v>1</v>
      </c>
      <c r="AA724">
        <v>0</v>
      </c>
      <c r="AB724">
        <f>SUM(Table1[[#This Row],[Accepted_Campaign_2]]+Table1[[#This Row],[Accepted_Campaign_1]]+Table1[[#This Row],[Accepted_Campaign_5]]+Table1[[#This Row],[Accepted_Campaign_4]]+Table1[[#This Row],[Accepted_Campaign_3]])</f>
        <v>3</v>
      </c>
      <c r="AC724">
        <v>0</v>
      </c>
      <c r="AD724">
        <v>0</v>
      </c>
    </row>
    <row r="725" spans="1:30" x14ac:dyDescent="0.25">
      <c r="A725">
        <v>41135</v>
      </c>
      <c r="B725">
        <v>9478</v>
      </c>
      <c r="C725">
        <v>1985</v>
      </c>
      <c r="D725" t="s">
        <v>8</v>
      </c>
      <c r="E725" t="s">
        <v>6</v>
      </c>
      <c r="F725" t="s">
        <v>9</v>
      </c>
      <c r="G725">
        <v>66503</v>
      </c>
      <c r="H725">
        <v>1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f>SUM(Table1[[#This Row],[Gold Spending]]+Table1[[#This Row],[Sweet Spending]]+Table1[[#This Row],[Fish Spending]]+Table1[[#This Row],[Meat Spending]]+Table1[[#This Row],[Fruits Spending]]+Table1[[#This Row],[Wine Spending ]])</f>
        <v>401</v>
      </c>
      <c r="Q725">
        <v>2</v>
      </c>
      <c r="R725">
        <v>4</v>
      </c>
      <c r="S725">
        <v>3</v>
      </c>
      <c r="T725">
        <v>6</v>
      </c>
      <c r="U725">
        <f>SUM(Table1[[#This Row],[Store_Purchases]]+Table1[[#This Row],[Catalog_Purchases]]+Table1[[#This Row],[Web_Purchases]]+Table1[[#This Row],[Deal_Purchases]])</f>
        <v>15</v>
      </c>
      <c r="V725">
        <v>3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f>SUM(Table1[[#This Row],[Accepted_Campaign_2]]+Table1[[#This Row],[Accepted_Campaign_1]]+Table1[[#This Row],[Accepted_Campaign_5]]+Table1[[#This Row],[Accepted_Campaign_4]]+Table1[[#This Row],[Accepted_Campaign_3]])</f>
        <v>0</v>
      </c>
      <c r="AC725">
        <v>0</v>
      </c>
      <c r="AD725">
        <v>0</v>
      </c>
    </row>
    <row r="726" spans="1:30" x14ac:dyDescent="0.25">
      <c r="A726">
        <v>41807</v>
      </c>
      <c r="B726">
        <v>477</v>
      </c>
      <c r="C726">
        <v>1986</v>
      </c>
      <c r="D726" t="s">
        <v>8</v>
      </c>
      <c r="E726" t="s">
        <v>6</v>
      </c>
      <c r="F726" t="s">
        <v>11</v>
      </c>
      <c r="G726">
        <v>83512</v>
      </c>
      <c r="H726">
        <v>0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f>SUM(Table1[[#This Row],[Gold Spending]]+Table1[[#This Row],[Sweet Spending]]+Table1[[#This Row],[Fish Spending]]+Table1[[#This Row],[Meat Spending]]+Table1[[#This Row],[Fruits Spending]]+Table1[[#This Row],[Wine Spending ]])</f>
        <v>2157</v>
      </c>
      <c r="Q726">
        <v>1</v>
      </c>
      <c r="R726">
        <v>4</v>
      </c>
      <c r="S726">
        <v>7</v>
      </c>
      <c r="T726">
        <v>10</v>
      </c>
      <c r="U726">
        <f>SUM(Table1[[#This Row],[Store_Purchases]]+Table1[[#This Row],[Catalog_Purchases]]+Table1[[#This Row],[Web_Purchases]]+Table1[[#This Row],[Deal_Purchases]])</f>
        <v>22</v>
      </c>
      <c r="V726">
        <v>1</v>
      </c>
      <c r="W726">
        <v>1</v>
      </c>
      <c r="X726">
        <v>0</v>
      </c>
      <c r="Y726">
        <v>1</v>
      </c>
      <c r="Z726">
        <v>1</v>
      </c>
      <c r="AA726">
        <v>1</v>
      </c>
      <c r="AB726">
        <f>SUM(Table1[[#This Row],[Accepted_Campaign_2]]+Table1[[#This Row],[Accepted_Campaign_1]]+Table1[[#This Row],[Accepted_Campaign_5]]+Table1[[#This Row],[Accepted_Campaign_4]]+Table1[[#This Row],[Accepted_Campaign_3]])</f>
        <v>4</v>
      </c>
      <c r="AC726">
        <v>1</v>
      </c>
      <c r="AD726">
        <v>0</v>
      </c>
    </row>
    <row r="727" spans="1:30" x14ac:dyDescent="0.25">
      <c r="A727">
        <v>41795</v>
      </c>
      <c r="B727">
        <v>7411</v>
      </c>
      <c r="C727">
        <v>1964</v>
      </c>
      <c r="D727" t="s">
        <v>20</v>
      </c>
      <c r="E727" t="s">
        <v>14</v>
      </c>
      <c r="F727" t="s">
        <v>11</v>
      </c>
      <c r="G727">
        <v>31686</v>
      </c>
      <c r="H727">
        <v>2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f>SUM(Table1[[#This Row],[Gold Spending]]+Table1[[#This Row],[Sweet Spending]]+Table1[[#This Row],[Fish Spending]]+Table1[[#This Row],[Meat Spending]]+Table1[[#This Row],[Fruits Spending]]+Table1[[#This Row],[Wine Spending ]])</f>
        <v>17</v>
      </c>
      <c r="Q727">
        <v>2</v>
      </c>
      <c r="R727">
        <v>1</v>
      </c>
      <c r="S727">
        <v>0</v>
      </c>
      <c r="T727">
        <v>3</v>
      </c>
      <c r="U727">
        <f>SUM(Table1[[#This Row],[Store_Purchases]]+Table1[[#This Row],[Catalog_Purchases]]+Table1[[#This Row],[Web_Purchases]]+Table1[[#This Row],[Deal_Purchases]])</f>
        <v>6</v>
      </c>
      <c r="V727">
        <v>6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f>SUM(Table1[[#This Row],[Accepted_Campaign_2]]+Table1[[#This Row],[Accepted_Campaign_1]]+Table1[[#This Row],[Accepted_Campaign_5]]+Table1[[#This Row],[Accepted_Campaign_4]]+Table1[[#This Row],[Accepted_Campaign_3]])</f>
        <v>0</v>
      </c>
      <c r="AC727">
        <v>0</v>
      </c>
      <c r="AD727">
        <v>0</v>
      </c>
    </row>
    <row r="728" spans="1:30" x14ac:dyDescent="0.25">
      <c r="A728">
        <v>41761</v>
      </c>
      <c r="B728">
        <v>3107</v>
      </c>
      <c r="C728">
        <v>1976</v>
      </c>
      <c r="D728" t="s">
        <v>13</v>
      </c>
      <c r="E728" t="s">
        <v>6</v>
      </c>
      <c r="F728" t="s">
        <v>12</v>
      </c>
      <c r="G728">
        <v>71322</v>
      </c>
      <c r="H728">
        <v>1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f>SUM(Table1[[#This Row],[Gold Spending]]+Table1[[#This Row],[Sweet Spending]]+Table1[[#This Row],[Fish Spending]]+Table1[[#This Row],[Meat Spending]]+Table1[[#This Row],[Fruits Spending]]+Table1[[#This Row],[Wine Spending ]])</f>
        <v>350</v>
      </c>
      <c r="Q728">
        <v>1</v>
      </c>
      <c r="R728">
        <v>4</v>
      </c>
      <c r="S728">
        <v>1</v>
      </c>
      <c r="T728">
        <v>7</v>
      </c>
      <c r="U728">
        <f>SUM(Table1[[#This Row],[Store_Purchases]]+Table1[[#This Row],[Catalog_Purchases]]+Table1[[#This Row],[Web_Purchases]]+Table1[[#This Row],[Deal_Purchases]])</f>
        <v>13</v>
      </c>
      <c r="V728">
        <v>2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f>SUM(Table1[[#This Row],[Accepted_Campaign_2]]+Table1[[#This Row],[Accepted_Campaign_1]]+Table1[[#This Row],[Accepted_Campaign_5]]+Table1[[#This Row],[Accepted_Campaign_4]]+Table1[[#This Row],[Accepted_Campaign_3]])</f>
        <v>0</v>
      </c>
      <c r="AC728">
        <v>0</v>
      </c>
      <c r="AD728">
        <v>0</v>
      </c>
    </row>
    <row r="729" spans="1:30" x14ac:dyDescent="0.25">
      <c r="A729">
        <v>41757</v>
      </c>
      <c r="B729">
        <v>7437</v>
      </c>
      <c r="C729">
        <v>1988</v>
      </c>
      <c r="D729" t="s">
        <v>13</v>
      </c>
      <c r="E729" t="s">
        <v>6</v>
      </c>
      <c r="F729" t="s">
        <v>9</v>
      </c>
      <c r="G729">
        <v>27938</v>
      </c>
      <c r="H729">
        <v>1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f>SUM(Table1[[#This Row],[Gold Spending]]+Table1[[#This Row],[Sweet Spending]]+Table1[[#This Row],[Fish Spending]]+Table1[[#This Row],[Meat Spending]]+Table1[[#This Row],[Fruits Spending]]+Table1[[#This Row],[Wine Spending ]])</f>
        <v>29</v>
      </c>
      <c r="Q729">
        <v>1</v>
      </c>
      <c r="R729">
        <v>1</v>
      </c>
      <c r="S729">
        <v>0</v>
      </c>
      <c r="T729">
        <v>4</v>
      </c>
      <c r="U729">
        <f>SUM(Table1[[#This Row],[Store_Purchases]]+Table1[[#This Row],[Catalog_Purchases]]+Table1[[#This Row],[Web_Purchases]]+Table1[[#This Row],[Deal_Purchases]])</f>
        <v>6</v>
      </c>
      <c r="V729">
        <v>3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f>SUM(Table1[[#This Row],[Accepted_Campaign_2]]+Table1[[#This Row],[Accepted_Campaign_1]]+Table1[[#This Row],[Accepted_Campaign_5]]+Table1[[#This Row],[Accepted_Campaign_4]]+Table1[[#This Row],[Accepted_Campaign_3]])</f>
        <v>0</v>
      </c>
      <c r="AC729">
        <v>0</v>
      </c>
      <c r="AD729">
        <v>0</v>
      </c>
    </row>
    <row r="730" spans="1:30" x14ac:dyDescent="0.25">
      <c r="A730">
        <v>41728</v>
      </c>
      <c r="B730">
        <v>255</v>
      </c>
      <c r="C730">
        <v>1951</v>
      </c>
      <c r="D730" t="s">
        <v>8</v>
      </c>
      <c r="E730" t="s">
        <v>6</v>
      </c>
      <c r="F730" t="s">
        <v>7</v>
      </c>
      <c r="G730">
        <v>22263</v>
      </c>
      <c r="H730">
        <v>2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f>SUM(Table1[[#This Row],[Gold Spending]]+Table1[[#This Row],[Sweet Spending]]+Table1[[#This Row],[Fish Spending]]+Table1[[#This Row],[Meat Spending]]+Table1[[#This Row],[Fruits Spending]]+Table1[[#This Row],[Wine Spending ]])</f>
        <v>21</v>
      </c>
      <c r="Q730">
        <v>2</v>
      </c>
      <c r="R730">
        <v>1</v>
      </c>
      <c r="S730">
        <v>0</v>
      </c>
      <c r="T730">
        <v>3</v>
      </c>
      <c r="U730">
        <f>SUM(Table1[[#This Row],[Store_Purchases]]+Table1[[#This Row],[Catalog_Purchases]]+Table1[[#This Row],[Web_Purchases]]+Table1[[#This Row],[Deal_Purchases]])</f>
        <v>6</v>
      </c>
      <c r="V730">
        <v>6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f>SUM(Table1[[#This Row],[Accepted_Campaign_2]]+Table1[[#This Row],[Accepted_Campaign_1]]+Table1[[#This Row],[Accepted_Campaign_5]]+Table1[[#This Row],[Accepted_Campaign_4]]+Table1[[#This Row],[Accepted_Campaign_3]])</f>
        <v>0</v>
      </c>
      <c r="AC730">
        <v>0</v>
      </c>
      <c r="AD730">
        <v>1</v>
      </c>
    </row>
    <row r="731" spans="1:30" x14ac:dyDescent="0.25">
      <c r="A731">
        <v>41662</v>
      </c>
      <c r="B731">
        <v>3790</v>
      </c>
      <c r="C731">
        <v>1956</v>
      </c>
      <c r="D731" t="s">
        <v>20</v>
      </c>
      <c r="E731" t="s">
        <v>6</v>
      </c>
      <c r="F731" t="s">
        <v>12</v>
      </c>
      <c r="G731">
        <v>34633</v>
      </c>
      <c r="H731">
        <v>3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f>SUM(Table1[[#This Row],[Gold Spending]]+Table1[[#This Row],[Sweet Spending]]+Table1[[#This Row],[Fish Spending]]+Table1[[#This Row],[Meat Spending]]+Table1[[#This Row],[Fruits Spending]]+Table1[[#This Row],[Wine Spending ]])</f>
        <v>15</v>
      </c>
      <c r="Q731">
        <v>1</v>
      </c>
      <c r="R731">
        <v>1</v>
      </c>
      <c r="S731">
        <v>0</v>
      </c>
      <c r="T731">
        <v>2</v>
      </c>
      <c r="U731">
        <f>SUM(Table1[[#This Row],[Store_Purchases]]+Table1[[#This Row],[Catalog_Purchases]]+Table1[[#This Row],[Web_Purchases]]+Table1[[#This Row],[Deal_Purchases]])</f>
        <v>4</v>
      </c>
      <c r="V731">
        <v>6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f>SUM(Table1[[#This Row],[Accepted_Campaign_2]]+Table1[[#This Row],[Accepted_Campaign_1]]+Table1[[#This Row],[Accepted_Campaign_5]]+Table1[[#This Row],[Accepted_Campaign_4]]+Table1[[#This Row],[Accepted_Campaign_3]])</f>
        <v>0</v>
      </c>
      <c r="AC731">
        <v>0</v>
      </c>
      <c r="AD731">
        <v>0</v>
      </c>
    </row>
    <row r="732" spans="1:30" x14ac:dyDescent="0.25">
      <c r="A732">
        <v>41597</v>
      </c>
      <c r="B732">
        <v>749</v>
      </c>
      <c r="C732">
        <v>1981</v>
      </c>
      <c r="D732" t="s">
        <v>8</v>
      </c>
      <c r="E732" t="s">
        <v>6</v>
      </c>
      <c r="F732" t="s">
        <v>12</v>
      </c>
      <c r="G732">
        <v>42162</v>
      </c>
      <c r="H732">
        <v>1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f>SUM(Table1[[#This Row],[Gold Spending]]+Table1[[#This Row],[Sweet Spending]]+Table1[[#This Row],[Fish Spending]]+Table1[[#This Row],[Meat Spending]]+Table1[[#This Row],[Fruits Spending]]+Table1[[#This Row],[Wine Spending ]])</f>
        <v>145</v>
      </c>
      <c r="Q732">
        <v>2</v>
      </c>
      <c r="R732">
        <v>3</v>
      </c>
      <c r="S732">
        <v>1</v>
      </c>
      <c r="T732">
        <v>3</v>
      </c>
      <c r="U732">
        <f>SUM(Table1[[#This Row],[Store_Purchases]]+Table1[[#This Row],[Catalog_Purchases]]+Table1[[#This Row],[Web_Purchases]]+Table1[[#This Row],[Deal_Purchases]])</f>
        <v>9</v>
      </c>
      <c r="V732">
        <v>6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f>SUM(Table1[[#This Row],[Accepted_Campaign_2]]+Table1[[#This Row],[Accepted_Campaign_1]]+Table1[[#This Row],[Accepted_Campaign_5]]+Table1[[#This Row],[Accepted_Campaign_4]]+Table1[[#This Row],[Accepted_Campaign_3]])</f>
        <v>1</v>
      </c>
      <c r="AC732">
        <v>1</v>
      </c>
      <c r="AD732">
        <v>0</v>
      </c>
    </row>
    <row r="733" spans="1:30" x14ac:dyDescent="0.25">
      <c r="A733">
        <v>41428</v>
      </c>
      <c r="B733">
        <v>1503</v>
      </c>
      <c r="C733">
        <v>1976</v>
      </c>
      <c r="D733" t="s">
        <v>8</v>
      </c>
      <c r="E733" t="s">
        <v>14</v>
      </c>
      <c r="F733" t="s">
        <v>12</v>
      </c>
      <c r="G733">
        <v>162397</v>
      </c>
      <c r="H733">
        <v>2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f>SUM(Table1[[#This Row],[Gold Spending]]+Table1[[#This Row],[Sweet Spending]]+Table1[[#This Row],[Fish Spending]]+Table1[[#This Row],[Meat Spending]]+Table1[[#This Row],[Fruits Spending]]+Table1[[#This Row],[Wine Spending ]])</f>
        <v>107</v>
      </c>
      <c r="Q733">
        <v>0</v>
      </c>
      <c r="R733">
        <v>0</v>
      </c>
      <c r="S733">
        <v>0</v>
      </c>
      <c r="T733">
        <v>1</v>
      </c>
      <c r="U733">
        <f>SUM(Table1[[#This Row],[Store_Purchases]]+Table1[[#This Row],[Catalog_Purchases]]+Table1[[#This Row],[Web_Purchases]]+Table1[[#This Row],[Deal_Purchases]])</f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f>SUM(Table1[[#This Row],[Accepted_Campaign_2]]+Table1[[#This Row],[Accepted_Campaign_1]]+Table1[[#This Row],[Accepted_Campaign_5]]+Table1[[#This Row],[Accepted_Campaign_4]]+Table1[[#This Row],[Accepted_Campaign_3]])</f>
        <v>0</v>
      </c>
      <c r="AC733">
        <v>0</v>
      </c>
      <c r="AD733">
        <v>0</v>
      </c>
    </row>
    <row r="734" spans="1:30" x14ac:dyDescent="0.25">
      <c r="A734">
        <v>41351</v>
      </c>
      <c r="B734">
        <v>8650</v>
      </c>
      <c r="C734">
        <v>1978</v>
      </c>
      <c r="D734" t="s">
        <v>8</v>
      </c>
      <c r="E734" t="s">
        <v>6</v>
      </c>
      <c r="F734" t="s">
        <v>19</v>
      </c>
      <c r="G734">
        <v>54162</v>
      </c>
      <c r="H734">
        <v>2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f>SUM(Table1[[#This Row],[Gold Spending]]+Table1[[#This Row],[Sweet Spending]]+Table1[[#This Row],[Fish Spending]]+Table1[[#This Row],[Meat Spending]]+Table1[[#This Row],[Fruits Spending]]+Table1[[#This Row],[Wine Spending ]])</f>
        <v>42</v>
      </c>
      <c r="Q734">
        <v>1</v>
      </c>
      <c r="R734">
        <v>1</v>
      </c>
      <c r="S734">
        <v>0</v>
      </c>
      <c r="T734">
        <v>3</v>
      </c>
      <c r="U734">
        <f>SUM(Table1[[#This Row],[Store_Purchases]]+Table1[[#This Row],[Catalog_Purchases]]+Table1[[#This Row],[Web_Purchases]]+Table1[[#This Row],[Deal_Purchases]])</f>
        <v>5</v>
      </c>
      <c r="V734">
        <v>4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f>SUM(Table1[[#This Row],[Accepted_Campaign_2]]+Table1[[#This Row],[Accepted_Campaign_1]]+Table1[[#This Row],[Accepted_Campaign_5]]+Table1[[#This Row],[Accepted_Campaign_4]]+Table1[[#This Row],[Accepted_Campaign_3]])</f>
        <v>0</v>
      </c>
      <c r="AC734">
        <v>0</v>
      </c>
      <c r="AD734">
        <v>0</v>
      </c>
    </row>
    <row r="735" spans="1:30" x14ac:dyDescent="0.25">
      <c r="A735">
        <v>41318</v>
      </c>
      <c r="B735">
        <v>607</v>
      </c>
      <c r="C735">
        <v>1955</v>
      </c>
      <c r="D735" t="s">
        <v>17</v>
      </c>
      <c r="E735" t="s">
        <v>15</v>
      </c>
      <c r="F735" t="s">
        <v>7</v>
      </c>
      <c r="G735">
        <v>41769</v>
      </c>
      <c r="H735">
        <v>1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f>SUM(Table1[[#This Row],[Gold Spending]]+Table1[[#This Row],[Sweet Spending]]+Table1[[#This Row],[Fish Spending]]+Table1[[#This Row],[Meat Spending]]+Table1[[#This Row],[Fruits Spending]]+Table1[[#This Row],[Wine Spending ]])</f>
        <v>521</v>
      </c>
      <c r="Q735">
        <v>6</v>
      </c>
      <c r="R735">
        <v>8</v>
      </c>
      <c r="S735">
        <v>1</v>
      </c>
      <c r="T735">
        <v>7</v>
      </c>
      <c r="U735">
        <f>SUM(Table1[[#This Row],[Store_Purchases]]+Table1[[#This Row],[Catalog_Purchases]]+Table1[[#This Row],[Web_Purchases]]+Table1[[#This Row],[Deal_Purchases]])</f>
        <v>22</v>
      </c>
      <c r="V735">
        <v>8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f>SUM(Table1[[#This Row],[Accepted_Campaign_2]]+Table1[[#This Row],[Accepted_Campaign_1]]+Table1[[#This Row],[Accepted_Campaign_5]]+Table1[[#This Row],[Accepted_Campaign_4]]+Table1[[#This Row],[Accepted_Campaign_3]])</f>
        <v>0</v>
      </c>
      <c r="AC735">
        <v>0</v>
      </c>
      <c r="AD735">
        <v>0</v>
      </c>
    </row>
    <row r="736" spans="1:30" x14ac:dyDescent="0.25">
      <c r="A736">
        <v>41264</v>
      </c>
      <c r="B736">
        <v>1008</v>
      </c>
      <c r="C736">
        <v>1981</v>
      </c>
      <c r="D736" t="s">
        <v>16</v>
      </c>
      <c r="E736" t="s">
        <v>14</v>
      </c>
      <c r="F736" t="s">
        <v>12</v>
      </c>
      <c r="G736">
        <v>44953</v>
      </c>
      <c r="H736">
        <v>0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f>SUM(Table1[[#This Row],[Gold Spending]]+Table1[[#This Row],[Sweet Spending]]+Table1[[#This Row],[Fish Spending]]+Table1[[#This Row],[Meat Spending]]+Table1[[#This Row],[Fruits Spending]]+Table1[[#This Row],[Wine Spending ]])</f>
        <v>1021</v>
      </c>
      <c r="Q736">
        <v>1</v>
      </c>
      <c r="R736">
        <v>7</v>
      </c>
      <c r="S736">
        <v>3</v>
      </c>
      <c r="T736">
        <v>13</v>
      </c>
      <c r="U736">
        <f>SUM(Table1[[#This Row],[Store_Purchases]]+Table1[[#This Row],[Catalog_Purchases]]+Table1[[#This Row],[Web_Purchases]]+Table1[[#This Row],[Deal_Purchases]])</f>
        <v>24</v>
      </c>
      <c r="V736">
        <v>6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f>SUM(Table1[[#This Row],[Accepted_Campaign_2]]+Table1[[#This Row],[Accepted_Campaign_1]]+Table1[[#This Row],[Accepted_Campaign_5]]+Table1[[#This Row],[Accepted_Campaign_4]]+Table1[[#This Row],[Accepted_Campaign_3]])</f>
        <v>1</v>
      </c>
      <c r="AC736">
        <v>0</v>
      </c>
      <c r="AD736">
        <v>0</v>
      </c>
    </row>
    <row r="737" spans="1:30" x14ac:dyDescent="0.25">
      <c r="A737">
        <v>41236</v>
      </c>
      <c r="B737">
        <v>9396</v>
      </c>
      <c r="C737">
        <v>1978</v>
      </c>
      <c r="D737" t="s">
        <v>20</v>
      </c>
      <c r="E737" t="s">
        <v>14</v>
      </c>
      <c r="F737" t="s">
        <v>11</v>
      </c>
      <c r="G737">
        <v>37717</v>
      </c>
      <c r="H737">
        <v>1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f>SUM(Table1[[#This Row],[Gold Spending]]+Table1[[#This Row],[Sweet Spending]]+Table1[[#This Row],[Fish Spending]]+Table1[[#This Row],[Meat Spending]]+Table1[[#This Row],[Fruits Spending]]+Table1[[#This Row],[Wine Spending ]])</f>
        <v>25</v>
      </c>
      <c r="Q737">
        <v>1</v>
      </c>
      <c r="R737">
        <v>1</v>
      </c>
      <c r="S737">
        <v>0</v>
      </c>
      <c r="T737">
        <v>2</v>
      </c>
      <c r="U737">
        <f>SUM(Table1[[#This Row],[Store_Purchases]]+Table1[[#This Row],[Catalog_Purchases]]+Table1[[#This Row],[Web_Purchases]]+Table1[[#This Row],[Deal_Purchases]])</f>
        <v>4</v>
      </c>
      <c r="V737">
        <v>9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f>SUM(Table1[[#This Row],[Accepted_Campaign_2]]+Table1[[#This Row],[Accepted_Campaign_1]]+Table1[[#This Row],[Accepted_Campaign_5]]+Table1[[#This Row],[Accepted_Campaign_4]]+Table1[[#This Row],[Accepted_Campaign_3]])</f>
        <v>0</v>
      </c>
      <c r="AC737">
        <v>0</v>
      </c>
      <c r="AD737">
        <v>0</v>
      </c>
    </row>
    <row r="738" spans="1:30" x14ac:dyDescent="0.25">
      <c r="A738">
        <v>41236</v>
      </c>
      <c r="B738">
        <v>933</v>
      </c>
      <c r="C738">
        <v>1978</v>
      </c>
      <c r="D738" t="s">
        <v>8</v>
      </c>
      <c r="E738" t="s">
        <v>14</v>
      </c>
      <c r="F738" t="s">
        <v>11</v>
      </c>
      <c r="G738">
        <v>37717</v>
      </c>
      <c r="H738">
        <v>1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f>SUM(Table1[[#This Row],[Gold Spending]]+Table1[[#This Row],[Sweet Spending]]+Table1[[#This Row],[Fish Spending]]+Table1[[#This Row],[Meat Spending]]+Table1[[#This Row],[Fruits Spending]]+Table1[[#This Row],[Wine Spending ]])</f>
        <v>25</v>
      </c>
      <c r="Q738">
        <v>1</v>
      </c>
      <c r="R738">
        <v>1</v>
      </c>
      <c r="S738">
        <v>0</v>
      </c>
      <c r="T738">
        <v>2</v>
      </c>
      <c r="U738">
        <f>SUM(Table1[[#This Row],[Store_Purchases]]+Table1[[#This Row],[Catalog_Purchases]]+Table1[[#This Row],[Web_Purchases]]+Table1[[#This Row],[Deal_Purchases]])</f>
        <v>4</v>
      </c>
      <c r="V738">
        <v>9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f>SUM(Table1[[#This Row],[Accepted_Campaign_2]]+Table1[[#This Row],[Accepted_Campaign_1]]+Table1[[#This Row],[Accepted_Campaign_5]]+Table1[[#This Row],[Accepted_Campaign_4]]+Table1[[#This Row],[Accepted_Campaign_3]])</f>
        <v>0</v>
      </c>
      <c r="AC738">
        <v>0</v>
      </c>
      <c r="AD738">
        <v>0</v>
      </c>
    </row>
    <row r="739" spans="1:30" x14ac:dyDescent="0.25">
      <c r="A739">
        <v>41192</v>
      </c>
      <c r="B739">
        <v>5710</v>
      </c>
      <c r="C739">
        <v>1970</v>
      </c>
      <c r="D739" t="s">
        <v>13</v>
      </c>
      <c r="E739" t="s">
        <v>6</v>
      </c>
      <c r="F739" t="s">
        <v>12</v>
      </c>
      <c r="G739">
        <v>40548</v>
      </c>
      <c r="H739">
        <v>1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f>SUM(Table1[[#This Row],[Gold Spending]]+Table1[[#This Row],[Sweet Spending]]+Table1[[#This Row],[Fish Spending]]+Table1[[#This Row],[Meat Spending]]+Table1[[#This Row],[Fruits Spending]]+Table1[[#This Row],[Wine Spending ]])</f>
        <v>120</v>
      </c>
      <c r="Q739">
        <v>2</v>
      </c>
      <c r="R739">
        <v>2</v>
      </c>
      <c r="S739">
        <v>1</v>
      </c>
      <c r="T739">
        <v>4</v>
      </c>
      <c r="U739">
        <f>SUM(Table1[[#This Row],[Store_Purchases]]+Table1[[#This Row],[Catalog_Purchases]]+Table1[[#This Row],[Web_Purchases]]+Table1[[#This Row],[Deal_Purchases]])</f>
        <v>9</v>
      </c>
      <c r="V739">
        <v>5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f>SUM(Table1[[#This Row],[Accepted_Campaign_2]]+Table1[[#This Row],[Accepted_Campaign_1]]+Table1[[#This Row],[Accepted_Campaign_5]]+Table1[[#This Row],[Accepted_Campaign_4]]+Table1[[#This Row],[Accepted_Campaign_3]])</f>
        <v>1</v>
      </c>
      <c r="AC739">
        <v>0</v>
      </c>
      <c r="AD739">
        <v>0</v>
      </c>
    </row>
    <row r="740" spans="1:30" x14ac:dyDescent="0.25">
      <c r="A740">
        <v>41183</v>
      </c>
      <c r="B740">
        <v>2882</v>
      </c>
      <c r="C740">
        <v>1975</v>
      </c>
      <c r="D740" t="s">
        <v>20</v>
      </c>
      <c r="E740" t="s">
        <v>15</v>
      </c>
      <c r="F740" t="s">
        <v>7</v>
      </c>
      <c r="G740">
        <v>67893</v>
      </c>
      <c r="H740">
        <v>1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f>SUM(Table1[[#This Row],[Gold Spending]]+Table1[[#This Row],[Sweet Spending]]+Table1[[#This Row],[Fish Spending]]+Table1[[#This Row],[Meat Spending]]+Table1[[#This Row],[Fruits Spending]]+Table1[[#This Row],[Wine Spending ]])</f>
        <v>995</v>
      </c>
      <c r="Q740">
        <v>2</v>
      </c>
      <c r="R740">
        <v>3</v>
      </c>
      <c r="S740">
        <v>2</v>
      </c>
      <c r="T740">
        <v>9</v>
      </c>
      <c r="U740">
        <f>SUM(Table1[[#This Row],[Store_Purchases]]+Table1[[#This Row],[Catalog_Purchases]]+Table1[[#This Row],[Web_Purchases]]+Table1[[#This Row],[Deal_Purchases]])</f>
        <v>16</v>
      </c>
      <c r="V740">
        <v>8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f>SUM(Table1[[#This Row],[Accepted_Campaign_2]]+Table1[[#This Row],[Accepted_Campaign_1]]+Table1[[#This Row],[Accepted_Campaign_5]]+Table1[[#This Row],[Accepted_Campaign_4]]+Table1[[#This Row],[Accepted_Campaign_3]])</f>
        <v>0</v>
      </c>
      <c r="AC740">
        <v>0</v>
      </c>
      <c r="AD740">
        <v>0</v>
      </c>
    </row>
    <row r="741" spans="1:30" x14ac:dyDescent="0.25">
      <c r="A741">
        <v>41174</v>
      </c>
      <c r="B741">
        <v>2379</v>
      </c>
      <c r="C741">
        <v>1953</v>
      </c>
      <c r="D741" t="s">
        <v>20</v>
      </c>
      <c r="E741" t="s">
        <v>6</v>
      </c>
      <c r="F741" t="s">
        <v>9</v>
      </c>
      <c r="G741">
        <v>69267</v>
      </c>
      <c r="H741">
        <v>0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f>SUM(Table1[[#This Row],[Gold Spending]]+Table1[[#This Row],[Sweet Spending]]+Table1[[#This Row],[Fish Spending]]+Table1[[#This Row],[Meat Spending]]+Table1[[#This Row],[Fruits Spending]]+Table1[[#This Row],[Wine Spending ]])</f>
        <v>1635</v>
      </c>
      <c r="Q741">
        <v>2</v>
      </c>
      <c r="R741">
        <v>3</v>
      </c>
      <c r="S741">
        <v>4</v>
      </c>
      <c r="T741">
        <v>5</v>
      </c>
      <c r="U741">
        <f>SUM(Table1[[#This Row],[Store_Purchases]]+Table1[[#This Row],[Catalog_Purchases]]+Table1[[#This Row],[Web_Purchases]]+Table1[[#This Row],[Deal_Purchases]])</f>
        <v>14</v>
      </c>
      <c r="V741">
        <v>7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f>SUM(Table1[[#This Row],[Accepted_Campaign_2]]+Table1[[#This Row],[Accepted_Campaign_1]]+Table1[[#This Row],[Accepted_Campaign_5]]+Table1[[#This Row],[Accepted_Campaign_4]]+Table1[[#This Row],[Accepted_Campaign_3]])</f>
        <v>0</v>
      </c>
      <c r="AC741">
        <v>1</v>
      </c>
      <c r="AD741">
        <v>0</v>
      </c>
    </row>
    <row r="742" spans="1:30" x14ac:dyDescent="0.25">
      <c r="A742">
        <v>41129</v>
      </c>
      <c r="B742">
        <v>5342</v>
      </c>
      <c r="C742">
        <v>1976</v>
      </c>
      <c r="D742" t="s">
        <v>10</v>
      </c>
      <c r="E742" t="s">
        <v>21</v>
      </c>
      <c r="F742" t="s">
        <v>7</v>
      </c>
      <c r="G742">
        <v>9548</v>
      </c>
      <c r="H742">
        <v>1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f>SUM(Table1[[#This Row],[Gold Spending]]+Table1[[#This Row],[Sweet Spending]]+Table1[[#This Row],[Fish Spending]]+Table1[[#This Row],[Meat Spending]]+Table1[[#This Row],[Fruits Spending]]+Table1[[#This Row],[Wine Spending ]])</f>
        <v>29</v>
      </c>
      <c r="Q742">
        <v>2</v>
      </c>
      <c r="R742">
        <v>1</v>
      </c>
      <c r="S742">
        <v>0</v>
      </c>
      <c r="T742">
        <v>3</v>
      </c>
      <c r="U742">
        <f>SUM(Table1[[#This Row],[Store_Purchases]]+Table1[[#This Row],[Catalog_Purchases]]+Table1[[#This Row],[Web_Purchases]]+Table1[[#This Row],[Deal_Purchases]])</f>
        <v>6</v>
      </c>
      <c r="V742">
        <v>8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f>SUM(Table1[[#This Row],[Accepted_Campaign_2]]+Table1[[#This Row],[Accepted_Campaign_1]]+Table1[[#This Row],[Accepted_Campaign_5]]+Table1[[#This Row],[Accepted_Campaign_4]]+Table1[[#This Row],[Accepted_Campaign_3]])</f>
        <v>0</v>
      </c>
      <c r="AC742">
        <v>0</v>
      </c>
      <c r="AD742">
        <v>0</v>
      </c>
    </row>
    <row r="743" spans="1:30" x14ac:dyDescent="0.25">
      <c r="A743">
        <v>41128</v>
      </c>
      <c r="B743">
        <v>3262</v>
      </c>
      <c r="C743">
        <v>1958</v>
      </c>
      <c r="D743" t="s">
        <v>8</v>
      </c>
      <c r="E743" t="s">
        <v>6</v>
      </c>
      <c r="F743" t="s">
        <v>9</v>
      </c>
      <c r="G743">
        <v>68281</v>
      </c>
      <c r="H743">
        <v>0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f>SUM(Table1[[#This Row],[Gold Spending]]+Table1[[#This Row],[Sweet Spending]]+Table1[[#This Row],[Fish Spending]]+Table1[[#This Row],[Meat Spending]]+Table1[[#This Row],[Fruits Spending]]+Table1[[#This Row],[Wine Spending ]])</f>
        <v>1655</v>
      </c>
      <c r="Q743">
        <v>1</v>
      </c>
      <c r="R743">
        <v>2</v>
      </c>
      <c r="S743">
        <v>9</v>
      </c>
      <c r="T743">
        <v>13</v>
      </c>
      <c r="U743">
        <f>SUM(Table1[[#This Row],[Store_Purchases]]+Table1[[#This Row],[Catalog_Purchases]]+Table1[[#This Row],[Web_Purchases]]+Table1[[#This Row],[Deal_Purchases]])</f>
        <v>25</v>
      </c>
      <c r="V743">
        <v>5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f>SUM(Table1[[#This Row],[Accepted_Campaign_2]]+Table1[[#This Row],[Accepted_Campaign_1]]+Table1[[#This Row],[Accepted_Campaign_5]]+Table1[[#This Row],[Accepted_Campaign_4]]+Table1[[#This Row],[Accepted_Campaign_3]])</f>
        <v>0</v>
      </c>
      <c r="AC743">
        <v>1</v>
      </c>
      <c r="AD743">
        <v>0</v>
      </c>
    </row>
    <row r="744" spans="1:30" x14ac:dyDescent="0.25">
      <c r="A744">
        <v>41749</v>
      </c>
      <c r="B744">
        <v>5832</v>
      </c>
      <c r="C744">
        <v>1960</v>
      </c>
      <c r="D744" t="s">
        <v>8</v>
      </c>
      <c r="E744" t="s">
        <v>15</v>
      </c>
      <c r="F744" t="s">
        <v>12</v>
      </c>
      <c r="G744">
        <v>92556</v>
      </c>
      <c r="H744">
        <v>0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f>SUM(Table1[[#This Row],[Gold Spending]]+Table1[[#This Row],[Sweet Spending]]+Table1[[#This Row],[Fish Spending]]+Table1[[#This Row],[Meat Spending]]+Table1[[#This Row],[Fruits Spending]]+Table1[[#This Row],[Wine Spending ]])</f>
        <v>1263</v>
      </c>
      <c r="Q744">
        <v>0</v>
      </c>
      <c r="R744">
        <v>3</v>
      </c>
      <c r="S744">
        <v>5</v>
      </c>
      <c r="T744">
        <v>13</v>
      </c>
      <c r="U744">
        <f>SUM(Table1[[#This Row],[Store_Purchases]]+Table1[[#This Row],[Catalog_Purchases]]+Table1[[#This Row],[Web_Purchases]]+Table1[[#This Row],[Deal_Purchases]])</f>
        <v>21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f>SUM(Table1[[#This Row],[Accepted_Campaign_2]]+Table1[[#This Row],[Accepted_Campaign_1]]+Table1[[#This Row],[Accepted_Campaign_5]]+Table1[[#This Row],[Accepted_Campaign_4]]+Table1[[#This Row],[Accepted_Campaign_3]])</f>
        <v>0</v>
      </c>
      <c r="AC744">
        <v>0</v>
      </c>
      <c r="AD744">
        <v>0</v>
      </c>
    </row>
    <row r="745" spans="1:30" x14ac:dyDescent="0.25">
      <c r="A745">
        <v>41632</v>
      </c>
      <c r="B745">
        <v>5025</v>
      </c>
      <c r="C745">
        <v>1979</v>
      </c>
      <c r="D745" t="s">
        <v>8</v>
      </c>
      <c r="E745" t="s">
        <v>6</v>
      </c>
      <c r="F745" t="s">
        <v>9</v>
      </c>
      <c r="G745">
        <v>48526</v>
      </c>
      <c r="H745">
        <v>1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f>SUM(Table1[[#This Row],[Gold Spending]]+Table1[[#This Row],[Sweet Spending]]+Table1[[#This Row],[Fish Spending]]+Table1[[#This Row],[Meat Spending]]+Table1[[#This Row],[Fruits Spending]]+Table1[[#This Row],[Wine Spending ]])</f>
        <v>135</v>
      </c>
      <c r="Q745">
        <v>1</v>
      </c>
      <c r="R745">
        <v>2</v>
      </c>
      <c r="S745">
        <v>1</v>
      </c>
      <c r="T745">
        <v>4</v>
      </c>
      <c r="U745">
        <f>SUM(Table1[[#This Row],[Store_Purchases]]+Table1[[#This Row],[Catalog_Purchases]]+Table1[[#This Row],[Web_Purchases]]+Table1[[#This Row],[Deal_Purchases]])</f>
        <v>8</v>
      </c>
      <c r="V745">
        <v>3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f>SUM(Table1[[#This Row],[Accepted_Campaign_2]]+Table1[[#This Row],[Accepted_Campaign_1]]+Table1[[#This Row],[Accepted_Campaign_5]]+Table1[[#This Row],[Accepted_Campaign_4]]+Table1[[#This Row],[Accepted_Campaign_3]])</f>
        <v>0</v>
      </c>
      <c r="AC745">
        <v>0</v>
      </c>
      <c r="AD745">
        <v>0</v>
      </c>
    </row>
    <row r="746" spans="1:30" x14ac:dyDescent="0.25">
      <c r="A746">
        <v>41622</v>
      </c>
      <c r="B746">
        <v>569</v>
      </c>
      <c r="C746">
        <v>1991</v>
      </c>
      <c r="D746" t="s">
        <v>8</v>
      </c>
      <c r="E746" t="s">
        <v>6</v>
      </c>
      <c r="F746" t="s">
        <v>9</v>
      </c>
      <c r="G746">
        <v>90273</v>
      </c>
      <c r="H746">
        <v>0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f>SUM(Table1[[#This Row],[Gold Spending]]+Table1[[#This Row],[Sweet Spending]]+Table1[[#This Row],[Fish Spending]]+Table1[[#This Row],[Meat Spending]]+Table1[[#This Row],[Fruits Spending]]+Table1[[#This Row],[Wine Spending ]])</f>
        <v>1991</v>
      </c>
      <c r="Q746">
        <v>1</v>
      </c>
      <c r="R746">
        <v>5</v>
      </c>
      <c r="S746">
        <v>6</v>
      </c>
      <c r="T746">
        <v>7</v>
      </c>
      <c r="U746">
        <f>SUM(Table1[[#This Row],[Store_Purchases]]+Table1[[#This Row],[Catalog_Purchases]]+Table1[[#This Row],[Web_Purchases]]+Table1[[#This Row],[Deal_Purchases]])</f>
        <v>19</v>
      </c>
      <c r="V746">
        <v>2</v>
      </c>
      <c r="W746">
        <v>0</v>
      </c>
      <c r="X746">
        <v>1</v>
      </c>
      <c r="Y746">
        <v>1</v>
      </c>
      <c r="Z746">
        <v>1</v>
      </c>
      <c r="AA746">
        <v>0</v>
      </c>
      <c r="AB746">
        <f>SUM(Table1[[#This Row],[Accepted_Campaign_2]]+Table1[[#This Row],[Accepted_Campaign_1]]+Table1[[#This Row],[Accepted_Campaign_5]]+Table1[[#This Row],[Accepted_Campaign_4]]+Table1[[#This Row],[Accepted_Campaign_3]])</f>
        <v>3</v>
      </c>
      <c r="AC746">
        <v>1</v>
      </c>
      <c r="AD746">
        <v>0</v>
      </c>
    </row>
    <row r="747" spans="1:30" x14ac:dyDescent="0.25">
      <c r="A747">
        <v>41563</v>
      </c>
      <c r="B747">
        <v>3102</v>
      </c>
      <c r="C747">
        <v>1981</v>
      </c>
      <c r="D747" t="s">
        <v>10</v>
      </c>
      <c r="E747" t="s">
        <v>15</v>
      </c>
      <c r="F747" t="s">
        <v>12</v>
      </c>
      <c r="G747">
        <v>19414</v>
      </c>
      <c r="H747">
        <v>1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f>SUM(Table1[[#This Row],[Gold Spending]]+Table1[[#This Row],[Sweet Spending]]+Table1[[#This Row],[Fish Spending]]+Table1[[#This Row],[Meat Spending]]+Table1[[#This Row],[Fruits Spending]]+Table1[[#This Row],[Wine Spending ]])</f>
        <v>32</v>
      </c>
      <c r="Q747">
        <v>1</v>
      </c>
      <c r="R747">
        <v>1</v>
      </c>
      <c r="S747">
        <v>0</v>
      </c>
      <c r="T747">
        <v>3</v>
      </c>
      <c r="U747">
        <f>SUM(Table1[[#This Row],[Store_Purchases]]+Table1[[#This Row],[Catalog_Purchases]]+Table1[[#This Row],[Web_Purchases]]+Table1[[#This Row],[Deal_Purchases]])</f>
        <v>5</v>
      </c>
      <c r="V747">
        <v>8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f>SUM(Table1[[#This Row],[Accepted_Campaign_2]]+Table1[[#This Row],[Accepted_Campaign_1]]+Table1[[#This Row],[Accepted_Campaign_5]]+Table1[[#This Row],[Accepted_Campaign_4]]+Table1[[#This Row],[Accepted_Campaign_3]])</f>
        <v>0</v>
      </c>
      <c r="AC747">
        <v>0</v>
      </c>
      <c r="AD747">
        <v>0</v>
      </c>
    </row>
    <row r="748" spans="1:30" x14ac:dyDescent="0.25">
      <c r="A748">
        <v>41551</v>
      </c>
      <c r="B748">
        <v>9449</v>
      </c>
      <c r="C748">
        <v>1958</v>
      </c>
      <c r="D748" t="s">
        <v>20</v>
      </c>
      <c r="E748" t="s">
        <v>14</v>
      </c>
      <c r="F748" t="s">
        <v>9</v>
      </c>
      <c r="G748">
        <v>79761</v>
      </c>
      <c r="H748">
        <v>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f>SUM(Table1[[#This Row],[Gold Spending]]+Table1[[#This Row],[Sweet Spending]]+Table1[[#This Row],[Fish Spending]]+Table1[[#This Row],[Meat Spending]]+Table1[[#This Row],[Fruits Spending]]+Table1[[#This Row],[Wine Spending ]])</f>
        <v>605</v>
      </c>
      <c r="Q748">
        <v>1</v>
      </c>
      <c r="R748">
        <v>5</v>
      </c>
      <c r="S748">
        <v>2</v>
      </c>
      <c r="T748">
        <v>11</v>
      </c>
      <c r="U748">
        <f>SUM(Table1[[#This Row],[Store_Purchases]]+Table1[[#This Row],[Catalog_Purchases]]+Table1[[#This Row],[Web_Purchases]]+Table1[[#This Row],[Deal_Purchases]])</f>
        <v>19</v>
      </c>
      <c r="V748">
        <v>3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f>SUM(Table1[[#This Row],[Accepted_Campaign_2]]+Table1[[#This Row],[Accepted_Campaign_1]]+Table1[[#This Row],[Accepted_Campaign_5]]+Table1[[#This Row],[Accepted_Campaign_4]]+Table1[[#This Row],[Accepted_Campaign_3]])</f>
        <v>0</v>
      </c>
      <c r="AC748">
        <v>0</v>
      </c>
      <c r="AD748">
        <v>0</v>
      </c>
    </row>
    <row r="749" spans="1:30" x14ac:dyDescent="0.25">
      <c r="A749">
        <v>41495</v>
      </c>
      <c r="B749">
        <v>8104</v>
      </c>
      <c r="C749">
        <v>1951</v>
      </c>
      <c r="D749" t="s">
        <v>8</v>
      </c>
      <c r="E749" t="s">
        <v>14</v>
      </c>
      <c r="F749" t="s">
        <v>11</v>
      </c>
      <c r="G749">
        <v>53312</v>
      </c>
      <c r="H749">
        <v>0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f>SUM(Table1[[#This Row],[Gold Spending]]+Table1[[#This Row],[Sweet Spending]]+Table1[[#This Row],[Fish Spending]]+Table1[[#This Row],[Meat Spending]]+Table1[[#This Row],[Fruits Spending]]+Table1[[#This Row],[Wine Spending ]])</f>
        <v>278</v>
      </c>
      <c r="Q749">
        <v>1</v>
      </c>
      <c r="R749">
        <v>5</v>
      </c>
      <c r="S749">
        <v>1</v>
      </c>
      <c r="T749">
        <v>5</v>
      </c>
      <c r="U749">
        <f>SUM(Table1[[#This Row],[Store_Purchases]]+Table1[[#This Row],[Catalog_Purchases]]+Table1[[#This Row],[Web_Purchases]]+Table1[[#This Row],[Deal_Purchases]])</f>
        <v>12</v>
      </c>
      <c r="V749">
        <v>7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f>SUM(Table1[[#This Row],[Accepted_Campaign_2]]+Table1[[#This Row],[Accepted_Campaign_1]]+Table1[[#This Row],[Accepted_Campaign_5]]+Table1[[#This Row],[Accepted_Campaign_4]]+Table1[[#This Row],[Accepted_Campaign_3]])</f>
        <v>0</v>
      </c>
      <c r="AC749">
        <v>0</v>
      </c>
      <c r="AD749">
        <v>0</v>
      </c>
    </row>
    <row r="750" spans="1:30" x14ac:dyDescent="0.25">
      <c r="A750">
        <v>41480</v>
      </c>
      <c r="B750">
        <v>75</v>
      </c>
      <c r="C750">
        <v>1982</v>
      </c>
      <c r="D750" t="s">
        <v>63</v>
      </c>
      <c r="E750" t="s">
        <v>15</v>
      </c>
      <c r="F750" t="s">
        <v>12</v>
      </c>
      <c r="G750">
        <v>41039</v>
      </c>
      <c r="H750">
        <v>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f>SUM(Table1[[#This Row],[Gold Spending]]+Table1[[#This Row],[Sweet Spending]]+Table1[[#This Row],[Fish Spending]]+Table1[[#This Row],[Meat Spending]]+Table1[[#This Row],[Fruits Spending]]+Table1[[#This Row],[Wine Spending ]])</f>
        <v>467</v>
      </c>
      <c r="Q750">
        <v>1</v>
      </c>
      <c r="R750">
        <v>8</v>
      </c>
      <c r="S750">
        <v>1</v>
      </c>
      <c r="T750">
        <v>5</v>
      </c>
      <c r="U750">
        <f>SUM(Table1[[#This Row],[Store_Purchases]]+Table1[[#This Row],[Catalog_Purchases]]+Table1[[#This Row],[Web_Purchases]]+Table1[[#This Row],[Deal_Purchases]])</f>
        <v>15</v>
      </c>
      <c r="V750">
        <v>8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f>SUM(Table1[[#This Row],[Accepted_Campaign_2]]+Table1[[#This Row],[Accepted_Campaign_1]]+Table1[[#This Row],[Accepted_Campaign_5]]+Table1[[#This Row],[Accepted_Campaign_4]]+Table1[[#This Row],[Accepted_Campaign_3]])</f>
        <v>0</v>
      </c>
      <c r="AC750">
        <v>0</v>
      </c>
      <c r="AD750">
        <v>0</v>
      </c>
    </row>
    <row r="751" spans="1:30" x14ac:dyDescent="0.25">
      <c r="A751">
        <v>41458</v>
      </c>
      <c r="B751">
        <v>6421</v>
      </c>
      <c r="C751">
        <v>1961</v>
      </c>
      <c r="D751" t="s">
        <v>8</v>
      </c>
      <c r="E751" t="s">
        <v>6</v>
      </c>
      <c r="F751" t="s">
        <v>12</v>
      </c>
      <c r="G751">
        <v>88347</v>
      </c>
      <c r="H751">
        <v>0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f>SUM(Table1[[#This Row],[Gold Spending]]+Table1[[#This Row],[Sweet Spending]]+Table1[[#This Row],[Fish Spending]]+Table1[[#This Row],[Meat Spending]]+Table1[[#This Row],[Fruits Spending]]+Table1[[#This Row],[Wine Spending ]])</f>
        <v>2116</v>
      </c>
      <c r="Q751">
        <v>1</v>
      </c>
      <c r="R751">
        <v>4</v>
      </c>
      <c r="S751">
        <v>7</v>
      </c>
      <c r="T751">
        <v>9</v>
      </c>
      <c r="U751">
        <f>SUM(Table1[[#This Row],[Store_Purchases]]+Table1[[#This Row],[Catalog_Purchases]]+Table1[[#This Row],[Web_Purchases]]+Table1[[#This Row],[Deal_Purchases]])</f>
        <v>21</v>
      </c>
      <c r="V751">
        <v>1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f>SUM(Table1[[#This Row],[Accepted_Campaign_2]]+Table1[[#This Row],[Accepted_Campaign_1]]+Table1[[#This Row],[Accepted_Campaign_5]]+Table1[[#This Row],[Accepted_Campaign_4]]+Table1[[#This Row],[Accepted_Campaign_3]])</f>
        <v>1</v>
      </c>
      <c r="AC751">
        <v>0</v>
      </c>
      <c r="AD751">
        <v>0</v>
      </c>
    </row>
    <row r="752" spans="1:30" x14ac:dyDescent="0.25">
      <c r="A752">
        <v>41445</v>
      </c>
      <c r="B752">
        <v>3037</v>
      </c>
      <c r="C752">
        <v>1983</v>
      </c>
      <c r="D752" t="s">
        <v>10</v>
      </c>
      <c r="E752" t="s">
        <v>14</v>
      </c>
      <c r="F752" t="s">
        <v>11</v>
      </c>
      <c r="G752">
        <v>50150</v>
      </c>
      <c r="H752">
        <v>0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f>SUM(Table1[[#This Row],[Gold Spending]]+Table1[[#This Row],[Sweet Spending]]+Table1[[#This Row],[Fish Spending]]+Table1[[#This Row],[Meat Spending]]+Table1[[#This Row],[Fruits Spending]]+Table1[[#This Row],[Wine Spending ]])</f>
        <v>410</v>
      </c>
      <c r="Q752">
        <v>2</v>
      </c>
      <c r="R752">
        <v>5</v>
      </c>
      <c r="S752">
        <v>2</v>
      </c>
      <c r="T752">
        <v>7</v>
      </c>
      <c r="U752">
        <f>SUM(Table1[[#This Row],[Store_Purchases]]+Table1[[#This Row],[Catalog_Purchases]]+Table1[[#This Row],[Web_Purchases]]+Table1[[#This Row],[Deal_Purchases]])</f>
        <v>16</v>
      </c>
      <c r="V752">
        <v>5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f>SUM(Table1[[#This Row],[Accepted_Campaign_2]]+Table1[[#This Row],[Accepted_Campaign_1]]+Table1[[#This Row],[Accepted_Campaign_5]]+Table1[[#This Row],[Accepted_Campaign_4]]+Table1[[#This Row],[Accepted_Campaign_3]])</f>
        <v>0</v>
      </c>
      <c r="AC752">
        <v>0</v>
      </c>
      <c r="AD752">
        <v>0</v>
      </c>
    </row>
    <row r="753" spans="1:30" x14ac:dyDescent="0.25">
      <c r="A753">
        <v>41445</v>
      </c>
      <c r="B753">
        <v>4698</v>
      </c>
      <c r="C753">
        <v>1983</v>
      </c>
      <c r="D753" t="s">
        <v>8</v>
      </c>
      <c r="E753" t="s">
        <v>14</v>
      </c>
      <c r="F753" t="s">
        <v>11</v>
      </c>
      <c r="G753">
        <v>50150</v>
      </c>
      <c r="H753">
        <v>0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f>SUM(Table1[[#This Row],[Gold Spending]]+Table1[[#This Row],[Sweet Spending]]+Table1[[#This Row],[Fish Spending]]+Table1[[#This Row],[Meat Spending]]+Table1[[#This Row],[Fruits Spending]]+Table1[[#This Row],[Wine Spending ]])</f>
        <v>410</v>
      </c>
      <c r="Q753">
        <v>2</v>
      </c>
      <c r="R753">
        <v>5</v>
      </c>
      <c r="S753">
        <v>2</v>
      </c>
      <c r="T753">
        <v>7</v>
      </c>
      <c r="U753">
        <f>SUM(Table1[[#This Row],[Store_Purchases]]+Table1[[#This Row],[Catalog_Purchases]]+Table1[[#This Row],[Web_Purchases]]+Table1[[#This Row],[Deal_Purchases]])</f>
        <v>16</v>
      </c>
      <c r="V753">
        <v>5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f>SUM(Table1[[#This Row],[Accepted_Campaign_2]]+Table1[[#This Row],[Accepted_Campaign_1]]+Table1[[#This Row],[Accepted_Campaign_5]]+Table1[[#This Row],[Accepted_Campaign_4]]+Table1[[#This Row],[Accepted_Campaign_3]])</f>
        <v>0</v>
      </c>
      <c r="AC753">
        <v>0</v>
      </c>
      <c r="AD753">
        <v>0</v>
      </c>
    </row>
    <row r="754" spans="1:30" x14ac:dyDescent="0.25">
      <c r="A754">
        <v>41409</v>
      </c>
      <c r="B754">
        <v>948</v>
      </c>
      <c r="C754">
        <v>1971</v>
      </c>
      <c r="D754" t="s">
        <v>8</v>
      </c>
      <c r="E754" t="s">
        <v>6</v>
      </c>
      <c r="F754" t="s">
        <v>9</v>
      </c>
      <c r="G754">
        <v>10245</v>
      </c>
      <c r="H754">
        <v>1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f>SUM(Table1[[#This Row],[Gold Spending]]+Table1[[#This Row],[Sweet Spending]]+Table1[[#This Row],[Fish Spending]]+Table1[[#This Row],[Meat Spending]]+Table1[[#This Row],[Fruits Spending]]+Table1[[#This Row],[Wine Spending ]])</f>
        <v>41</v>
      </c>
      <c r="Q754">
        <v>3</v>
      </c>
      <c r="R754">
        <v>1</v>
      </c>
      <c r="S754">
        <v>2</v>
      </c>
      <c r="T754">
        <v>2</v>
      </c>
      <c r="U754">
        <f>SUM(Table1[[#This Row],[Store_Purchases]]+Table1[[#This Row],[Catalog_Purchases]]+Table1[[#This Row],[Web_Purchases]]+Table1[[#This Row],[Deal_Purchases]])</f>
        <v>8</v>
      </c>
      <c r="V754">
        <v>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f>SUM(Table1[[#This Row],[Accepted_Campaign_2]]+Table1[[#This Row],[Accepted_Campaign_1]]+Table1[[#This Row],[Accepted_Campaign_5]]+Table1[[#This Row],[Accepted_Campaign_4]]+Table1[[#This Row],[Accepted_Campaign_3]])</f>
        <v>0</v>
      </c>
      <c r="AC754">
        <v>0</v>
      </c>
      <c r="AD754">
        <v>0</v>
      </c>
    </row>
    <row r="755" spans="1:30" x14ac:dyDescent="0.25">
      <c r="A755">
        <v>41402</v>
      </c>
      <c r="B755">
        <v>6177</v>
      </c>
      <c r="C755">
        <v>1985</v>
      </c>
      <c r="D755" t="s">
        <v>63</v>
      </c>
      <c r="E755" t="s">
        <v>14</v>
      </c>
      <c r="F755" t="s">
        <v>11</v>
      </c>
      <c r="G755">
        <v>33454</v>
      </c>
      <c r="H755">
        <v>1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f>SUM(Table1[[#This Row],[Gold Spending]]+Table1[[#This Row],[Sweet Spending]]+Table1[[#This Row],[Fish Spending]]+Table1[[#This Row],[Meat Spending]]+Table1[[#This Row],[Fruits Spending]]+Table1[[#This Row],[Wine Spending ]])</f>
        <v>169</v>
      </c>
      <c r="Q755">
        <v>2</v>
      </c>
      <c r="R755">
        <v>4</v>
      </c>
      <c r="S755">
        <v>0</v>
      </c>
      <c r="T755">
        <v>4</v>
      </c>
      <c r="U755">
        <f>SUM(Table1[[#This Row],[Store_Purchases]]+Table1[[#This Row],[Catalog_Purchases]]+Table1[[#This Row],[Web_Purchases]]+Table1[[#This Row],[Deal_Purchases]])</f>
        <v>10</v>
      </c>
      <c r="V755">
        <v>8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f>SUM(Table1[[#This Row],[Accepted_Campaign_2]]+Table1[[#This Row],[Accepted_Campaign_1]]+Table1[[#This Row],[Accepted_Campaign_5]]+Table1[[#This Row],[Accepted_Campaign_4]]+Table1[[#This Row],[Accepted_Campaign_3]])</f>
        <v>0</v>
      </c>
      <c r="AC755">
        <v>0</v>
      </c>
      <c r="AD755">
        <v>0</v>
      </c>
    </row>
    <row r="756" spans="1:30" x14ac:dyDescent="0.25">
      <c r="A756">
        <v>41400</v>
      </c>
      <c r="B756">
        <v>3517</v>
      </c>
      <c r="C756">
        <v>1952</v>
      </c>
      <c r="D756" t="s">
        <v>8</v>
      </c>
      <c r="E756" t="s">
        <v>6</v>
      </c>
      <c r="F756" t="s">
        <v>9</v>
      </c>
      <c r="G756">
        <v>40887</v>
      </c>
      <c r="H756">
        <v>2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f>SUM(Table1[[#This Row],[Gold Spending]]+Table1[[#This Row],[Sweet Spending]]+Table1[[#This Row],[Fish Spending]]+Table1[[#This Row],[Meat Spending]]+Table1[[#This Row],[Fruits Spending]]+Table1[[#This Row],[Wine Spending ]])</f>
        <v>161</v>
      </c>
      <c r="Q756">
        <v>3</v>
      </c>
      <c r="R756">
        <v>3</v>
      </c>
      <c r="S756">
        <v>1</v>
      </c>
      <c r="T756">
        <v>3</v>
      </c>
      <c r="U756">
        <f>SUM(Table1[[#This Row],[Store_Purchases]]+Table1[[#This Row],[Catalog_Purchases]]+Table1[[#This Row],[Web_Purchases]]+Table1[[#This Row],[Deal_Purchases]])</f>
        <v>10</v>
      </c>
      <c r="V756">
        <v>9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f>SUM(Table1[[#This Row],[Accepted_Campaign_2]]+Table1[[#This Row],[Accepted_Campaign_1]]+Table1[[#This Row],[Accepted_Campaign_5]]+Table1[[#This Row],[Accepted_Campaign_4]]+Table1[[#This Row],[Accepted_Campaign_3]])</f>
        <v>0</v>
      </c>
      <c r="AC756">
        <v>1</v>
      </c>
      <c r="AD756">
        <v>0</v>
      </c>
    </row>
    <row r="757" spans="1:30" x14ac:dyDescent="0.25">
      <c r="A757">
        <v>41393</v>
      </c>
      <c r="B757">
        <v>3491</v>
      </c>
      <c r="C757">
        <v>1975</v>
      </c>
      <c r="D757" t="s">
        <v>63</v>
      </c>
      <c r="E757" t="s">
        <v>6</v>
      </c>
      <c r="F757" t="s">
        <v>12</v>
      </c>
      <c r="G757">
        <v>55914</v>
      </c>
      <c r="H757">
        <v>1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f>SUM(Table1[[#This Row],[Gold Spending]]+Table1[[#This Row],[Sweet Spending]]+Table1[[#This Row],[Fish Spending]]+Table1[[#This Row],[Meat Spending]]+Table1[[#This Row],[Fruits Spending]]+Table1[[#This Row],[Wine Spending ]])</f>
        <v>1260</v>
      </c>
      <c r="Q757">
        <v>4</v>
      </c>
      <c r="R757">
        <v>11</v>
      </c>
      <c r="S757">
        <v>6</v>
      </c>
      <c r="T757">
        <v>8</v>
      </c>
      <c r="U757">
        <f>SUM(Table1[[#This Row],[Store_Purchases]]+Table1[[#This Row],[Catalog_Purchases]]+Table1[[#This Row],[Web_Purchases]]+Table1[[#This Row],[Deal_Purchases]])</f>
        <v>29</v>
      </c>
      <c r="V757">
        <v>7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f>SUM(Table1[[#This Row],[Accepted_Campaign_2]]+Table1[[#This Row],[Accepted_Campaign_1]]+Table1[[#This Row],[Accepted_Campaign_5]]+Table1[[#This Row],[Accepted_Campaign_4]]+Table1[[#This Row],[Accepted_Campaign_3]])</f>
        <v>0</v>
      </c>
      <c r="AC757">
        <v>0</v>
      </c>
      <c r="AD757">
        <v>0</v>
      </c>
    </row>
    <row r="758" spans="1:30" x14ac:dyDescent="0.25">
      <c r="A758">
        <v>41382</v>
      </c>
      <c r="B758">
        <v>7610</v>
      </c>
      <c r="C758">
        <v>1983</v>
      </c>
      <c r="D758" t="s">
        <v>8</v>
      </c>
      <c r="E758" t="s">
        <v>6</v>
      </c>
      <c r="F758" t="s">
        <v>12</v>
      </c>
      <c r="G758">
        <v>37292</v>
      </c>
      <c r="H758">
        <v>1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f>SUM(Table1[[#This Row],[Gold Spending]]+Table1[[#This Row],[Sweet Spending]]+Table1[[#This Row],[Fish Spending]]+Table1[[#This Row],[Meat Spending]]+Table1[[#This Row],[Fruits Spending]]+Table1[[#This Row],[Wine Spending ]])</f>
        <v>460</v>
      </c>
      <c r="Q758">
        <v>5</v>
      </c>
      <c r="R758">
        <v>6</v>
      </c>
      <c r="S758">
        <v>3</v>
      </c>
      <c r="T758">
        <v>5</v>
      </c>
      <c r="U758">
        <f>SUM(Table1[[#This Row],[Store_Purchases]]+Table1[[#This Row],[Catalog_Purchases]]+Table1[[#This Row],[Web_Purchases]]+Table1[[#This Row],[Deal_Purchases]])</f>
        <v>19</v>
      </c>
      <c r="V758">
        <v>8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f>SUM(Table1[[#This Row],[Accepted_Campaign_2]]+Table1[[#This Row],[Accepted_Campaign_1]]+Table1[[#This Row],[Accepted_Campaign_5]]+Table1[[#This Row],[Accepted_Campaign_4]]+Table1[[#This Row],[Accepted_Campaign_3]])</f>
        <v>0</v>
      </c>
      <c r="AC758">
        <v>0</v>
      </c>
      <c r="AD758">
        <v>0</v>
      </c>
    </row>
    <row r="759" spans="1:30" x14ac:dyDescent="0.25">
      <c r="A759">
        <v>41281</v>
      </c>
      <c r="B759">
        <v>4377</v>
      </c>
      <c r="C759">
        <v>1971</v>
      </c>
      <c r="D759" t="s">
        <v>10</v>
      </c>
      <c r="E759" t="s">
        <v>6</v>
      </c>
      <c r="F759" t="s">
        <v>11</v>
      </c>
      <c r="G759">
        <v>52914</v>
      </c>
      <c r="H759">
        <v>1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f>SUM(Table1[[#This Row],[Gold Spending]]+Table1[[#This Row],[Sweet Spending]]+Table1[[#This Row],[Fish Spending]]+Table1[[#This Row],[Meat Spending]]+Table1[[#This Row],[Fruits Spending]]+Table1[[#This Row],[Wine Spending ]])</f>
        <v>575</v>
      </c>
      <c r="Q759">
        <v>2</v>
      </c>
      <c r="R759">
        <v>7</v>
      </c>
      <c r="S759">
        <v>3</v>
      </c>
      <c r="T759">
        <v>3</v>
      </c>
      <c r="U759">
        <f>SUM(Table1[[#This Row],[Store_Purchases]]+Table1[[#This Row],[Catalog_Purchases]]+Table1[[#This Row],[Web_Purchases]]+Table1[[#This Row],[Deal_Purchases]])</f>
        <v>15</v>
      </c>
      <c r="V759">
        <v>7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f>SUM(Table1[[#This Row],[Accepted_Campaign_2]]+Table1[[#This Row],[Accepted_Campaign_1]]+Table1[[#This Row],[Accepted_Campaign_5]]+Table1[[#This Row],[Accepted_Campaign_4]]+Table1[[#This Row],[Accepted_Campaign_3]])</f>
        <v>1</v>
      </c>
      <c r="AC759">
        <v>0</v>
      </c>
      <c r="AD759">
        <v>0</v>
      </c>
    </row>
    <row r="760" spans="1:30" x14ac:dyDescent="0.25">
      <c r="A760">
        <v>41242</v>
      </c>
      <c r="B760">
        <v>9850</v>
      </c>
      <c r="C760">
        <v>1972</v>
      </c>
      <c r="D760" t="s">
        <v>8</v>
      </c>
      <c r="E760" t="s">
        <v>15</v>
      </c>
      <c r="F760" t="s">
        <v>11</v>
      </c>
      <c r="G760">
        <v>24884</v>
      </c>
      <c r="H760">
        <v>1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f>SUM(Table1[[#This Row],[Gold Spending]]+Table1[[#This Row],[Sweet Spending]]+Table1[[#This Row],[Fish Spending]]+Table1[[#This Row],[Meat Spending]]+Table1[[#This Row],[Fruits Spending]]+Table1[[#This Row],[Wine Spending ]])</f>
        <v>19</v>
      </c>
      <c r="Q760">
        <v>1</v>
      </c>
      <c r="R760">
        <v>0</v>
      </c>
      <c r="S760">
        <v>0</v>
      </c>
      <c r="T760">
        <v>3</v>
      </c>
      <c r="U760">
        <f>SUM(Table1[[#This Row],[Store_Purchases]]+Table1[[#This Row],[Catalog_Purchases]]+Table1[[#This Row],[Web_Purchases]]+Table1[[#This Row],[Deal_Purchases]])</f>
        <v>4</v>
      </c>
      <c r="V760">
        <v>7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f>SUM(Table1[[#This Row],[Accepted_Campaign_2]]+Table1[[#This Row],[Accepted_Campaign_1]]+Table1[[#This Row],[Accepted_Campaign_5]]+Table1[[#This Row],[Accepted_Campaign_4]]+Table1[[#This Row],[Accepted_Campaign_3]])</f>
        <v>0</v>
      </c>
      <c r="AC760">
        <v>0</v>
      </c>
      <c r="AD760">
        <v>0</v>
      </c>
    </row>
    <row r="761" spans="1:30" x14ac:dyDescent="0.25">
      <c r="A761">
        <v>41223</v>
      </c>
      <c r="B761">
        <v>5544</v>
      </c>
      <c r="C761">
        <v>1970</v>
      </c>
      <c r="D761" t="s">
        <v>8</v>
      </c>
      <c r="E761" t="s">
        <v>6</v>
      </c>
      <c r="F761" t="s">
        <v>9</v>
      </c>
      <c r="G761">
        <v>67384</v>
      </c>
      <c r="H761">
        <v>1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f>SUM(Table1[[#This Row],[Gold Spending]]+Table1[[#This Row],[Sweet Spending]]+Table1[[#This Row],[Fish Spending]]+Table1[[#This Row],[Meat Spending]]+Table1[[#This Row],[Fruits Spending]]+Table1[[#This Row],[Wine Spending ]])</f>
        <v>1490</v>
      </c>
      <c r="Q761">
        <v>2</v>
      </c>
      <c r="R761">
        <v>7</v>
      </c>
      <c r="S761">
        <v>8</v>
      </c>
      <c r="T761">
        <v>5</v>
      </c>
      <c r="U761">
        <f>SUM(Table1[[#This Row],[Store_Purchases]]+Table1[[#This Row],[Catalog_Purchases]]+Table1[[#This Row],[Web_Purchases]]+Table1[[#This Row],[Deal_Purchases]])</f>
        <v>22</v>
      </c>
      <c r="V761">
        <v>5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f>SUM(Table1[[#This Row],[Accepted_Campaign_2]]+Table1[[#This Row],[Accepted_Campaign_1]]+Table1[[#This Row],[Accepted_Campaign_5]]+Table1[[#This Row],[Accepted_Campaign_4]]+Table1[[#This Row],[Accepted_Campaign_3]])</f>
        <v>1</v>
      </c>
      <c r="AC761">
        <v>0</v>
      </c>
      <c r="AD761">
        <v>0</v>
      </c>
    </row>
    <row r="762" spans="1:30" x14ac:dyDescent="0.25">
      <c r="A762">
        <v>41220</v>
      </c>
      <c r="B762">
        <v>6497</v>
      </c>
      <c r="C762">
        <v>1960</v>
      </c>
      <c r="D762" t="s">
        <v>13</v>
      </c>
      <c r="E762" t="s">
        <v>6</v>
      </c>
      <c r="F762" t="s">
        <v>11</v>
      </c>
      <c r="G762">
        <v>51651</v>
      </c>
      <c r="H762">
        <v>1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f>SUM(Table1[[#This Row],[Gold Spending]]+Table1[[#This Row],[Sweet Spending]]+Table1[[#This Row],[Fish Spending]]+Table1[[#This Row],[Meat Spending]]+Table1[[#This Row],[Fruits Spending]]+Table1[[#This Row],[Wine Spending ]])</f>
        <v>433</v>
      </c>
      <c r="Q762">
        <v>4</v>
      </c>
      <c r="R762">
        <v>6</v>
      </c>
      <c r="S762">
        <v>2</v>
      </c>
      <c r="T762">
        <v>5</v>
      </c>
      <c r="U762">
        <f>SUM(Table1[[#This Row],[Store_Purchases]]+Table1[[#This Row],[Catalog_Purchases]]+Table1[[#This Row],[Web_Purchases]]+Table1[[#This Row],[Deal_Purchases]])</f>
        <v>17</v>
      </c>
      <c r="V762">
        <v>8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f>SUM(Table1[[#This Row],[Accepted_Campaign_2]]+Table1[[#This Row],[Accepted_Campaign_1]]+Table1[[#This Row],[Accepted_Campaign_5]]+Table1[[#This Row],[Accepted_Campaign_4]]+Table1[[#This Row],[Accepted_Campaign_3]])</f>
        <v>0</v>
      </c>
      <c r="AC762">
        <v>0</v>
      </c>
      <c r="AD762">
        <v>0</v>
      </c>
    </row>
    <row r="763" spans="1:30" x14ac:dyDescent="0.25">
      <c r="A763">
        <v>41213</v>
      </c>
      <c r="B763">
        <v>4543</v>
      </c>
      <c r="C763">
        <v>1980</v>
      </c>
      <c r="D763" t="s">
        <v>20</v>
      </c>
      <c r="E763" t="s">
        <v>6</v>
      </c>
      <c r="F763" t="s">
        <v>11</v>
      </c>
      <c r="G763">
        <v>82497</v>
      </c>
      <c r="H763">
        <v>0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f>SUM(Table1[[#This Row],[Gold Spending]]+Table1[[#This Row],[Sweet Spending]]+Table1[[#This Row],[Fish Spending]]+Table1[[#This Row],[Meat Spending]]+Table1[[#This Row],[Fruits Spending]]+Table1[[#This Row],[Wine Spending ]])</f>
        <v>1919</v>
      </c>
      <c r="Q763">
        <v>1</v>
      </c>
      <c r="R763">
        <v>2</v>
      </c>
      <c r="S763">
        <v>7</v>
      </c>
      <c r="T763">
        <v>9</v>
      </c>
      <c r="U763">
        <f>SUM(Table1[[#This Row],[Store_Purchases]]+Table1[[#This Row],[Catalog_Purchases]]+Table1[[#This Row],[Web_Purchases]]+Table1[[#This Row],[Deal_Purchases]])</f>
        <v>19</v>
      </c>
      <c r="V763">
        <v>4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f>SUM(Table1[[#This Row],[Accepted_Campaign_2]]+Table1[[#This Row],[Accepted_Campaign_1]]+Table1[[#This Row],[Accepted_Campaign_5]]+Table1[[#This Row],[Accepted_Campaign_4]]+Table1[[#This Row],[Accepted_Campaign_3]])</f>
        <v>1</v>
      </c>
      <c r="AC763">
        <v>0</v>
      </c>
      <c r="AD763">
        <v>0</v>
      </c>
    </row>
    <row r="764" spans="1:30" x14ac:dyDescent="0.25">
      <c r="A764">
        <v>41123</v>
      </c>
      <c r="B764">
        <v>5117</v>
      </c>
      <c r="C764">
        <v>1963</v>
      </c>
      <c r="D764" t="s">
        <v>8</v>
      </c>
      <c r="E764" t="s">
        <v>15</v>
      </c>
      <c r="F764" t="s">
        <v>11</v>
      </c>
      <c r="G764">
        <v>32632</v>
      </c>
      <c r="H764">
        <v>0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f>SUM(Table1[[#This Row],[Gold Spending]]+Table1[[#This Row],[Sweet Spending]]+Table1[[#This Row],[Fish Spending]]+Table1[[#This Row],[Meat Spending]]+Table1[[#This Row],[Fruits Spending]]+Table1[[#This Row],[Wine Spending ]])</f>
        <v>576</v>
      </c>
      <c r="Q764">
        <v>2</v>
      </c>
      <c r="R764">
        <v>4</v>
      </c>
      <c r="S764">
        <v>4</v>
      </c>
      <c r="T764">
        <v>8</v>
      </c>
      <c r="U764">
        <f>SUM(Table1[[#This Row],[Store_Purchases]]+Table1[[#This Row],[Catalog_Purchases]]+Table1[[#This Row],[Web_Purchases]]+Table1[[#This Row],[Deal_Purchases]])</f>
        <v>18</v>
      </c>
      <c r="V764">
        <v>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f>SUM(Table1[[#This Row],[Accepted_Campaign_2]]+Table1[[#This Row],[Accepted_Campaign_1]]+Table1[[#This Row],[Accepted_Campaign_5]]+Table1[[#This Row],[Accepted_Campaign_4]]+Table1[[#This Row],[Accepted_Campaign_3]])</f>
        <v>0</v>
      </c>
      <c r="AC764">
        <v>0</v>
      </c>
      <c r="AD764">
        <v>0</v>
      </c>
    </row>
    <row r="765" spans="1:30" x14ac:dyDescent="0.25">
      <c r="A765">
        <v>41815</v>
      </c>
      <c r="B765">
        <v>1448</v>
      </c>
      <c r="C765">
        <v>1963</v>
      </c>
      <c r="D765" t="s">
        <v>17</v>
      </c>
      <c r="E765" t="s">
        <v>18</v>
      </c>
      <c r="F765" t="s">
        <v>11</v>
      </c>
      <c r="G765">
        <v>33562</v>
      </c>
      <c r="H765">
        <v>3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f>SUM(Table1[[#This Row],[Gold Spending]]+Table1[[#This Row],[Sweet Spending]]+Table1[[#This Row],[Fish Spending]]+Table1[[#This Row],[Meat Spending]]+Table1[[#This Row],[Fruits Spending]]+Table1[[#This Row],[Wine Spending ]])</f>
        <v>51</v>
      </c>
      <c r="Q765">
        <v>3</v>
      </c>
      <c r="R765">
        <v>2</v>
      </c>
      <c r="S765">
        <v>0</v>
      </c>
      <c r="T765">
        <v>4</v>
      </c>
      <c r="U765">
        <f>SUM(Table1[[#This Row],[Store_Purchases]]+Table1[[#This Row],[Catalog_Purchases]]+Table1[[#This Row],[Web_Purchases]]+Table1[[#This Row],[Deal_Purchases]])</f>
        <v>9</v>
      </c>
      <c r="V765">
        <v>4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f>SUM(Table1[[#This Row],[Accepted_Campaign_2]]+Table1[[#This Row],[Accepted_Campaign_1]]+Table1[[#This Row],[Accepted_Campaign_5]]+Table1[[#This Row],[Accepted_Campaign_4]]+Table1[[#This Row],[Accepted_Campaign_3]])</f>
        <v>0</v>
      </c>
      <c r="AC765">
        <v>0</v>
      </c>
      <c r="AD765">
        <v>0</v>
      </c>
    </row>
    <row r="766" spans="1:30" x14ac:dyDescent="0.25">
      <c r="A766">
        <v>41753</v>
      </c>
      <c r="B766">
        <v>6887</v>
      </c>
      <c r="C766">
        <v>1967</v>
      </c>
      <c r="D766" t="s">
        <v>16</v>
      </c>
      <c r="E766" t="s">
        <v>6</v>
      </c>
      <c r="F766" t="s">
        <v>9</v>
      </c>
      <c r="G766">
        <v>79146</v>
      </c>
      <c r="H766">
        <v>2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f>SUM(Table1[[#This Row],[Gold Spending]]+Table1[[#This Row],[Sweet Spending]]+Table1[[#This Row],[Fish Spending]]+Table1[[#This Row],[Meat Spending]]+Table1[[#This Row],[Fruits Spending]]+Table1[[#This Row],[Wine Spending ]])</f>
        <v>564</v>
      </c>
      <c r="Q766">
        <v>2</v>
      </c>
      <c r="R766">
        <v>8</v>
      </c>
      <c r="S766">
        <v>1</v>
      </c>
      <c r="T766">
        <v>8</v>
      </c>
      <c r="U766">
        <f>SUM(Table1[[#This Row],[Store_Purchases]]+Table1[[#This Row],[Catalog_Purchases]]+Table1[[#This Row],[Web_Purchases]]+Table1[[#This Row],[Deal_Purchases]])</f>
        <v>19</v>
      </c>
      <c r="V766">
        <v>6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f>SUM(Table1[[#This Row],[Accepted_Campaign_2]]+Table1[[#This Row],[Accepted_Campaign_1]]+Table1[[#This Row],[Accepted_Campaign_5]]+Table1[[#This Row],[Accepted_Campaign_4]]+Table1[[#This Row],[Accepted_Campaign_3]])</f>
        <v>0</v>
      </c>
      <c r="AC766">
        <v>0</v>
      </c>
      <c r="AD766">
        <v>0</v>
      </c>
    </row>
    <row r="767" spans="1:30" x14ac:dyDescent="0.25">
      <c r="A767">
        <v>41753</v>
      </c>
      <c r="B767">
        <v>7500</v>
      </c>
      <c r="C767">
        <v>1967</v>
      </c>
      <c r="D767" t="s">
        <v>8</v>
      </c>
      <c r="E767" t="s">
        <v>6</v>
      </c>
      <c r="F767" t="s">
        <v>9</v>
      </c>
      <c r="G767">
        <v>79146</v>
      </c>
      <c r="H767">
        <v>2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f>SUM(Table1[[#This Row],[Gold Spending]]+Table1[[#This Row],[Sweet Spending]]+Table1[[#This Row],[Fish Spending]]+Table1[[#This Row],[Meat Spending]]+Table1[[#This Row],[Fruits Spending]]+Table1[[#This Row],[Wine Spending ]])</f>
        <v>564</v>
      </c>
      <c r="Q767">
        <v>2</v>
      </c>
      <c r="R767">
        <v>8</v>
      </c>
      <c r="S767">
        <v>1</v>
      </c>
      <c r="T767">
        <v>8</v>
      </c>
      <c r="U767">
        <f>SUM(Table1[[#This Row],[Store_Purchases]]+Table1[[#This Row],[Catalog_Purchases]]+Table1[[#This Row],[Web_Purchases]]+Table1[[#This Row],[Deal_Purchases]])</f>
        <v>19</v>
      </c>
      <c r="V767">
        <v>6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f>SUM(Table1[[#This Row],[Accepted_Campaign_2]]+Table1[[#This Row],[Accepted_Campaign_1]]+Table1[[#This Row],[Accepted_Campaign_5]]+Table1[[#This Row],[Accepted_Campaign_4]]+Table1[[#This Row],[Accepted_Campaign_3]])</f>
        <v>0</v>
      </c>
      <c r="AC767">
        <v>0</v>
      </c>
      <c r="AD767">
        <v>0</v>
      </c>
    </row>
    <row r="768" spans="1:30" x14ac:dyDescent="0.25">
      <c r="A768">
        <v>41728</v>
      </c>
      <c r="B768">
        <v>2724</v>
      </c>
      <c r="C768">
        <v>1981</v>
      </c>
      <c r="D768" t="s">
        <v>8</v>
      </c>
      <c r="E768" t="s">
        <v>18</v>
      </c>
      <c r="F768" t="s">
        <v>9</v>
      </c>
      <c r="G768">
        <v>36143</v>
      </c>
      <c r="H768">
        <v>1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f>SUM(Table1[[#This Row],[Gold Spending]]+Table1[[#This Row],[Sweet Spending]]+Table1[[#This Row],[Fish Spending]]+Table1[[#This Row],[Meat Spending]]+Table1[[#This Row],[Fruits Spending]]+Table1[[#This Row],[Wine Spending ]])</f>
        <v>19</v>
      </c>
      <c r="Q768">
        <v>1</v>
      </c>
      <c r="R768">
        <v>0</v>
      </c>
      <c r="S768">
        <v>1</v>
      </c>
      <c r="T768">
        <v>2</v>
      </c>
      <c r="U768">
        <f>SUM(Table1[[#This Row],[Store_Purchases]]+Table1[[#This Row],[Catalog_Purchases]]+Table1[[#This Row],[Web_Purchases]]+Table1[[#This Row],[Deal_Purchases]])</f>
        <v>4</v>
      </c>
      <c r="V768">
        <v>3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f>SUM(Table1[[#This Row],[Accepted_Campaign_2]]+Table1[[#This Row],[Accepted_Campaign_1]]+Table1[[#This Row],[Accepted_Campaign_5]]+Table1[[#This Row],[Accepted_Campaign_4]]+Table1[[#This Row],[Accepted_Campaign_3]])</f>
        <v>0</v>
      </c>
      <c r="AC768">
        <v>0</v>
      </c>
      <c r="AD768">
        <v>0</v>
      </c>
    </row>
    <row r="769" spans="1:30" x14ac:dyDescent="0.25">
      <c r="A769">
        <v>41727</v>
      </c>
      <c r="B769">
        <v>2256</v>
      </c>
      <c r="C769">
        <v>1973</v>
      </c>
      <c r="D769" t="s">
        <v>8</v>
      </c>
      <c r="E769" t="s">
        <v>18</v>
      </c>
      <c r="F769" t="s">
        <v>11</v>
      </c>
      <c r="G769">
        <v>27159</v>
      </c>
      <c r="H769">
        <v>2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f>SUM(Table1[[#This Row],[Gold Spending]]+Table1[[#This Row],[Sweet Spending]]+Table1[[#This Row],[Fish Spending]]+Table1[[#This Row],[Meat Spending]]+Table1[[#This Row],[Fruits Spending]]+Table1[[#This Row],[Wine Spending ]])</f>
        <v>21</v>
      </c>
      <c r="Q769">
        <v>2</v>
      </c>
      <c r="R769">
        <v>1</v>
      </c>
      <c r="S769">
        <v>0</v>
      </c>
      <c r="T769">
        <v>3</v>
      </c>
      <c r="U769">
        <f>SUM(Table1[[#This Row],[Store_Purchases]]+Table1[[#This Row],[Catalog_Purchases]]+Table1[[#This Row],[Web_Purchases]]+Table1[[#This Row],[Deal_Purchases]])</f>
        <v>6</v>
      </c>
      <c r="V769">
        <v>6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f>SUM(Table1[[#This Row],[Accepted_Campaign_2]]+Table1[[#This Row],[Accepted_Campaign_1]]+Table1[[#This Row],[Accepted_Campaign_5]]+Table1[[#This Row],[Accepted_Campaign_4]]+Table1[[#This Row],[Accepted_Campaign_3]])</f>
        <v>0</v>
      </c>
      <c r="AC769">
        <v>0</v>
      </c>
      <c r="AD769">
        <v>0</v>
      </c>
    </row>
    <row r="770" spans="1:30" x14ac:dyDescent="0.25">
      <c r="A770">
        <v>41722</v>
      </c>
      <c r="B770">
        <v>1100</v>
      </c>
      <c r="C770">
        <v>1960</v>
      </c>
      <c r="D770" t="s">
        <v>10</v>
      </c>
      <c r="E770" t="s">
        <v>18</v>
      </c>
      <c r="F770" t="s">
        <v>12</v>
      </c>
      <c r="G770">
        <v>41275</v>
      </c>
      <c r="H770">
        <v>3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f>SUM(Table1[[#This Row],[Gold Spending]]+Table1[[#This Row],[Sweet Spending]]+Table1[[#This Row],[Fish Spending]]+Table1[[#This Row],[Meat Spending]]+Table1[[#This Row],[Fruits Spending]]+Table1[[#This Row],[Wine Spending ]])</f>
        <v>61</v>
      </c>
      <c r="Q770">
        <v>4</v>
      </c>
      <c r="R770">
        <v>3</v>
      </c>
      <c r="S770">
        <v>1</v>
      </c>
      <c r="T770">
        <v>3</v>
      </c>
      <c r="U770">
        <f>SUM(Table1[[#This Row],[Store_Purchases]]+Table1[[#This Row],[Catalog_Purchases]]+Table1[[#This Row],[Web_Purchases]]+Table1[[#This Row],[Deal_Purchases]])</f>
        <v>11</v>
      </c>
      <c r="V770">
        <v>5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f>SUM(Table1[[#This Row],[Accepted_Campaign_2]]+Table1[[#This Row],[Accepted_Campaign_1]]+Table1[[#This Row],[Accepted_Campaign_5]]+Table1[[#This Row],[Accepted_Campaign_4]]+Table1[[#This Row],[Accepted_Campaign_3]])</f>
        <v>0</v>
      </c>
      <c r="AC770">
        <v>0</v>
      </c>
      <c r="AD770">
        <v>0</v>
      </c>
    </row>
    <row r="771" spans="1:30" x14ac:dyDescent="0.25">
      <c r="A771">
        <v>41706</v>
      </c>
      <c r="B771">
        <v>7725</v>
      </c>
      <c r="C771">
        <v>1965</v>
      </c>
      <c r="D771" t="s">
        <v>17</v>
      </c>
      <c r="E771" t="s">
        <v>15</v>
      </c>
      <c r="F771" t="s">
        <v>11</v>
      </c>
      <c r="G771">
        <v>76800</v>
      </c>
      <c r="H771">
        <v>0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f>SUM(Table1[[#This Row],[Gold Spending]]+Table1[[#This Row],[Sweet Spending]]+Table1[[#This Row],[Fish Spending]]+Table1[[#This Row],[Meat Spending]]+Table1[[#This Row],[Fruits Spending]]+Table1[[#This Row],[Wine Spending ]])</f>
        <v>641</v>
      </c>
      <c r="Q771">
        <v>1</v>
      </c>
      <c r="R771">
        <v>4</v>
      </c>
      <c r="S771">
        <v>4</v>
      </c>
      <c r="T771">
        <v>7</v>
      </c>
      <c r="U771">
        <f>SUM(Table1[[#This Row],[Store_Purchases]]+Table1[[#This Row],[Catalog_Purchases]]+Table1[[#This Row],[Web_Purchases]]+Table1[[#This Row],[Deal_Purchases]])</f>
        <v>16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f>SUM(Table1[[#This Row],[Accepted_Campaign_2]]+Table1[[#This Row],[Accepted_Campaign_1]]+Table1[[#This Row],[Accepted_Campaign_5]]+Table1[[#This Row],[Accepted_Campaign_4]]+Table1[[#This Row],[Accepted_Campaign_3]])</f>
        <v>0</v>
      </c>
      <c r="AC771">
        <v>0</v>
      </c>
      <c r="AD771">
        <v>0</v>
      </c>
    </row>
    <row r="772" spans="1:30" x14ac:dyDescent="0.25">
      <c r="A772">
        <v>41632</v>
      </c>
      <c r="B772">
        <v>2612</v>
      </c>
      <c r="C772">
        <v>1987</v>
      </c>
      <c r="D772" t="s">
        <v>20</v>
      </c>
      <c r="E772" t="s">
        <v>6</v>
      </c>
      <c r="F772" t="s">
        <v>11</v>
      </c>
      <c r="G772">
        <v>75794</v>
      </c>
      <c r="H772">
        <v>0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f>SUM(Table1[[#This Row],[Gold Spending]]+Table1[[#This Row],[Sweet Spending]]+Table1[[#This Row],[Fish Spending]]+Table1[[#This Row],[Meat Spending]]+Table1[[#This Row],[Fruits Spending]]+Table1[[#This Row],[Wine Spending ]])</f>
        <v>1682</v>
      </c>
      <c r="Q772">
        <v>1</v>
      </c>
      <c r="R772">
        <v>7</v>
      </c>
      <c r="S772">
        <v>5</v>
      </c>
      <c r="T772">
        <v>12</v>
      </c>
      <c r="U772">
        <f>SUM(Table1[[#This Row],[Store_Purchases]]+Table1[[#This Row],[Catalog_Purchases]]+Table1[[#This Row],[Web_Purchases]]+Table1[[#This Row],[Deal_Purchases]])</f>
        <v>25</v>
      </c>
      <c r="V772">
        <v>3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f>SUM(Table1[[#This Row],[Accepted_Campaign_2]]+Table1[[#This Row],[Accepted_Campaign_1]]+Table1[[#This Row],[Accepted_Campaign_5]]+Table1[[#This Row],[Accepted_Campaign_4]]+Table1[[#This Row],[Accepted_Campaign_3]])</f>
        <v>1</v>
      </c>
      <c r="AC772">
        <v>0</v>
      </c>
      <c r="AD772">
        <v>0</v>
      </c>
    </row>
    <row r="773" spans="1:30" x14ac:dyDescent="0.25">
      <c r="A773">
        <v>41471</v>
      </c>
      <c r="B773">
        <v>113</v>
      </c>
      <c r="C773">
        <v>1951</v>
      </c>
      <c r="D773" t="s">
        <v>8</v>
      </c>
      <c r="E773" t="s">
        <v>6</v>
      </c>
      <c r="F773" t="s">
        <v>11</v>
      </c>
      <c r="G773">
        <v>30833</v>
      </c>
      <c r="H773">
        <v>2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f>SUM(Table1[[#This Row],[Gold Spending]]+Table1[[#This Row],[Sweet Spending]]+Table1[[#This Row],[Fish Spending]]+Table1[[#This Row],[Meat Spending]]+Table1[[#This Row],[Fruits Spending]]+Table1[[#This Row],[Wine Spending ]])</f>
        <v>28</v>
      </c>
      <c r="Q773">
        <v>2</v>
      </c>
      <c r="R773">
        <v>1</v>
      </c>
      <c r="S773">
        <v>0</v>
      </c>
      <c r="T773">
        <v>3</v>
      </c>
      <c r="U773">
        <f>SUM(Table1[[#This Row],[Store_Purchases]]+Table1[[#This Row],[Catalog_Purchases]]+Table1[[#This Row],[Web_Purchases]]+Table1[[#This Row],[Deal_Purchases]])</f>
        <v>6</v>
      </c>
      <c r="V773">
        <v>5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f>SUM(Table1[[#This Row],[Accepted_Campaign_2]]+Table1[[#This Row],[Accepted_Campaign_1]]+Table1[[#This Row],[Accepted_Campaign_5]]+Table1[[#This Row],[Accepted_Campaign_4]]+Table1[[#This Row],[Accepted_Campaign_3]])</f>
        <v>0</v>
      </c>
      <c r="AC773">
        <v>0</v>
      </c>
      <c r="AD773">
        <v>0</v>
      </c>
    </row>
    <row r="774" spans="1:30" x14ac:dyDescent="0.25">
      <c r="A774">
        <v>41372</v>
      </c>
      <c r="B774">
        <v>2868</v>
      </c>
      <c r="C774">
        <v>1949</v>
      </c>
      <c r="D774" t="s">
        <v>63</v>
      </c>
      <c r="E774" t="s">
        <v>14</v>
      </c>
      <c r="F774" t="s">
        <v>9</v>
      </c>
      <c r="G774">
        <v>26518</v>
      </c>
      <c r="H774">
        <v>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774">
        <v>3</v>
      </c>
      <c r="R774">
        <v>2</v>
      </c>
      <c r="S774">
        <v>0</v>
      </c>
      <c r="T774">
        <v>3</v>
      </c>
      <c r="U774">
        <f>SUM(Table1[[#This Row],[Store_Purchases]]+Table1[[#This Row],[Catalog_Purchases]]+Table1[[#This Row],[Web_Purchases]]+Table1[[#This Row],[Deal_Purchases]])</f>
        <v>8</v>
      </c>
      <c r="V774">
        <v>8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f>SUM(Table1[[#This Row],[Accepted_Campaign_2]]+Table1[[#This Row],[Accepted_Campaign_1]]+Table1[[#This Row],[Accepted_Campaign_5]]+Table1[[#This Row],[Accepted_Campaign_4]]+Table1[[#This Row],[Accepted_Campaign_3]])</f>
        <v>0</v>
      </c>
      <c r="AC774">
        <v>1</v>
      </c>
      <c r="AD774">
        <v>0</v>
      </c>
    </row>
    <row r="775" spans="1:30" x14ac:dyDescent="0.25">
      <c r="A775">
        <v>41327</v>
      </c>
      <c r="B775">
        <v>4216</v>
      </c>
      <c r="C775">
        <v>1981</v>
      </c>
      <c r="D775" t="s">
        <v>8</v>
      </c>
      <c r="E775" t="s">
        <v>6</v>
      </c>
      <c r="F775" t="s">
        <v>9</v>
      </c>
      <c r="G775">
        <v>91065</v>
      </c>
      <c r="H775">
        <v>0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f>SUM(Table1[[#This Row],[Gold Spending]]+Table1[[#This Row],[Sweet Spending]]+Table1[[#This Row],[Fish Spending]]+Table1[[#This Row],[Meat Spending]]+Table1[[#This Row],[Fruits Spending]]+Table1[[#This Row],[Wine Spending ]])</f>
        <v>1474</v>
      </c>
      <c r="Q775">
        <v>1</v>
      </c>
      <c r="R775">
        <v>7</v>
      </c>
      <c r="S775">
        <v>9</v>
      </c>
      <c r="T775">
        <v>9</v>
      </c>
      <c r="U775">
        <f>SUM(Table1[[#This Row],[Store_Purchases]]+Table1[[#This Row],[Catalog_Purchases]]+Table1[[#This Row],[Web_Purchases]]+Table1[[#This Row],[Deal_Purchases]])</f>
        <v>26</v>
      </c>
      <c r="V775">
        <v>3</v>
      </c>
      <c r="W775">
        <v>0</v>
      </c>
      <c r="X775">
        <v>0</v>
      </c>
      <c r="Y775">
        <v>1</v>
      </c>
      <c r="Z775">
        <v>1</v>
      </c>
      <c r="AA775">
        <v>0</v>
      </c>
      <c r="AB775">
        <f>SUM(Table1[[#This Row],[Accepted_Campaign_2]]+Table1[[#This Row],[Accepted_Campaign_1]]+Table1[[#This Row],[Accepted_Campaign_5]]+Table1[[#This Row],[Accepted_Campaign_4]]+Table1[[#This Row],[Accepted_Campaign_3]])</f>
        <v>2</v>
      </c>
      <c r="AC775">
        <v>1</v>
      </c>
      <c r="AD775">
        <v>0</v>
      </c>
    </row>
    <row r="776" spans="1:30" x14ac:dyDescent="0.25">
      <c r="A776">
        <v>41294</v>
      </c>
      <c r="B776">
        <v>199</v>
      </c>
      <c r="C776">
        <v>1962</v>
      </c>
      <c r="D776" t="s">
        <v>10</v>
      </c>
      <c r="E776" t="s">
        <v>18</v>
      </c>
      <c r="F776" t="s">
        <v>9</v>
      </c>
      <c r="G776">
        <v>45183</v>
      </c>
      <c r="H776">
        <v>0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f>SUM(Table1[[#This Row],[Gold Spending]]+Table1[[#This Row],[Sweet Spending]]+Table1[[#This Row],[Fish Spending]]+Table1[[#This Row],[Meat Spending]]+Table1[[#This Row],[Fruits Spending]]+Table1[[#This Row],[Wine Spending ]])</f>
        <v>315</v>
      </c>
      <c r="Q776">
        <v>1</v>
      </c>
      <c r="R776">
        <v>4</v>
      </c>
      <c r="S776">
        <v>1</v>
      </c>
      <c r="T776">
        <v>7</v>
      </c>
      <c r="U776">
        <f>SUM(Table1[[#This Row],[Store_Purchases]]+Table1[[#This Row],[Catalog_Purchases]]+Table1[[#This Row],[Web_Purchases]]+Table1[[#This Row],[Deal_Purchases]])</f>
        <v>13</v>
      </c>
      <c r="V776">
        <v>7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f>SUM(Table1[[#This Row],[Accepted_Campaign_2]]+Table1[[#This Row],[Accepted_Campaign_1]]+Table1[[#This Row],[Accepted_Campaign_5]]+Table1[[#This Row],[Accepted_Campaign_4]]+Table1[[#This Row],[Accepted_Campaign_3]])</f>
        <v>1</v>
      </c>
      <c r="AC776">
        <v>0</v>
      </c>
      <c r="AD776">
        <v>0</v>
      </c>
    </row>
    <row r="777" spans="1:30" x14ac:dyDescent="0.25">
      <c r="A777">
        <v>41287</v>
      </c>
      <c r="B777">
        <v>359</v>
      </c>
      <c r="C777">
        <v>1950</v>
      </c>
      <c r="D777" t="s">
        <v>8</v>
      </c>
      <c r="E777" t="s">
        <v>6</v>
      </c>
      <c r="F777" t="s">
        <v>12</v>
      </c>
      <c r="G777">
        <v>48070</v>
      </c>
      <c r="H777">
        <v>1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f>SUM(Table1[[#This Row],[Gold Spending]]+Table1[[#This Row],[Sweet Spending]]+Table1[[#This Row],[Fish Spending]]+Table1[[#This Row],[Meat Spending]]+Table1[[#This Row],[Fruits Spending]]+Table1[[#This Row],[Wine Spending ]])</f>
        <v>504</v>
      </c>
      <c r="Q777">
        <v>3</v>
      </c>
      <c r="R777">
        <v>8</v>
      </c>
      <c r="S777">
        <v>2</v>
      </c>
      <c r="T777">
        <v>6</v>
      </c>
      <c r="U777">
        <f>SUM(Table1[[#This Row],[Store_Purchases]]+Table1[[#This Row],[Catalog_Purchases]]+Table1[[#This Row],[Web_Purchases]]+Table1[[#This Row],[Deal_Purchases]])</f>
        <v>19</v>
      </c>
      <c r="V777">
        <v>7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f>SUM(Table1[[#This Row],[Accepted_Campaign_2]]+Table1[[#This Row],[Accepted_Campaign_1]]+Table1[[#This Row],[Accepted_Campaign_5]]+Table1[[#This Row],[Accepted_Campaign_4]]+Table1[[#This Row],[Accepted_Campaign_3]])</f>
        <v>0</v>
      </c>
      <c r="AC777">
        <v>0</v>
      </c>
      <c r="AD777">
        <v>1</v>
      </c>
    </row>
    <row r="778" spans="1:30" x14ac:dyDescent="0.25">
      <c r="A778">
        <v>41268</v>
      </c>
      <c r="B778">
        <v>8842</v>
      </c>
      <c r="C778">
        <v>1971</v>
      </c>
      <c r="D778" t="s">
        <v>8</v>
      </c>
      <c r="E778" t="s">
        <v>6</v>
      </c>
      <c r="F778" t="s">
        <v>19</v>
      </c>
      <c r="G778">
        <v>30372</v>
      </c>
      <c r="H778">
        <v>2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778">
        <v>3</v>
      </c>
      <c r="R778">
        <v>2</v>
      </c>
      <c r="S778">
        <v>0</v>
      </c>
      <c r="T778">
        <v>3</v>
      </c>
      <c r="U778">
        <f>SUM(Table1[[#This Row],[Store_Purchases]]+Table1[[#This Row],[Catalog_Purchases]]+Table1[[#This Row],[Web_Purchases]]+Table1[[#This Row],[Deal_Purchases]])</f>
        <v>8</v>
      </c>
      <c r="V778">
        <v>7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f>SUM(Table1[[#This Row],[Accepted_Campaign_2]]+Table1[[#This Row],[Accepted_Campaign_1]]+Table1[[#This Row],[Accepted_Campaign_5]]+Table1[[#This Row],[Accepted_Campaign_4]]+Table1[[#This Row],[Accepted_Campaign_3]])</f>
        <v>0</v>
      </c>
      <c r="AC778">
        <v>0</v>
      </c>
      <c r="AD778">
        <v>0</v>
      </c>
    </row>
    <row r="779" spans="1:30" x14ac:dyDescent="0.25">
      <c r="A779">
        <v>41268</v>
      </c>
      <c r="B779">
        <v>2154</v>
      </c>
      <c r="C779">
        <v>1971</v>
      </c>
      <c r="D779" t="s">
        <v>8</v>
      </c>
      <c r="E779" t="s">
        <v>6</v>
      </c>
      <c r="F779" t="s">
        <v>19</v>
      </c>
      <c r="G779">
        <v>30372</v>
      </c>
      <c r="H779">
        <v>2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779">
        <v>3</v>
      </c>
      <c r="R779">
        <v>2</v>
      </c>
      <c r="S779">
        <v>0</v>
      </c>
      <c r="T779">
        <v>3</v>
      </c>
      <c r="U779">
        <f>SUM(Table1[[#This Row],[Store_Purchases]]+Table1[[#This Row],[Catalog_Purchases]]+Table1[[#This Row],[Web_Purchases]]+Table1[[#This Row],[Deal_Purchases]])</f>
        <v>8</v>
      </c>
      <c r="V779">
        <v>7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f>SUM(Table1[[#This Row],[Accepted_Campaign_2]]+Table1[[#This Row],[Accepted_Campaign_1]]+Table1[[#This Row],[Accepted_Campaign_5]]+Table1[[#This Row],[Accepted_Campaign_4]]+Table1[[#This Row],[Accepted_Campaign_3]])</f>
        <v>0</v>
      </c>
      <c r="AC779">
        <v>0</v>
      </c>
      <c r="AD779">
        <v>0</v>
      </c>
    </row>
    <row r="780" spans="1:30" x14ac:dyDescent="0.25">
      <c r="A780">
        <v>41254</v>
      </c>
      <c r="B780">
        <v>6050</v>
      </c>
      <c r="C780">
        <v>1975</v>
      </c>
      <c r="D780" t="s">
        <v>17</v>
      </c>
      <c r="E780" t="s">
        <v>15</v>
      </c>
      <c r="F780" t="s">
        <v>11</v>
      </c>
      <c r="G780">
        <v>57036</v>
      </c>
      <c r="H780">
        <v>1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f>SUM(Table1[[#This Row],[Gold Spending]]+Table1[[#This Row],[Sweet Spending]]+Table1[[#This Row],[Fish Spending]]+Table1[[#This Row],[Meat Spending]]+Table1[[#This Row],[Fruits Spending]]+Table1[[#This Row],[Wine Spending ]])</f>
        <v>1513</v>
      </c>
      <c r="Q780">
        <v>4</v>
      </c>
      <c r="R780">
        <v>6</v>
      </c>
      <c r="S780">
        <v>3</v>
      </c>
      <c r="T780">
        <v>13</v>
      </c>
      <c r="U780">
        <f>SUM(Table1[[#This Row],[Store_Purchases]]+Table1[[#This Row],[Catalog_Purchases]]+Table1[[#This Row],[Web_Purchases]]+Table1[[#This Row],[Deal_Purchases]])</f>
        <v>26</v>
      </c>
      <c r="V780">
        <v>9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f>SUM(Table1[[#This Row],[Accepted_Campaign_2]]+Table1[[#This Row],[Accepted_Campaign_1]]+Table1[[#This Row],[Accepted_Campaign_5]]+Table1[[#This Row],[Accepted_Campaign_4]]+Table1[[#This Row],[Accepted_Campaign_3]])</f>
        <v>1</v>
      </c>
      <c r="AC780">
        <v>0</v>
      </c>
      <c r="AD780">
        <v>0</v>
      </c>
    </row>
    <row r="781" spans="1:30" x14ac:dyDescent="0.25">
      <c r="A781">
        <v>41164</v>
      </c>
      <c r="B781">
        <v>9204</v>
      </c>
      <c r="C781">
        <v>1970</v>
      </c>
      <c r="D781" t="s">
        <v>8</v>
      </c>
      <c r="E781" t="s">
        <v>6</v>
      </c>
      <c r="F781" t="s">
        <v>19</v>
      </c>
      <c r="G781">
        <v>66731</v>
      </c>
      <c r="H781">
        <v>1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f>SUM(Table1[[#This Row],[Gold Spending]]+Table1[[#This Row],[Sweet Spending]]+Table1[[#This Row],[Fish Spending]]+Table1[[#This Row],[Meat Spending]]+Table1[[#This Row],[Fruits Spending]]+Table1[[#This Row],[Wine Spending ]])</f>
        <v>1029</v>
      </c>
      <c r="Q781">
        <v>4</v>
      </c>
      <c r="R781">
        <v>4</v>
      </c>
      <c r="S781">
        <v>3</v>
      </c>
      <c r="T781">
        <v>6</v>
      </c>
      <c r="U781">
        <f>SUM(Table1[[#This Row],[Store_Purchases]]+Table1[[#This Row],[Catalog_Purchases]]+Table1[[#This Row],[Web_Purchases]]+Table1[[#This Row],[Deal_Purchases]])</f>
        <v>17</v>
      </c>
      <c r="V781">
        <v>3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f>SUM(Table1[[#This Row],[Accepted_Campaign_2]]+Table1[[#This Row],[Accepted_Campaign_1]]+Table1[[#This Row],[Accepted_Campaign_5]]+Table1[[#This Row],[Accepted_Campaign_4]]+Table1[[#This Row],[Accepted_Campaign_3]])</f>
        <v>0</v>
      </c>
      <c r="AC781">
        <v>0</v>
      </c>
      <c r="AD781">
        <v>0</v>
      </c>
    </row>
    <row r="782" spans="1:30" x14ac:dyDescent="0.25">
      <c r="A782">
        <v>41817</v>
      </c>
      <c r="B782">
        <v>4472</v>
      </c>
      <c r="C782">
        <v>1970</v>
      </c>
      <c r="D782" t="s">
        <v>13</v>
      </c>
      <c r="E782" t="s">
        <v>14</v>
      </c>
      <c r="F782" t="s">
        <v>7</v>
      </c>
      <c r="G782">
        <v>35682</v>
      </c>
      <c r="H782">
        <v>1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782">
        <v>1</v>
      </c>
      <c r="R782">
        <v>1</v>
      </c>
      <c r="S782">
        <v>1</v>
      </c>
      <c r="T782">
        <v>3</v>
      </c>
      <c r="U782">
        <f>SUM(Table1[[#This Row],[Store_Purchases]]+Table1[[#This Row],[Catalog_Purchases]]+Table1[[#This Row],[Web_Purchases]]+Table1[[#This Row],[Deal_Purchases]])</f>
        <v>6</v>
      </c>
      <c r="V782">
        <v>2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f>SUM(Table1[[#This Row],[Accepted_Campaign_2]]+Table1[[#This Row],[Accepted_Campaign_1]]+Table1[[#This Row],[Accepted_Campaign_5]]+Table1[[#This Row],[Accepted_Campaign_4]]+Table1[[#This Row],[Accepted_Campaign_3]])</f>
        <v>0</v>
      </c>
      <c r="AC782">
        <v>0</v>
      </c>
      <c r="AD782">
        <v>0</v>
      </c>
    </row>
    <row r="783" spans="1:30" x14ac:dyDescent="0.25">
      <c r="A783">
        <v>41781</v>
      </c>
      <c r="B783">
        <v>6864</v>
      </c>
      <c r="C783">
        <v>1989</v>
      </c>
      <c r="D783" t="s">
        <v>13</v>
      </c>
      <c r="E783" t="s">
        <v>18</v>
      </c>
      <c r="F783" t="s">
        <v>7</v>
      </c>
      <c r="G783">
        <v>10979</v>
      </c>
      <c r="H783">
        <v>0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f>SUM(Table1[[#This Row],[Gold Spending]]+Table1[[#This Row],[Sweet Spending]]+Table1[[#This Row],[Fish Spending]]+Table1[[#This Row],[Meat Spending]]+Table1[[#This Row],[Fruits Spending]]+Table1[[#This Row],[Wine Spending ]])</f>
        <v>30</v>
      </c>
      <c r="Q783">
        <v>2</v>
      </c>
      <c r="R783">
        <v>3</v>
      </c>
      <c r="S783">
        <v>0</v>
      </c>
      <c r="T783">
        <v>3</v>
      </c>
      <c r="U783">
        <f>SUM(Table1[[#This Row],[Store_Purchases]]+Table1[[#This Row],[Catalog_Purchases]]+Table1[[#This Row],[Web_Purchases]]+Table1[[#This Row],[Deal_Purchases]])</f>
        <v>8</v>
      </c>
      <c r="V783">
        <v>5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f>SUM(Table1[[#This Row],[Accepted_Campaign_2]]+Table1[[#This Row],[Accepted_Campaign_1]]+Table1[[#This Row],[Accepted_Campaign_5]]+Table1[[#This Row],[Accepted_Campaign_4]]+Table1[[#This Row],[Accepted_Campaign_3]])</f>
        <v>0</v>
      </c>
      <c r="AC783">
        <v>0</v>
      </c>
      <c r="AD783">
        <v>0</v>
      </c>
    </row>
    <row r="784" spans="1:30" x14ac:dyDescent="0.25">
      <c r="A784">
        <v>41781</v>
      </c>
      <c r="B784">
        <v>10617</v>
      </c>
      <c r="C784">
        <v>1989</v>
      </c>
      <c r="D784" t="s">
        <v>8</v>
      </c>
      <c r="E784" t="s">
        <v>18</v>
      </c>
      <c r="F784" t="s">
        <v>7</v>
      </c>
      <c r="G784">
        <v>10979</v>
      </c>
      <c r="H784">
        <v>0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f>SUM(Table1[[#This Row],[Gold Spending]]+Table1[[#This Row],[Sweet Spending]]+Table1[[#This Row],[Fish Spending]]+Table1[[#This Row],[Meat Spending]]+Table1[[#This Row],[Fruits Spending]]+Table1[[#This Row],[Wine Spending ]])</f>
        <v>30</v>
      </c>
      <c r="Q784">
        <v>2</v>
      </c>
      <c r="R784">
        <v>3</v>
      </c>
      <c r="S784">
        <v>0</v>
      </c>
      <c r="T784">
        <v>3</v>
      </c>
      <c r="U784">
        <f>SUM(Table1[[#This Row],[Store_Purchases]]+Table1[[#This Row],[Catalog_Purchases]]+Table1[[#This Row],[Web_Purchases]]+Table1[[#This Row],[Deal_Purchases]])</f>
        <v>8</v>
      </c>
      <c r="V784">
        <v>5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f>SUM(Table1[[#This Row],[Accepted_Campaign_2]]+Table1[[#This Row],[Accepted_Campaign_1]]+Table1[[#This Row],[Accepted_Campaign_5]]+Table1[[#This Row],[Accepted_Campaign_4]]+Table1[[#This Row],[Accepted_Campaign_3]])</f>
        <v>0</v>
      </c>
      <c r="AC784">
        <v>0</v>
      </c>
      <c r="AD784">
        <v>0</v>
      </c>
    </row>
    <row r="785" spans="1:30" x14ac:dyDescent="0.25">
      <c r="A785">
        <v>41715</v>
      </c>
      <c r="B785">
        <v>3924</v>
      </c>
      <c r="C785">
        <v>1965</v>
      </c>
      <c r="D785" t="s">
        <v>20</v>
      </c>
      <c r="E785" t="s">
        <v>14</v>
      </c>
      <c r="F785" t="s">
        <v>7</v>
      </c>
      <c r="G785">
        <v>57912</v>
      </c>
      <c r="H785">
        <v>1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f>SUM(Table1[[#This Row],[Gold Spending]]+Table1[[#This Row],[Sweet Spending]]+Table1[[#This Row],[Fish Spending]]+Table1[[#This Row],[Meat Spending]]+Table1[[#This Row],[Fruits Spending]]+Table1[[#This Row],[Wine Spending ]])</f>
        <v>916</v>
      </c>
      <c r="Q785">
        <v>5</v>
      </c>
      <c r="R785">
        <v>8</v>
      </c>
      <c r="S785">
        <v>3</v>
      </c>
      <c r="T785">
        <v>12</v>
      </c>
      <c r="U785">
        <f>SUM(Table1[[#This Row],[Store_Purchases]]+Table1[[#This Row],[Catalog_Purchases]]+Table1[[#This Row],[Web_Purchases]]+Table1[[#This Row],[Deal_Purchases]])</f>
        <v>28</v>
      </c>
      <c r="V785">
        <v>5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f>SUM(Table1[[#This Row],[Accepted_Campaign_2]]+Table1[[#This Row],[Accepted_Campaign_1]]+Table1[[#This Row],[Accepted_Campaign_5]]+Table1[[#This Row],[Accepted_Campaign_4]]+Table1[[#This Row],[Accepted_Campaign_3]])</f>
        <v>1</v>
      </c>
      <c r="AC785">
        <v>0</v>
      </c>
      <c r="AD785">
        <v>0</v>
      </c>
    </row>
    <row r="786" spans="1:30" x14ac:dyDescent="0.25">
      <c r="A786">
        <v>41714</v>
      </c>
      <c r="B786">
        <v>5654</v>
      </c>
      <c r="C786">
        <v>1972</v>
      </c>
      <c r="D786" t="s">
        <v>13</v>
      </c>
      <c r="E786" t="s">
        <v>6</v>
      </c>
      <c r="F786" t="s">
        <v>11</v>
      </c>
      <c r="G786">
        <v>36026</v>
      </c>
      <c r="H786">
        <v>3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f>SUM(Table1[[#This Row],[Gold Spending]]+Table1[[#This Row],[Sweet Spending]]+Table1[[#This Row],[Fish Spending]]+Table1[[#This Row],[Meat Spending]]+Table1[[#This Row],[Fruits Spending]]+Table1[[#This Row],[Wine Spending ]])</f>
        <v>61</v>
      </c>
      <c r="Q786">
        <v>2</v>
      </c>
      <c r="R786">
        <v>2</v>
      </c>
      <c r="S786">
        <v>0</v>
      </c>
      <c r="T786">
        <v>3</v>
      </c>
      <c r="U786">
        <f>SUM(Table1[[#This Row],[Store_Purchases]]+Table1[[#This Row],[Catalog_Purchases]]+Table1[[#This Row],[Web_Purchases]]+Table1[[#This Row],[Deal_Purchases]])</f>
        <v>7</v>
      </c>
      <c r="V786">
        <v>6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f>SUM(Table1[[#This Row],[Accepted_Campaign_2]]+Table1[[#This Row],[Accepted_Campaign_1]]+Table1[[#This Row],[Accepted_Campaign_5]]+Table1[[#This Row],[Accepted_Campaign_4]]+Table1[[#This Row],[Accepted_Campaign_3]])</f>
        <v>0</v>
      </c>
      <c r="AC786">
        <v>0</v>
      </c>
      <c r="AD786">
        <v>0</v>
      </c>
    </row>
    <row r="787" spans="1:30" x14ac:dyDescent="0.25">
      <c r="A787">
        <v>41662</v>
      </c>
      <c r="B787">
        <v>9216</v>
      </c>
      <c r="C787">
        <v>1971</v>
      </c>
      <c r="D787" t="s">
        <v>10</v>
      </c>
      <c r="E787" t="s">
        <v>6</v>
      </c>
      <c r="F787" t="s">
        <v>11</v>
      </c>
      <c r="G787">
        <v>35788</v>
      </c>
      <c r="H787">
        <v>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787">
        <v>2</v>
      </c>
      <c r="R787">
        <v>2</v>
      </c>
      <c r="S787">
        <v>0</v>
      </c>
      <c r="T787">
        <v>3</v>
      </c>
      <c r="U787">
        <f>SUM(Table1[[#This Row],[Store_Purchases]]+Table1[[#This Row],[Catalog_Purchases]]+Table1[[#This Row],[Web_Purchases]]+Table1[[#This Row],[Deal_Purchases]])</f>
        <v>7</v>
      </c>
      <c r="V787">
        <v>6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f>SUM(Table1[[#This Row],[Accepted_Campaign_2]]+Table1[[#This Row],[Accepted_Campaign_1]]+Table1[[#This Row],[Accepted_Campaign_5]]+Table1[[#This Row],[Accepted_Campaign_4]]+Table1[[#This Row],[Accepted_Campaign_3]])</f>
        <v>0</v>
      </c>
      <c r="AC787">
        <v>0</v>
      </c>
      <c r="AD787">
        <v>0</v>
      </c>
    </row>
    <row r="788" spans="1:30" x14ac:dyDescent="0.25">
      <c r="A788">
        <v>41619</v>
      </c>
      <c r="B788">
        <v>8086</v>
      </c>
      <c r="C788">
        <v>1959</v>
      </c>
      <c r="D788" t="s">
        <v>20</v>
      </c>
      <c r="E788" t="s">
        <v>6</v>
      </c>
      <c r="F788" t="s">
        <v>11</v>
      </c>
      <c r="G788">
        <v>42243</v>
      </c>
      <c r="H788">
        <v>2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788">
        <v>2</v>
      </c>
      <c r="R788">
        <v>2</v>
      </c>
      <c r="S788">
        <v>0</v>
      </c>
      <c r="T788">
        <v>3</v>
      </c>
      <c r="U788">
        <f>SUM(Table1[[#This Row],[Store_Purchases]]+Table1[[#This Row],[Catalog_Purchases]]+Table1[[#This Row],[Web_Purchases]]+Table1[[#This Row],[Deal_Purchases]])</f>
        <v>7</v>
      </c>
      <c r="V788">
        <v>7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f>SUM(Table1[[#This Row],[Accepted_Campaign_2]]+Table1[[#This Row],[Accepted_Campaign_1]]+Table1[[#This Row],[Accepted_Campaign_5]]+Table1[[#This Row],[Accepted_Campaign_4]]+Table1[[#This Row],[Accepted_Campaign_3]])</f>
        <v>0</v>
      </c>
      <c r="AC788">
        <v>0</v>
      </c>
      <c r="AD788">
        <v>0</v>
      </c>
    </row>
    <row r="789" spans="1:30" x14ac:dyDescent="0.25">
      <c r="A789">
        <v>41581</v>
      </c>
      <c r="B789">
        <v>9097</v>
      </c>
      <c r="C789">
        <v>1956</v>
      </c>
      <c r="D789" t="s">
        <v>8</v>
      </c>
      <c r="E789" t="s">
        <v>6</v>
      </c>
      <c r="F789" t="s">
        <v>7</v>
      </c>
      <c r="G789">
        <v>46086</v>
      </c>
      <c r="H789">
        <v>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f>SUM(Table1[[#This Row],[Gold Spending]]+Table1[[#This Row],[Sweet Spending]]+Table1[[#This Row],[Fish Spending]]+Table1[[#This Row],[Meat Spending]]+Table1[[#This Row],[Fruits Spending]]+Table1[[#This Row],[Wine Spending ]])</f>
        <v>343</v>
      </c>
      <c r="Q789">
        <v>4</v>
      </c>
      <c r="R789">
        <v>3</v>
      </c>
      <c r="S789">
        <v>1</v>
      </c>
      <c r="T789">
        <v>8</v>
      </c>
      <c r="U789">
        <f>SUM(Table1[[#This Row],[Store_Purchases]]+Table1[[#This Row],[Catalog_Purchases]]+Table1[[#This Row],[Web_Purchases]]+Table1[[#This Row],[Deal_Purchases]])</f>
        <v>16</v>
      </c>
      <c r="V789">
        <v>4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f>SUM(Table1[[#This Row],[Accepted_Campaign_2]]+Table1[[#This Row],[Accepted_Campaign_1]]+Table1[[#This Row],[Accepted_Campaign_5]]+Table1[[#This Row],[Accepted_Campaign_4]]+Table1[[#This Row],[Accepted_Campaign_3]])</f>
        <v>0</v>
      </c>
      <c r="AC789">
        <v>0</v>
      </c>
      <c r="AD789">
        <v>0</v>
      </c>
    </row>
    <row r="790" spans="1:30" x14ac:dyDescent="0.25">
      <c r="A790">
        <v>41553</v>
      </c>
      <c r="B790">
        <v>7631</v>
      </c>
      <c r="C790">
        <v>1978</v>
      </c>
      <c r="D790" t="s">
        <v>17</v>
      </c>
      <c r="E790" t="s">
        <v>18</v>
      </c>
      <c r="F790" t="s">
        <v>12</v>
      </c>
      <c r="G790">
        <v>61346</v>
      </c>
      <c r="H790">
        <v>1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f>SUM(Table1[[#This Row],[Gold Spending]]+Table1[[#This Row],[Sweet Spending]]+Table1[[#This Row],[Fish Spending]]+Table1[[#This Row],[Meat Spending]]+Table1[[#This Row],[Fruits Spending]]+Table1[[#This Row],[Wine Spending ]])</f>
        <v>989</v>
      </c>
      <c r="Q790">
        <v>1</v>
      </c>
      <c r="R790">
        <v>5</v>
      </c>
      <c r="S790">
        <v>7</v>
      </c>
      <c r="T790">
        <v>10</v>
      </c>
      <c r="U790">
        <f>SUM(Table1[[#This Row],[Store_Purchases]]+Table1[[#This Row],[Catalog_Purchases]]+Table1[[#This Row],[Web_Purchases]]+Table1[[#This Row],[Deal_Purchases]])</f>
        <v>23</v>
      </c>
      <c r="V790">
        <v>3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f>SUM(Table1[[#This Row],[Accepted_Campaign_2]]+Table1[[#This Row],[Accepted_Campaign_1]]+Table1[[#This Row],[Accepted_Campaign_5]]+Table1[[#This Row],[Accepted_Campaign_4]]+Table1[[#This Row],[Accepted_Campaign_3]])</f>
        <v>0</v>
      </c>
      <c r="AC790">
        <v>0</v>
      </c>
      <c r="AD790">
        <v>0</v>
      </c>
    </row>
    <row r="791" spans="1:30" x14ac:dyDescent="0.25">
      <c r="A791">
        <v>41551</v>
      </c>
      <c r="B791">
        <v>7275</v>
      </c>
      <c r="C791">
        <v>1971</v>
      </c>
      <c r="D791" t="s">
        <v>63</v>
      </c>
      <c r="E791" t="s">
        <v>18</v>
      </c>
      <c r="F791" t="s">
        <v>9</v>
      </c>
      <c r="G791">
        <v>33316</v>
      </c>
      <c r="H791">
        <v>2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f>SUM(Table1[[#This Row],[Gold Spending]]+Table1[[#This Row],[Sweet Spending]]+Table1[[#This Row],[Fish Spending]]+Table1[[#This Row],[Meat Spending]]+Table1[[#This Row],[Fruits Spending]]+Table1[[#This Row],[Wine Spending ]])</f>
        <v>131</v>
      </c>
      <c r="Q791">
        <v>3</v>
      </c>
      <c r="R791">
        <v>2</v>
      </c>
      <c r="S791">
        <v>1</v>
      </c>
      <c r="T791">
        <v>4</v>
      </c>
      <c r="U791">
        <f>SUM(Table1[[#This Row],[Store_Purchases]]+Table1[[#This Row],[Catalog_Purchases]]+Table1[[#This Row],[Web_Purchases]]+Table1[[#This Row],[Deal_Purchases]])</f>
        <v>10</v>
      </c>
      <c r="V791">
        <v>6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f>SUM(Table1[[#This Row],[Accepted_Campaign_2]]+Table1[[#This Row],[Accepted_Campaign_1]]+Table1[[#This Row],[Accepted_Campaign_5]]+Table1[[#This Row],[Accepted_Campaign_4]]+Table1[[#This Row],[Accepted_Campaign_3]])</f>
        <v>0</v>
      </c>
      <c r="AC791">
        <v>0</v>
      </c>
      <c r="AD791">
        <v>0</v>
      </c>
    </row>
    <row r="792" spans="1:30" x14ac:dyDescent="0.25">
      <c r="A792">
        <v>41551</v>
      </c>
      <c r="B792">
        <v>8334</v>
      </c>
      <c r="C792">
        <v>1971</v>
      </c>
      <c r="D792" t="s">
        <v>8</v>
      </c>
      <c r="E792" t="s">
        <v>18</v>
      </c>
      <c r="F792" t="s">
        <v>9</v>
      </c>
      <c r="G792">
        <v>33316</v>
      </c>
      <c r="H792">
        <v>2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f>SUM(Table1[[#This Row],[Gold Spending]]+Table1[[#This Row],[Sweet Spending]]+Table1[[#This Row],[Fish Spending]]+Table1[[#This Row],[Meat Spending]]+Table1[[#This Row],[Fruits Spending]]+Table1[[#This Row],[Wine Spending ]])</f>
        <v>131</v>
      </c>
      <c r="Q792">
        <v>3</v>
      </c>
      <c r="R792">
        <v>2</v>
      </c>
      <c r="S792">
        <v>1</v>
      </c>
      <c r="T792">
        <v>4</v>
      </c>
      <c r="U792">
        <f>SUM(Table1[[#This Row],[Store_Purchases]]+Table1[[#This Row],[Catalog_Purchases]]+Table1[[#This Row],[Web_Purchases]]+Table1[[#This Row],[Deal_Purchases]])</f>
        <v>10</v>
      </c>
      <c r="V792">
        <v>6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f>SUM(Table1[[#This Row],[Accepted_Campaign_2]]+Table1[[#This Row],[Accepted_Campaign_1]]+Table1[[#This Row],[Accepted_Campaign_5]]+Table1[[#This Row],[Accepted_Campaign_4]]+Table1[[#This Row],[Accepted_Campaign_3]])</f>
        <v>0</v>
      </c>
      <c r="AC792">
        <v>0</v>
      </c>
      <c r="AD792">
        <v>0</v>
      </c>
    </row>
    <row r="793" spans="1:30" x14ac:dyDescent="0.25">
      <c r="A793">
        <v>41542</v>
      </c>
      <c r="B793">
        <v>1987</v>
      </c>
      <c r="C793">
        <v>1987</v>
      </c>
      <c r="D793" t="s">
        <v>8</v>
      </c>
      <c r="E793" t="s">
        <v>21</v>
      </c>
      <c r="F793" t="s">
        <v>9</v>
      </c>
      <c r="G793">
        <v>21063</v>
      </c>
      <c r="H793">
        <v>1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f>SUM(Table1[[#This Row],[Gold Spending]]+Table1[[#This Row],[Sweet Spending]]+Table1[[#This Row],[Fish Spending]]+Table1[[#This Row],[Meat Spending]]+Table1[[#This Row],[Fruits Spending]]+Table1[[#This Row],[Wine Spending ]])</f>
        <v>59</v>
      </c>
      <c r="Q793">
        <v>2</v>
      </c>
      <c r="R793">
        <v>2</v>
      </c>
      <c r="S793">
        <v>0</v>
      </c>
      <c r="T793">
        <v>3</v>
      </c>
      <c r="U793">
        <f>SUM(Table1[[#This Row],[Store_Purchases]]+Table1[[#This Row],[Catalog_Purchases]]+Table1[[#This Row],[Web_Purchases]]+Table1[[#This Row],[Deal_Purchases]])</f>
        <v>7</v>
      </c>
      <c r="V793">
        <v>6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f>SUM(Table1[[#This Row],[Accepted_Campaign_2]]+Table1[[#This Row],[Accepted_Campaign_1]]+Table1[[#This Row],[Accepted_Campaign_5]]+Table1[[#This Row],[Accepted_Campaign_4]]+Table1[[#This Row],[Accepted_Campaign_3]])</f>
        <v>0</v>
      </c>
      <c r="AC793">
        <v>0</v>
      </c>
      <c r="AD793">
        <v>0</v>
      </c>
    </row>
    <row r="794" spans="1:30" x14ac:dyDescent="0.25">
      <c r="A794">
        <v>41532</v>
      </c>
      <c r="B794">
        <v>2281</v>
      </c>
      <c r="C794">
        <v>1970</v>
      </c>
      <c r="D794" t="s">
        <v>16</v>
      </c>
      <c r="E794" t="s">
        <v>6</v>
      </c>
      <c r="F794" t="s">
        <v>9</v>
      </c>
      <c r="G794">
        <v>33697</v>
      </c>
      <c r="H794">
        <v>1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f>SUM(Table1[[#This Row],[Gold Spending]]+Table1[[#This Row],[Sweet Spending]]+Table1[[#This Row],[Fish Spending]]+Table1[[#This Row],[Meat Spending]]+Table1[[#This Row],[Fruits Spending]]+Table1[[#This Row],[Wine Spending ]])</f>
        <v>28</v>
      </c>
      <c r="Q794">
        <v>1</v>
      </c>
      <c r="R794">
        <v>1</v>
      </c>
      <c r="S794">
        <v>0</v>
      </c>
      <c r="T794">
        <v>2</v>
      </c>
      <c r="U794">
        <f>SUM(Table1[[#This Row],[Store_Purchases]]+Table1[[#This Row],[Catalog_Purchases]]+Table1[[#This Row],[Web_Purchases]]+Table1[[#This Row],[Deal_Purchases]])</f>
        <v>4</v>
      </c>
      <c r="V794">
        <v>7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f>SUM(Table1[[#This Row],[Accepted_Campaign_2]]+Table1[[#This Row],[Accepted_Campaign_1]]+Table1[[#This Row],[Accepted_Campaign_5]]+Table1[[#This Row],[Accepted_Campaign_4]]+Table1[[#This Row],[Accepted_Campaign_3]])</f>
        <v>1</v>
      </c>
      <c r="AC794">
        <v>0</v>
      </c>
      <c r="AD794">
        <v>0</v>
      </c>
    </row>
    <row r="795" spans="1:30" x14ac:dyDescent="0.25">
      <c r="A795">
        <v>41518</v>
      </c>
      <c r="B795">
        <v>7034</v>
      </c>
      <c r="C795">
        <v>1978</v>
      </c>
      <c r="D795" t="s">
        <v>10</v>
      </c>
      <c r="E795" t="s">
        <v>15</v>
      </c>
      <c r="F795" t="s">
        <v>11</v>
      </c>
      <c r="G795">
        <v>25804</v>
      </c>
      <c r="H795">
        <v>1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795">
        <v>2</v>
      </c>
      <c r="R795">
        <v>2</v>
      </c>
      <c r="S795">
        <v>0</v>
      </c>
      <c r="T795">
        <v>3</v>
      </c>
      <c r="U795">
        <f>SUM(Table1[[#This Row],[Store_Purchases]]+Table1[[#This Row],[Catalog_Purchases]]+Table1[[#This Row],[Web_Purchases]]+Table1[[#This Row],[Deal_Purchases]])</f>
        <v>7</v>
      </c>
      <c r="V795">
        <v>8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f>SUM(Table1[[#This Row],[Accepted_Campaign_2]]+Table1[[#This Row],[Accepted_Campaign_1]]+Table1[[#This Row],[Accepted_Campaign_5]]+Table1[[#This Row],[Accepted_Campaign_4]]+Table1[[#This Row],[Accepted_Campaign_3]])</f>
        <v>0</v>
      </c>
      <c r="AC795">
        <v>0</v>
      </c>
      <c r="AD795">
        <v>0</v>
      </c>
    </row>
    <row r="796" spans="1:30" x14ac:dyDescent="0.25">
      <c r="A796">
        <v>41506</v>
      </c>
      <c r="B796">
        <v>2797</v>
      </c>
      <c r="C796">
        <v>1977</v>
      </c>
      <c r="D796" t="s">
        <v>8</v>
      </c>
      <c r="E796" t="s">
        <v>6</v>
      </c>
      <c r="F796" t="s">
        <v>11</v>
      </c>
      <c r="G796">
        <v>72117</v>
      </c>
      <c r="H796">
        <v>1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f>SUM(Table1[[#This Row],[Gold Spending]]+Table1[[#This Row],[Sweet Spending]]+Table1[[#This Row],[Fish Spending]]+Table1[[#This Row],[Meat Spending]]+Table1[[#This Row],[Fruits Spending]]+Table1[[#This Row],[Wine Spending ]])</f>
        <v>1073</v>
      </c>
      <c r="Q796">
        <v>1</v>
      </c>
      <c r="R796">
        <v>9</v>
      </c>
      <c r="S796">
        <v>7</v>
      </c>
      <c r="T796">
        <v>9</v>
      </c>
      <c r="U796">
        <f>SUM(Table1[[#This Row],[Store_Purchases]]+Table1[[#This Row],[Catalog_Purchases]]+Table1[[#This Row],[Web_Purchases]]+Table1[[#This Row],[Deal_Purchases]])</f>
        <v>26</v>
      </c>
      <c r="V796">
        <v>5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f>SUM(Table1[[#This Row],[Accepted_Campaign_2]]+Table1[[#This Row],[Accepted_Campaign_1]]+Table1[[#This Row],[Accepted_Campaign_5]]+Table1[[#This Row],[Accepted_Campaign_4]]+Table1[[#This Row],[Accepted_Campaign_3]])</f>
        <v>0</v>
      </c>
      <c r="AC796">
        <v>0</v>
      </c>
      <c r="AD796">
        <v>0</v>
      </c>
    </row>
    <row r="797" spans="1:30" x14ac:dyDescent="0.25">
      <c r="A797">
        <v>41488</v>
      </c>
      <c r="B797">
        <v>3934</v>
      </c>
      <c r="C797">
        <v>1966</v>
      </c>
      <c r="D797" t="s">
        <v>17</v>
      </c>
      <c r="E797" t="s">
        <v>6</v>
      </c>
      <c r="F797" t="s">
        <v>11</v>
      </c>
      <c r="G797">
        <v>61286</v>
      </c>
      <c r="H797">
        <v>1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f>SUM(Table1[[#This Row],[Gold Spending]]+Table1[[#This Row],[Sweet Spending]]+Table1[[#This Row],[Fish Spending]]+Table1[[#This Row],[Meat Spending]]+Table1[[#This Row],[Fruits Spending]]+Table1[[#This Row],[Wine Spending ]])</f>
        <v>608</v>
      </c>
      <c r="Q797">
        <v>2</v>
      </c>
      <c r="R797">
        <v>7</v>
      </c>
      <c r="S797">
        <v>1</v>
      </c>
      <c r="T797">
        <v>8</v>
      </c>
      <c r="U797">
        <f>SUM(Table1[[#This Row],[Store_Purchases]]+Table1[[#This Row],[Catalog_Purchases]]+Table1[[#This Row],[Web_Purchases]]+Table1[[#This Row],[Deal_Purchases]])</f>
        <v>18</v>
      </c>
      <c r="V797">
        <v>5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f>SUM(Table1[[#This Row],[Accepted_Campaign_2]]+Table1[[#This Row],[Accepted_Campaign_1]]+Table1[[#This Row],[Accepted_Campaign_5]]+Table1[[#This Row],[Accepted_Campaign_4]]+Table1[[#This Row],[Accepted_Campaign_3]])</f>
        <v>0</v>
      </c>
      <c r="AC797">
        <v>0</v>
      </c>
      <c r="AD797">
        <v>0</v>
      </c>
    </row>
    <row r="798" spans="1:30" x14ac:dyDescent="0.25">
      <c r="A798">
        <v>41488</v>
      </c>
      <c r="B798">
        <v>2493</v>
      </c>
      <c r="C798">
        <v>1966</v>
      </c>
      <c r="D798" t="s">
        <v>16</v>
      </c>
      <c r="E798" t="s">
        <v>6</v>
      </c>
      <c r="F798" t="s">
        <v>11</v>
      </c>
      <c r="G798">
        <v>61286</v>
      </c>
      <c r="H798">
        <v>1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f>SUM(Table1[[#This Row],[Gold Spending]]+Table1[[#This Row],[Sweet Spending]]+Table1[[#This Row],[Fish Spending]]+Table1[[#This Row],[Meat Spending]]+Table1[[#This Row],[Fruits Spending]]+Table1[[#This Row],[Wine Spending ]])</f>
        <v>608</v>
      </c>
      <c r="Q798">
        <v>2</v>
      </c>
      <c r="R798">
        <v>7</v>
      </c>
      <c r="S798">
        <v>1</v>
      </c>
      <c r="T798">
        <v>8</v>
      </c>
      <c r="U798">
        <f>SUM(Table1[[#This Row],[Store_Purchases]]+Table1[[#This Row],[Catalog_Purchases]]+Table1[[#This Row],[Web_Purchases]]+Table1[[#This Row],[Deal_Purchases]])</f>
        <v>18</v>
      </c>
      <c r="V798">
        <v>5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f>SUM(Table1[[#This Row],[Accepted_Campaign_2]]+Table1[[#This Row],[Accepted_Campaign_1]]+Table1[[#This Row],[Accepted_Campaign_5]]+Table1[[#This Row],[Accepted_Campaign_4]]+Table1[[#This Row],[Accepted_Campaign_3]])</f>
        <v>0</v>
      </c>
      <c r="AC798">
        <v>0</v>
      </c>
      <c r="AD798">
        <v>0</v>
      </c>
    </row>
    <row r="799" spans="1:30" x14ac:dyDescent="0.25">
      <c r="A799">
        <v>41480</v>
      </c>
      <c r="B799">
        <v>3759</v>
      </c>
      <c r="C799">
        <v>1958</v>
      </c>
      <c r="D799" t="s">
        <v>8</v>
      </c>
      <c r="E799" t="s">
        <v>6</v>
      </c>
      <c r="F799" t="s">
        <v>12</v>
      </c>
      <c r="G799">
        <v>65196</v>
      </c>
      <c r="H799">
        <v>2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f>SUM(Table1[[#This Row],[Gold Spending]]+Table1[[#This Row],[Sweet Spending]]+Table1[[#This Row],[Fish Spending]]+Table1[[#This Row],[Meat Spending]]+Table1[[#This Row],[Fruits Spending]]+Table1[[#This Row],[Wine Spending ]])</f>
        <v>1155</v>
      </c>
      <c r="Q799">
        <v>2</v>
      </c>
      <c r="R799">
        <v>7</v>
      </c>
      <c r="S799">
        <v>6</v>
      </c>
      <c r="T799">
        <v>11</v>
      </c>
      <c r="U799">
        <f>SUM(Table1[[#This Row],[Store_Purchases]]+Table1[[#This Row],[Catalog_Purchases]]+Table1[[#This Row],[Web_Purchases]]+Table1[[#This Row],[Deal_Purchases]])</f>
        <v>26</v>
      </c>
      <c r="V799">
        <v>5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f>SUM(Table1[[#This Row],[Accepted_Campaign_2]]+Table1[[#This Row],[Accepted_Campaign_1]]+Table1[[#This Row],[Accepted_Campaign_5]]+Table1[[#This Row],[Accepted_Campaign_4]]+Table1[[#This Row],[Accepted_Campaign_3]])</f>
        <v>1</v>
      </c>
      <c r="AC799">
        <v>0</v>
      </c>
      <c r="AD799">
        <v>0</v>
      </c>
    </row>
    <row r="800" spans="1:30" x14ac:dyDescent="0.25">
      <c r="A800">
        <v>41226</v>
      </c>
      <c r="B800">
        <v>965</v>
      </c>
      <c r="C800">
        <v>1971</v>
      </c>
      <c r="D800" t="s">
        <v>63</v>
      </c>
      <c r="E800" t="s">
        <v>6</v>
      </c>
      <c r="F800" t="s">
        <v>7</v>
      </c>
      <c r="G800">
        <v>55635</v>
      </c>
      <c r="H800">
        <v>1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f>SUM(Table1[[#This Row],[Gold Spending]]+Table1[[#This Row],[Sweet Spending]]+Table1[[#This Row],[Fish Spending]]+Table1[[#This Row],[Meat Spending]]+Table1[[#This Row],[Fruits Spending]]+Table1[[#This Row],[Wine Spending ]])</f>
        <v>590</v>
      </c>
      <c r="Q800">
        <v>4</v>
      </c>
      <c r="R800">
        <v>7</v>
      </c>
      <c r="S800">
        <v>3</v>
      </c>
      <c r="T800">
        <v>7</v>
      </c>
      <c r="U800">
        <f>SUM(Table1[[#This Row],[Store_Purchases]]+Table1[[#This Row],[Catalog_Purchases]]+Table1[[#This Row],[Web_Purchases]]+Table1[[#This Row],[Deal_Purchases]])</f>
        <v>21</v>
      </c>
      <c r="V800">
        <v>6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f>SUM(Table1[[#This Row],[Accepted_Campaign_2]]+Table1[[#This Row],[Accepted_Campaign_1]]+Table1[[#This Row],[Accepted_Campaign_5]]+Table1[[#This Row],[Accepted_Campaign_4]]+Table1[[#This Row],[Accepted_Campaign_3]])</f>
        <v>0</v>
      </c>
      <c r="AC800">
        <v>0</v>
      </c>
      <c r="AD800">
        <v>0</v>
      </c>
    </row>
    <row r="801" spans="1:30" x14ac:dyDescent="0.25">
      <c r="A801">
        <v>41152</v>
      </c>
      <c r="B801">
        <v>7378</v>
      </c>
      <c r="C801">
        <v>1981</v>
      </c>
      <c r="D801" t="s">
        <v>8</v>
      </c>
      <c r="E801" t="s">
        <v>18</v>
      </c>
      <c r="F801" t="s">
        <v>12</v>
      </c>
      <c r="G801">
        <v>42021</v>
      </c>
      <c r="H801">
        <v>1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f>SUM(Table1[[#This Row],[Gold Spending]]+Table1[[#This Row],[Sweet Spending]]+Table1[[#This Row],[Fish Spending]]+Table1[[#This Row],[Meat Spending]]+Table1[[#This Row],[Fruits Spending]]+Table1[[#This Row],[Wine Spending ]])</f>
        <v>573</v>
      </c>
      <c r="Q801">
        <v>5</v>
      </c>
      <c r="R801">
        <v>10</v>
      </c>
      <c r="S801">
        <v>1</v>
      </c>
      <c r="T801">
        <v>6</v>
      </c>
      <c r="U801">
        <f>SUM(Table1[[#This Row],[Store_Purchases]]+Table1[[#This Row],[Catalog_Purchases]]+Table1[[#This Row],[Web_Purchases]]+Table1[[#This Row],[Deal_Purchases]])</f>
        <v>22</v>
      </c>
      <c r="V801">
        <v>9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f>SUM(Table1[[#This Row],[Accepted_Campaign_2]]+Table1[[#This Row],[Accepted_Campaign_1]]+Table1[[#This Row],[Accepted_Campaign_5]]+Table1[[#This Row],[Accepted_Campaign_4]]+Table1[[#This Row],[Accepted_Campaign_3]])</f>
        <v>1</v>
      </c>
      <c r="AC801">
        <v>0</v>
      </c>
      <c r="AD801">
        <v>0</v>
      </c>
    </row>
    <row r="802" spans="1:30" x14ac:dyDescent="0.25">
      <c r="A802">
        <v>41148</v>
      </c>
      <c r="B802">
        <v>1859</v>
      </c>
      <c r="C802">
        <v>1972</v>
      </c>
      <c r="D802" t="s">
        <v>16</v>
      </c>
      <c r="E802" t="s">
        <v>18</v>
      </c>
      <c r="F802" t="s">
        <v>11</v>
      </c>
      <c r="G802">
        <v>75251</v>
      </c>
      <c r="H802">
        <v>0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f>SUM(Table1[[#This Row],[Gold Spending]]+Table1[[#This Row],[Sweet Spending]]+Table1[[#This Row],[Fish Spending]]+Table1[[#This Row],[Meat Spending]]+Table1[[#This Row],[Fruits Spending]]+Table1[[#This Row],[Wine Spending ]])</f>
        <v>1890</v>
      </c>
      <c r="Q802">
        <v>1</v>
      </c>
      <c r="R802">
        <v>7</v>
      </c>
      <c r="S802">
        <v>6</v>
      </c>
      <c r="T802">
        <v>5</v>
      </c>
      <c r="U802">
        <f>SUM(Table1[[#This Row],[Store_Purchases]]+Table1[[#This Row],[Catalog_Purchases]]+Table1[[#This Row],[Web_Purchases]]+Table1[[#This Row],[Deal_Purchases]])</f>
        <v>19</v>
      </c>
      <c r="V802">
        <v>5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f>SUM(Table1[[#This Row],[Accepted_Campaign_2]]+Table1[[#This Row],[Accepted_Campaign_1]]+Table1[[#This Row],[Accepted_Campaign_5]]+Table1[[#This Row],[Accepted_Campaign_4]]+Table1[[#This Row],[Accepted_Campaign_3]])</f>
        <v>0</v>
      </c>
      <c r="AC802">
        <v>1</v>
      </c>
      <c r="AD802">
        <v>0</v>
      </c>
    </row>
    <row r="803" spans="1:30" x14ac:dyDescent="0.25">
      <c r="A803">
        <v>41143</v>
      </c>
      <c r="B803">
        <v>6263</v>
      </c>
      <c r="C803">
        <v>1968</v>
      </c>
      <c r="D803" t="s">
        <v>8</v>
      </c>
      <c r="E803" t="s">
        <v>6</v>
      </c>
      <c r="F803" t="s">
        <v>12</v>
      </c>
      <c r="G803">
        <v>35322</v>
      </c>
      <c r="H803">
        <v>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f>SUM(Table1[[#This Row],[Gold Spending]]+Table1[[#This Row],[Sweet Spending]]+Table1[[#This Row],[Fish Spending]]+Table1[[#This Row],[Meat Spending]]+Table1[[#This Row],[Fruits Spending]]+Table1[[#This Row],[Wine Spending ]])</f>
        <v>106</v>
      </c>
      <c r="Q803">
        <v>3</v>
      </c>
      <c r="R803">
        <v>2</v>
      </c>
      <c r="S803">
        <v>0</v>
      </c>
      <c r="T803">
        <v>4</v>
      </c>
      <c r="U803">
        <f>SUM(Table1[[#This Row],[Store_Purchases]]+Table1[[#This Row],[Catalog_Purchases]]+Table1[[#This Row],[Web_Purchases]]+Table1[[#This Row],[Deal_Purchases]])</f>
        <v>9</v>
      </c>
      <c r="V803">
        <v>8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f>SUM(Table1[[#This Row],[Accepted_Campaign_2]]+Table1[[#This Row],[Accepted_Campaign_1]]+Table1[[#This Row],[Accepted_Campaign_5]]+Table1[[#This Row],[Accepted_Campaign_4]]+Table1[[#This Row],[Accepted_Campaign_3]])</f>
        <v>0</v>
      </c>
      <c r="AC803">
        <v>0</v>
      </c>
      <c r="AD803">
        <v>0</v>
      </c>
    </row>
    <row r="804" spans="1:30" x14ac:dyDescent="0.25">
      <c r="A804">
        <v>41137</v>
      </c>
      <c r="B804">
        <v>2072</v>
      </c>
      <c r="C804">
        <v>1969</v>
      </c>
      <c r="D804" t="s">
        <v>10</v>
      </c>
      <c r="E804" t="s">
        <v>14</v>
      </c>
      <c r="F804" t="s">
        <v>12</v>
      </c>
      <c r="G804">
        <v>53374</v>
      </c>
      <c r="H804">
        <v>1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f>SUM(Table1[[#This Row],[Gold Spending]]+Table1[[#This Row],[Sweet Spending]]+Table1[[#This Row],[Fish Spending]]+Table1[[#This Row],[Meat Spending]]+Table1[[#This Row],[Fruits Spending]]+Table1[[#This Row],[Wine Spending ]])</f>
        <v>1064</v>
      </c>
      <c r="Q804">
        <v>6</v>
      </c>
      <c r="R804">
        <v>4</v>
      </c>
      <c r="S804">
        <v>2</v>
      </c>
      <c r="T804">
        <v>9</v>
      </c>
      <c r="U804">
        <f>SUM(Table1[[#This Row],[Store_Purchases]]+Table1[[#This Row],[Catalog_Purchases]]+Table1[[#This Row],[Web_Purchases]]+Table1[[#This Row],[Deal_Purchases]])</f>
        <v>21</v>
      </c>
      <c r="V804">
        <v>9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f>SUM(Table1[[#This Row],[Accepted_Campaign_2]]+Table1[[#This Row],[Accepted_Campaign_1]]+Table1[[#This Row],[Accepted_Campaign_5]]+Table1[[#This Row],[Accepted_Campaign_4]]+Table1[[#This Row],[Accepted_Campaign_3]])</f>
        <v>1</v>
      </c>
      <c r="AC804">
        <v>1</v>
      </c>
      <c r="AD804">
        <v>0</v>
      </c>
    </row>
    <row r="805" spans="1:30" x14ac:dyDescent="0.25">
      <c r="A805">
        <v>41767</v>
      </c>
      <c r="B805">
        <v>8908</v>
      </c>
      <c r="C805">
        <v>1959</v>
      </c>
      <c r="D805" t="s">
        <v>10</v>
      </c>
      <c r="E805" t="s">
        <v>6</v>
      </c>
      <c r="F805" t="s">
        <v>11</v>
      </c>
      <c r="G805">
        <v>87195</v>
      </c>
      <c r="H805">
        <v>0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f>SUM(Table1[[#This Row],[Gold Spending]]+Table1[[#This Row],[Sweet Spending]]+Table1[[#This Row],[Fish Spending]]+Table1[[#This Row],[Meat Spending]]+Table1[[#This Row],[Fruits Spending]]+Table1[[#This Row],[Wine Spending ]])</f>
        <v>1097</v>
      </c>
      <c r="Q805">
        <v>1</v>
      </c>
      <c r="R805">
        <v>3</v>
      </c>
      <c r="S805">
        <v>11</v>
      </c>
      <c r="T805">
        <v>5</v>
      </c>
      <c r="U805">
        <f>SUM(Table1[[#This Row],[Store_Purchases]]+Table1[[#This Row],[Catalog_Purchases]]+Table1[[#This Row],[Web_Purchases]]+Table1[[#This Row],[Deal_Purchases]])</f>
        <v>20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f>SUM(Table1[[#This Row],[Accepted_Campaign_2]]+Table1[[#This Row],[Accepted_Campaign_1]]+Table1[[#This Row],[Accepted_Campaign_5]]+Table1[[#This Row],[Accepted_Campaign_4]]+Table1[[#This Row],[Accepted_Campaign_3]])</f>
        <v>0</v>
      </c>
      <c r="AC805">
        <v>1</v>
      </c>
      <c r="AD805">
        <v>0</v>
      </c>
    </row>
    <row r="806" spans="1:30" x14ac:dyDescent="0.25">
      <c r="A806">
        <v>41733</v>
      </c>
      <c r="B806">
        <v>738</v>
      </c>
      <c r="C806">
        <v>1981</v>
      </c>
      <c r="D806" t="s">
        <v>17</v>
      </c>
      <c r="E806" t="s">
        <v>15</v>
      </c>
      <c r="F806" t="s">
        <v>9</v>
      </c>
      <c r="G806">
        <v>42395</v>
      </c>
      <c r="H806">
        <v>2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f>SUM(Table1[[#This Row],[Gold Spending]]+Table1[[#This Row],[Sweet Spending]]+Table1[[#This Row],[Fish Spending]]+Table1[[#This Row],[Meat Spending]]+Table1[[#This Row],[Fruits Spending]]+Table1[[#This Row],[Wine Spending ]])</f>
        <v>182</v>
      </c>
      <c r="Q806">
        <v>4</v>
      </c>
      <c r="R806">
        <v>3</v>
      </c>
      <c r="S806">
        <v>1</v>
      </c>
      <c r="T806">
        <v>4</v>
      </c>
      <c r="U806">
        <f>SUM(Table1[[#This Row],[Store_Purchases]]+Table1[[#This Row],[Catalog_Purchases]]+Table1[[#This Row],[Web_Purchases]]+Table1[[#This Row],[Deal_Purchases]])</f>
        <v>12</v>
      </c>
      <c r="V806">
        <v>7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f>SUM(Table1[[#This Row],[Accepted_Campaign_2]]+Table1[[#This Row],[Accepted_Campaign_1]]+Table1[[#This Row],[Accepted_Campaign_5]]+Table1[[#This Row],[Accepted_Campaign_4]]+Table1[[#This Row],[Accepted_Campaign_3]])</f>
        <v>0</v>
      </c>
      <c r="AC806">
        <v>0</v>
      </c>
      <c r="AD806">
        <v>0</v>
      </c>
    </row>
    <row r="807" spans="1:30" x14ac:dyDescent="0.25">
      <c r="A807">
        <v>41710</v>
      </c>
      <c r="B807">
        <v>10129</v>
      </c>
      <c r="C807">
        <v>1966</v>
      </c>
      <c r="D807" t="s">
        <v>8</v>
      </c>
      <c r="E807" t="s">
        <v>6</v>
      </c>
      <c r="F807" t="s">
        <v>12</v>
      </c>
      <c r="G807">
        <v>82427</v>
      </c>
      <c r="H807">
        <v>0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f>SUM(Table1[[#This Row],[Gold Spending]]+Table1[[#This Row],[Sweet Spending]]+Table1[[#This Row],[Fish Spending]]+Table1[[#This Row],[Meat Spending]]+Table1[[#This Row],[Fruits Spending]]+Table1[[#This Row],[Wine Spending ]])</f>
        <v>1456</v>
      </c>
      <c r="Q807">
        <v>1</v>
      </c>
      <c r="R807">
        <v>3</v>
      </c>
      <c r="S807">
        <v>5</v>
      </c>
      <c r="T807">
        <v>12</v>
      </c>
      <c r="U807">
        <f>SUM(Table1[[#This Row],[Store_Purchases]]+Table1[[#This Row],[Catalog_Purchases]]+Table1[[#This Row],[Web_Purchases]]+Table1[[#This Row],[Deal_Purchases]])</f>
        <v>21</v>
      </c>
      <c r="V807">
        <v>1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f>SUM(Table1[[#This Row],[Accepted_Campaign_2]]+Table1[[#This Row],[Accepted_Campaign_1]]+Table1[[#This Row],[Accepted_Campaign_5]]+Table1[[#This Row],[Accepted_Campaign_4]]+Table1[[#This Row],[Accepted_Campaign_3]])</f>
        <v>1</v>
      </c>
      <c r="AC807">
        <v>0</v>
      </c>
      <c r="AD807">
        <v>0</v>
      </c>
    </row>
    <row r="808" spans="1:30" x14ac:dyDescent="0.25">
      <c r="A808">
        <v>41685</v>
      </c>
      <c r="B808">
        <v>807</v>
      </c>
      <c r="C808">
        <v>1969</v>
      </c>
      <c r="D808" t="s">
        <v>17</v>
      </c>
      <c r="E808" t="s">
        <v>18</v>
      </c>
      <c r="F808" t="s">
        <v>12</v>
      </c>
      <c r="G808">
        <v>44602</v>
      </c>
      <c r="H808">
        <v>2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f>SUM(Table1[[#This Row],[Gold Spending]]+Table1[[#This Row],[Sweet Spending]]+Table1[[#This Row],[Fish Spending]]+Table1[[#This Row],[Meat Spending]]+Table1[[#This Row],[Fruits Spending]]+Table1[[#This Row],[Wine Spending ]])</f>
        <v>292</v>
      </c>
      <c r="Q808">
        <v>6</v>
      </c>
      <c r="R808">
        <v>6</v>
      </c>
      <c r="S808">
        <v>1</v>
      </c>
      <c r="T808">
        <v>4</v>
      </c>
      <c r="U808">
        <f>SUM(Table1[[#This Row],[Store_Purchases]]+Table1[[#This Row],[Catalog_Purchases]]+Table1[[#This Row],[Web_Purchases]]+Table1[[#This Row],[Deal_Purchases]])</f>
        <v>17</v>
      </c>
      <c r="V808">
        <v>8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f>SUM(Table1[[#This Row],[Accepted_Campaign_2]]+Table1[[#This Row],[Accepted_Campaign_1]]+Table1[[#This Row],[Accepted_Campaign_5]]+Table1[[#This Row],[Accepted_Campaign_4]]+Table1[[#This Row],[Accepted_Campaign_3]])</f>
        <v>0</v>
      </c>
      <c r="AC808">
        <v>0</v>
      </c>
      <c r="AD808">
        <v>0</v>
      </c>
    </row>
    <row r="809" spans="1:30" x14ac:dyDescent="0.25">
      <c r="A809">
        <v>41682</v>
      </c>
      <c r="B809">
        <v>3334</v>
      </c>
      <c r="C809">
        <v>1951</v>
      </c>
      <c r="D809" t="s">
        <v>8</v>
      </c>
      <c r="E809" t="s">
        <v>6</v>
      </c>
      <c r="F809" t="s">
        <v>11</v>
      </c>
      <c r="G809">
        <v>94642</v>
      </c>
      <c r="H809">
        <v>0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f>SUM(Table1[[#This Row],[Gold Spending]]+Table1[[#This Row],[Sweet Spending]]+Table1[[#This Row],[Fish Spending]]+Table1[[#This Row],[Meat Spending]]+Table1[[#This Row],[Fruits Spending]]+Table1[[#This Row],[Wine Spending ]])</f>
        <v>2211</v>
      </c>
      <c r="Q809">
        <v>0</v>
      </c>
      <c r="R809">
        <v>5</v>
      </c>
      <c r="S809">
        <v>7</v>
      </c>
      <c r="T809">
        <v>9</v>
      </c>
      <c r="U809">
        <f>SUM(Table1[[#This Row],[Store_Purchases]]+Table1[[#This Row],[Catalog_Purchases]]+Table1[[#This Row],[Web_Purchases]]+Table1[[#This Row],[Deal_Purchases]])</f>
        <v>21</v>
      </c>
      <c r="V809">
        <v>1</v>
      </c>
      <c r="W809">
        <v>0</v>
      </c>
      <c r="X809">
        <v>0</v>
      </c>
      <c r="Y809">
        <v>1</v>
      </c>
      <c r="Z809">
        <v>1</v>
      </c>
      <c r="AA809">
        <v>0</v>
      </c>
      <c r="AB809">
        <f>SUM(Table1[[#This Row],[Accepted_Campaign_2]]+Table1[[#This Row],[Accepted_Campaign_1]]+Table1[[#This Row],[Accepted_Campaign_5]]+Table1[[#This Row],[Accepted_Campaign_4]]+Table1[[#This Row],[Accepted_Campaign_3]])</f>
        <v>2</v>
      </c>
      <c r="AC809">
        <v>0</v>
      </c>
      <c r="AD809">
        <v>0</v>
      </c>
    </row>
    <row r="810" spans="1:30" x14ac:dyDescent="0.25">
      <c r="A810">
        <v>41574</v>
      </c>
      <c r="B810">
        <v>5423</v>
      </c>
      <c r="C810">
        <v>1983</v>
      </c>
      <c r="D810" t="s">
        <v>20</v>
      </c>
      <c r="E810" t="s">
        <v>6</v>
      </c>
      <c r="F810" t="s">
        <v>12</v>
      </c>
      <c r="G810">
        <v>28359</v>
      </c>
      <c r="H810">
        <v>1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f>SUM(Table1[[#This Row],[Gold Spending]]+Table1[[#This Row],[Sweet Spending]]+Table1[[#This Row],[Fish Spending]]+Table1[[#This Row],[Meat Spending]]+Table1[[#This Row],[Fruits Spending]]+Table1[[#This Row],[Wine Spending ]])</f>
        <v>16</v>
      </c>
      <c r="Q810">
        <v>1</v>
      </c>
      <c r="R810">
        <v>1</v>
      </c>
      <c r="S810">
        <v>0</v>
      </c>
      <c r="T810">
        <v>2</v>
      </c>
      <c r="U810">
        <f>SUM(Table1[[#This Row],[Store_Purchases]]+Table1[[#This Row],[Catalog_Purchases]]+Table1[[#This Row],[Web_Purchases]]+Table1[[#This Row],[Deal_Purchases]])</f>
        <v>4</v>
      </c>
      <c r="V810">
        <v>7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f>SUM(Table1[[#This Row],[Accepted_Campaign_2]]+Table1[[#This Row],[Accepted_Campaign_1]]+Table1[[#This Row],[Accepted_Campaign_5]]+Table1[[#This Row],[Accepted_Campaign_4]]+Table1[[#This Row],[Accepted_Campaign_3]])</f>
        <v>0</v>
      </c>
      <c r="AC810">
        <v>0</v>
      </c>
      <c r="AD810">
        <v>0</v>
      </c>
    </row>
    <row r="811" spans="1:30" x14ac:dyDescent="0.25">
      <c r="A811">
        <v>41539</v>
      </c>
      <c r="B811">
        <v>4426</v>
      </c>
      <c r="C811">
        <v>1975</v>
      </c>
      <c r="D811" t="s">
        <v>63</v>
      </c>
      <c r="E811" t="s">
        <v>6</v>
      </c>
      <c r="F811" t="s">
        <v>9</v>
      </c>
      <c r="G811">
        <v>55801</v>
      </c>
      <c r="H811">
        <v>2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f>SUM(Table1[[#This Row],[Gold Spending]]+Table1[[#This Row],[Sweet Spending]]+Table1[[#This Row],[Fish Spending]]+Table1[[#This Row],[Meat Spending]]+Table1[[#This Row],[Fruits Spending]]+Table1[[#This Row],[Wine Spending ]])</f>
        <v>527</v>
      </c>
      <c r="Q811">
        <v>6</v>
      </c>
      <c r="R811">
        <v>7</v>
      </c>
      <c r="S811">
        <v>2</v>
      </c>
      <c r="T811">
        <v>6</v>
      </c>
      <c r="U811">
        <f>SUM(Table1[[#This Row],[Store_Purchases]]+Table1[[#This Row],[Catalog_Purchases]]+Table1[[#This Row],[Web_Purchases]]+Table1[[#This Row],[Deal_Purchases]])</f>
        <v>21</v>
      </c>
      <c r="V811">
        <v>7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f>SUM(Table1[[#This Row],[Accepted_Campaign_2]]+Table1[[#This Row],[Accepted_Campaign_1]]+Table1[[#This Row],[Accepted_Campaign_5]]+Table1[[#This Row],[Accepted_Campaign_4]]+Table1[[#This Row],[Accepted_Campaign_3]])</f>
        <v>1</v>
      </c>
      <c r="AC811">
        <v>0</v>
      </c>
      <c r="AD811">
        <v>0</v>
      </c>
    </row>
    <row r="812" spans="1:30" x14ac:dyDescent="0.25">
      <c r="A812">
        <v>41505</v>
      </c>
      <c r="B812">
        <v>10489</v>
      </c>
      <c r="C812">
        <v>1973</v>
      </c>
      <c r="D812" t="s">
        <v>20</v>
      </c>
      <c r="E812" t="s">
        <v>6</v>
      </c>
      <c r="F812" t="s">
        <v>11</v>
      </c>
      <c r="G812">
        <v>92955</v>
      </c>
      <c r="H812">
        <v>0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f>SUM(Table1[[#This Row],[Gold Spending]]+Table1[[#This Row],[Sweet Spending]]+Table1[[#This Row],[Fish Spending]]+Table1[[#This Row],[Meat Spending]]+Table1[[#This Row],[Fruits Spending]]+Table1[[#This Row],[Wine Spending ]])</f>
        <v>1778</v>
      </c>
      <c r="Q812">
        <v>1</v>
      </c>
      <c r="R812">
        <v>6</v>
      </c>
      <c r="S812">
        <v>7</v>
      </c>
      <c r="T812">
        <v>9</v>
      </c>
      <c r="U812">
        <f>SUM(Table1[[#This Row],[Store_Purchases]]+Table1[[#This Row],[Catalog_Purchases]]+Table1[[#This Row],[Web_Purchases]]+Table1[[#This Row],[Deal_Purchases]])</f>
        <v>23</v>
      </c>
      <c r="V812">
        <v>2</v>
      </c>
      <c r="W812">
        <v>0</v>
      </c>
      <c r="X812">
        <v>0</v>
      </c>
      <c r="Y812">
        <v>1</v>
      </c>
      <c r="Z812">
        <v>1</v>
      </c>
      <c r="AA812">
        <v>0</v>
      </c>
      <c r="AB812">
        <f>SUM(Table1[[#This Row],[Accepted_Campaign_2]]+Table1[[#This Row],[Accepted_Campaign_1]]+Table1[[#This Row],[Accepted_Campaign_5]]+Table1[[#This Row],[Accepted_Campaign_4]]+Table1[[#This Row],[Accepted_Campaign_3]])</f>
        <v>2</v>
      </c>
      <c r="AC812">
        <v>1</v>
      </c>
      <c r="AD812">
        <v>0</v>
      </c>
    </row>
    <row r="813" spans="1:30" x14ac:dyDescent="0.25">
      <c r="A813">
        <v>41478</v>
      </c>
      <c r="B813">
        <v>2570</v>
      </c>
      <c r="C813">
        <v>1968</v>
      </c>
      <c r="D813" t="s">
        <v>8</v>
      </c>
      <c r="E813" t="s">
        <v>6</v>
      </c>
      <c r="F813" t="s">
        <v>12</v>
      </c>
      <c r="G813">
        <v>56534</v>
      </c>
      <c r="H813">
        <v>1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f>SUM(Table1[[#This Row],[Gold Spending]]+Table1[[#This Row],[Sweet Spending]]+Table1[[#This Row],[Fish Spending]]+Table1[[#This Row],[Meat Spending]]+Table1[[#This Row],[Fruits Spending]]+Table1[[#This Row],[Wine Spending ]])</f>
        <v>815</v>
      </c>
      <c r="Q813">
        <v>4</v>
      </c>
      <c r="R813">
        <v>10</v>
      </c>
      <c r="S813">
        <v>4</v>
      </c>
      <c r="T813">
        <v>7</v>
      </c>
      <c r="U813">
        <f>SUM(Table1[[#This Row],[Store_Purchases]]+Table1[[#This Row],[Catalog_Purchases]]+Table1[[#This Row],[Web_Purchases]]+Table1[[#This Row],[Deal_Purchases]])</f>
        <v>25</v>
      </c>
      <c r="V813">
        <v>8</v>
      </c>
      <c r="W813">
        <v>0</v>
      </c>
      <c r="X813">
        <v>1</v>
      </c>
      <c r="Y813">
        <v>0</v>
      </c>
      <c r="Z813">
        <v>0</v>
      </c>
      <c r="AA813">
        <v>1</v>
      </c>
      <c r="AB813">
        <f>SUM(Table1[[#This Row],[Accepted_Campaign_2]]+Table1[[#This Row],[Accepted_Campaign_1]]+Table1[[#This Row],[Accepted_Campaign_5]]+Table1[[#This Row],[Accepted_Campaign_4]]+Table1[[#This Row],[Accepted_Campaign_3]])</f>
        <v>2</v>
      </c>
      <c r="AC813">
        <v>1</v>
      </c>
      <c r="AD813">
        <v>0</v>
      </c>
    </row>
    <row r="814" spans="1:30" x14ac:dyDescent="0.25">
      <c r="A814">
        <v>41350</v>
      </c>
      <c r="B814">
        <v>3834</v>
      </c>
      <c r="C814">
        <v>1962</v>
      </c>
      <c r="D814" t="s">
        <v>63</v>
      </c>
      <c r="E814" t="s">
        <v>6</v>
      </c>
      <c r="F814" t="s">
        <v>9</v>
      </c>
      <c r="G814">
        <v>69627</v>
      </c>
      <c r="H814">
        <v>1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f>SUM(Table1[[#This Row],[Gold Spending]]+Table1[[#This Row],[Sweet Spending]]+Table1[[#This Row],[Fish Spending]]+Table1[[#This Row],[Meat Spending]]+Table1[[#This Row],[Fruits Spending]]+Table1[[#This Row],[Wine Spending ]])</f>
        <v>861</v>
      </c>
      <c r="Q814">
        <v>2</v>
      </c>
      <c r="R814">
        <v>8</v>
      </c>
      <c r="S814">
        <v>2</v>
      </c>
      <c r="T814">
        <v>11</v>
      </c>
      <c r="U814">
        <f>SUM(Table1[[#This Row],[Store_Purchases]]+Table1[[#This Row],[Catalog_Purchases]]+Table1[[#This Row],[Web_Purchases]]+Table1[[#This Row],[Deal_Purchases]])</f>
        <v>23</v>
      </c>
      <c r="V814">
        <v>5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f>SUM(Table1[[#This Row],[Accepted_Campaign_2]]+Table1[[#This Row],[Accepted_Campaign_1]]+Table1[[#This Row],[Accepted_Campaign_5]]+Table1[[#This Row],[Accepted_Campaign_4]]+Table1[[#This Row],[Accepted_Campaign_3]])</f>
        <v>0</v>
      </c>
      <c r="AC814">
        <v>0</v>
      </c>
      <c r="AD814">
        <v>0</v>
      </c>
    </row>
    <row r="815" spans="1:30" x14ac:dyDescent="0.25">
      <c r="A815">
        <v>41265</v>
      </c>
      <c r="B815">
        <v>590</v>
      </c>
      <c r="C815">
        <v>1970</v>
      </c>
      <c r="D815" t="s">
        <v>8</v>
      </c>
      <c r="E815" t="s">
        <v>18</v>
      </c>
      <c r="F815" t="s">
        <v>7</v>
      </c>
      <c r="G815">
        <v>78579</v>
      </c>
      <c r="H815">
        <v>0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f>SUM(Table1[[#This Row],[Gold Spending]]+Table1[[#This Row],[Sweet Spending]]+Table1[[#This Row],[Fish Spending]]+Table1[[#This Row],[Meat Spending]]+Table1[[#This Row],[Fruits Spending]]+Table1[[#This Row],[Wine Spending ]])</f>
        <v>1812</v>
      </c>
      <c r="Q815">
        <v>1</v>
      </c>
      <c r="R815">
        <v>5</v>
      </c>
      <c r="S815">
        <v>6</v>
      </c>
      <c r="T815">
        <v>4</v>
      </c>
      <c r="U815">
        <f>SUM(Table1[[#This Row],[Store_Purchases]]+Table1[[#This Row],[Catalog_Purchases]]+Table1[[#This Row],[Web_Purchases]]+Table1[[#This Row],[Deal_Purchases]])</f>
        <v>16</v>
      </c>
      <c r="V815">
        <v>3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f>SUM(Table1[[#This Row],[Accepted_Campaign_2]]+Table1[[#This Row],[Accepted_Campaign_1]]+Table1[[#This Row],[Accepted_Campaign_5]]+Table1[[#This Row],[Accepted_Campaign_4]]+Table1[[#This Row],[Accepted_Campaign_3]])</f>
        <v>0</v>
      </c>
      <c r="AC815">
        <v>1</v>
      </c>
      <c r="AD815">
        <v>0</v>
      </c>
    </row>
    <row r="816" spans="1:30" x14ac:dyDescent="0.25">
      <c r="A816">
        <v>41259</v>
      </c>
      <c r="B816">
        <v>4791</v>
      </c>
      <c r="C816">
        <v>1980</v>
      </c>
      <c r="D816" t="s">
        <v>13</v>
      </c>
      <c r="E816" t="s">
        <v>6</v>
      </c>
      <c r="F816" t="s">
        <v>12</v>
      </c>
      <c r="G816">
        <v>44964</v>
      </c>
      <c r="H816">
        <v>2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f>SUM(Table1[[#This Row],[Gold Spending]]+Table1[[#This Row],[Sweet Spending]]+Table1[[#This Row],[Fish Spending]]+Table1[[#This Row],[Meat Spending]]+Table1[[#This Row],[Fruits Spending]]+Table1[[#This Row],[Wine Spending ]])</f>
        <v>41</v>
      </c>
      <c r="Q816">
        <v>1</v>
      </c>
      <c r="R816">
        <v>1</v>
      </c>
      <c r="S816">
        <v>0</v>
      </c>
      <c r="T816">
        <v>3</v>
      </c>
      <c r="U816">
        <f>SUM(Table1[[#This Row],[Store_Purchases]]+Table1[[#This Row],[Catalog_Purchases]]+Table1[[#This Row],[Web_Purchases]]+Table1[[#This Row],[Deal_Purchases]])</f>
        <v>5</v>
      </c>
      <c r="V816">
        <v>8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f>SUM(Table1[[#This Row],[Accepted_Campaign_2]]+Table1[[#This Row],[Accepted_Campaign_1]]+Table1[[#This Row],[Accepted_Campaign_5]]+Table1[[#This Row],[Accepted_Campaign_4]]+Table1[[#This Row],[Accepted_Campaign_3]])</f>
        <v>0</v>
      </c>
      <c r="AC816">
        <v>0</v>
      </c>
      <c r="AD816">
        <v>0</v>
      </c>
    </row>
    <row r="817" spans="1:30" x14ac:dyDescent="0.25">
      <c r="A817">
        <v>41195</v>
      </c>
      <c r="B817">
        <v>5304</v>
      </c>
      <c r="C817">
        <v>1974</v>
      </c>
      <c r="D817" t="s">
        <v>20</v>
      </c>
      <c r="E817" t="s">
        <v>14</v>
      </c>
      <c r="F817" t="s">
        <v>9</v>
      </c>
      <c r="G817">
        <v>30899</v>
      </c>
      <c r="H817">
        <v>1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f>SUM(Table1[[#This Row],[Gold Spending]]+Table1[[#This Row],[Sweet Spending]]+Table1[[#This Row],[Fish Spending]]+Table1[[#This Row],[Meat Spending]]+Table1[[#This Row],[Fruits Spending]]+Table1[[#This Row],[Wine Spending ]])</f>
        <v>33</v>
      </c>
      <c r="Q817">
        <v>2</v>
      </c>
      <c r="R817">
        <v>1</v>
      </c>
      <c r="S817">
        <v>0</v>
      </c>
      <c r="T817">
        <v>3</v>
      </c>
      <c r="U817">
        <f>SUM(Table1[[#This Row],[Store_Purchases]]+Table1[[#This Row],[Catalog_Purchases]]+Table1[[#This Row],[Web_Purchases]]+Table1[[#This Row],[Deal_Purchases]])</f>
        <v>6</v>
      </c>
      <c r="V817">
        <v>6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f>SUM(Table1[[#This Row],[Accepted_Campaign_2]]+Table1[[#This Row],[Accepted_Campaign_1]]+Table1[[#This Row],[Accepted_Campaign_5]]+Table1[[#This Row],[Accepted_Campaign_4]]+Table1[[#This Row],[Accepted_Campaign_3]])</f>
        <v>0</v>
      </c>
      <c r="AC817">
        <v>0</v>
      </c>
      <c r="AD817">
        <v>0</v>
      </c>
    </row>
    <row r="818" spans="1:30" x14ac:dyDescent="0.25">
      <c r="A818">
        <v>41166</v>
      </c>
      <c r="B818">
        <v>2426</v>
      </c>
      <c r="C818">
        <v>1964</v>
      </c>
      <c r="D818" t="s">
        <v>8</v>
      </c>
      <c r="E818" t="s">
        <v>14</v>
      </c>
      <c r="F818" t="s">
        <v>7</v>
      </c>
      <c r="G818">
        <v>78825</v>
      </c>
      <c r="H818">
        <v>0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f>SUM(Table1[[#This Row],[Gold Spending]]+Table1[[#This Row],[Sweet Spending]]+Table1[[#This Row],[Fish Spending]]+Table1[[#This Row],[Meat Spending]]+Table1[[#This Row],[Fruits Spending]]+Table1[[#This Row],[Wine Spending ]])</f>
        <v>895</v>
      </c>
      <c r="Q818">
        <v>1</v>
      </c>
      <c r="R818">
        <v>5</v>
      </c>
      <c r="S818">
        <v>10</v>
      </c>
      <c r="T818">
        <v>13</v>
      </c>
      <c r="U818">
        <f>SUM(Table1[[#This Row],[Store_Purchases]]+Table1[[#This Row],[Catalog_Purchases]]+Table1[[#This Row],[Web_Purchases]]+Table1[[#This Row],[Deal_Purchases]])</f>
        <v>29</v>
      </c>
      <c r="V818">
        <v>3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f>SUM(Table1[[#This Row],[Accepted_Campaign_2]]+Table1[[#This Row],[Accepted_Campaign_1]]+Table1[[#This Row],[Accepted_Campaign_5]]+Table1[[#This Row],[Accepted_Campaign_4]]+Table1[[#This Row],[Accepted_Campaign_3]])</f>
        <v>0</v>
      </c>
      <c r="AC818">
        <v>1</v>
      </c>
      <c r="AD818">
        <v>0</v>
      </c>
    </row>
    <row r="819" spans="1:30" x14ac:dyDescent="0.25">
      <c r="A819">
        <v>41160</v>
      </c>
      <c r="B819">
        <v>35</v>
      </c>
      <c r="C819">
        <v>1987</v>
      </c>
      <c r="D819" t="s">
        <v>8</v>
      </c>
      <c r="E819" t="s">
        <v>6</v>
      </c>
      <c r="F819" t="s">
        <v>11</v>
      </c>
      <c r="G819">
        <v>25545</v>
      </c>
      <c r="H819">
        <v>1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f>SUM(Table1[[#This Row],[Gold Spending]]+Table1[[#This Row],[Sweet Spending]]+Table1[[#This Row],[Fish Spending]]+Table1[[#This Row],[Meat Spending]]+Table1[[#This Row],[Fruits Spending]]+Table1[[#This Row],[Wine Spending ]])</f>
        <v>210</v>
      </c>
      <c r="Q819">
        <v>3</v>
      </c>
      <c r="R819">
        <v>2</v>
      </c>
      <c r="S819">
        <v>2</v>
      </c>
      <c r="T819">
        <v>3</v>
      </c>
      <c r="U819">
        <f>SUM(Table1[[#This Row],[Store_Purchases]]+Table1[[#This Row],[Catalog_Purchases]]+Table1[[#This Row],[Web_Purchases]]+Table1[[#This Row],[Deal_Purchases]])</f>
        <v>10</v>
      </c>
      <c r="V819">
        <v>6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f>SUM(Table1[[#This Row],[Accepted_Campaign_2]]+Table1[[#This Row],[Accepted_Campaign_1]]+Table1[[#This Row],[Accepted_Campaign_5]]+Table1[[#This Row],[Accepted_Campaign_4]]+Table1[[#This Row],[Accepted_Campaign_3]])</f>
        <v>0</v>
      </c>
      <c r="AC819">
        <v>1</v>
      </c>
      <c r="AD819">
        <v>0</v>
      </c>
    </row>
    <row r="820" spans="1:30" x14ac:dyDescent="0.25">
      <c r="A820">
        <v>41160</v>
      </c>
      <c r="B820">
        <v>8041</v>
      </c>
      <c r="C820">
        <v>1971</v>
      </c>
      <c r="D820" t="s">
        <v>20</v>
      </c>
      <c r="E820" t="s">
        <v>14</v>
      </c>
      <c r="F820" t="s">
        <v>19</v>
      </c>
      <c r="G820">
        <v>47111</v>
      </c>
      <c r="H820">
        <v>1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f>SUM(Table1[[#This Row],[Gold Spending]]+Table1[[#This Row],[Sweet Spending]]+Table1[[#This Row],[Fish Spending]]+Table1[[#This Row],[Meat Spending]]+Table1[[#This Row],[Fruits Spending]]+Table1[[#This Row],[Wine Spending ]])</f>
        <v>1092</v>
      </c>
      <c r="Q820">
        <v>6</v>
      </c>
      <c r="R820">
        <v>3</v>
      </c>
      <c r="S820">
        <v>2</v>
      </c>
      <c r="T820">
        <v>10</v>
      </c>
      <c r="U820">
        <f>SUM(Table1[[#This Row],[Store_Purchases]]+Table1[[#This Row],[Catalog_Purchases]]+Table1[[#This Row],[Web_Purchases]]+Table1[[#This Row],[Deal_Purchases]])</f>
        <v>21</v>
      </c>
      <c r="V820">
        <v>9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f>SUM(Table1[[#This Row],[Accepted_Campaign_2]]+Table1[[#This Row],[Accepted_Campaign_1]]+Table1[[#This Row],[Accepted_Campaign_5]]+Table1[[#This Row],[Accepted_Campaign_4]]+Table1[[#This Row],[Accepted_Campaign_3]])</f>
        <v>0</v>
      </c>
      <c r="AC820">
        <v>0</v>
      </c>
      <c r="AD820">
        <v>0</v>
      </c>
    </row>
    <row r="821" spans="1:30" x14ac:dyDescent="0.25">
      <c r="A821">
        <v>41141</v>
      </c>
      <c r="B821">
        <v>3584</v>
      </c>
      <c r="C821">
        <v>1955</v>
      </c>
      <c r="D821" t="s">
        <v>10</v>
      </c>
      <c r="E821" t="s">
        <v>14</v>
      </c>
      <c r="F821" t="s">
        <v>9</v>
      </c>
      <c r="G821">
        <v>49667</v>
      </c>
      <c r="H821">
        <v>0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f>SUM(Table1[[#This Row],[Gold Spending]]+Table1[[#This Row],[Sweet Spending]]+Table1[[#This Row],[Fish Spending]]+Table1[[#This Row],[Meat Spending]]+Table1[[#This Row],[Fruits Spending]]+Table1[[#This Row],[Wine Spending ]])</f>
        <v>1396</v>
      </c>
      <c r="Q821">
        <v>2</v>
      </c>
      <c r="R821">
        <v>5</v>
      </c>
      <c r="S821">
        <v>10</v>
      </c>
      <c r="T821">
        <v>5</v>
      </c>
      <c r="U821">
        <f>SUM(Table1[[#This Row],[Store_Purchases]]+Table1[[#This Row],[Catalog_Purchases]]+Table1[[#This Row],[Web_Purchases]]+Table1[[#This Row],[Deal_Purchases]])</f>
        <v>22</v>
      </c>
      <c r="V821">
        <v>8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f>SUM(Table1[[#This Row],[Accepted_Campaign_2]]+Table1[[#This Row],[Accepted_Campaign_1]]+Table1[[#This Row],[Accepted_Campaign_5]]+Table1[[#This Row],[Accepted_Campaign_4]]+Table1[[#This Row],[Accepted_Campaign_3]])</f>
        <v>1</v>
      </c>
      <c r="AC821">
        <v>1</v>
      </c>
      <c r="AD821">
        <v>0</v>
      </c>
    </row>
    <row r="822" spans="1:30" x14ac:dyDescent="0.25">
      <c r="A822">
        <v>41749</v>
      </c>
      <c r="B822">
        <v>7718</v>
      </c>
      <c r="C822">
        <v>1947</v>
      </c>
      <c r="D822" t="s">
        <v>8</v>
      </c>
      <c r="E822" t="s">
        <v>18</v>
      </c>
      <c r="F822" t="s">
        <v>12</v>
      </c>
      <c r="G822">
        <v>66000</v>
      </c>
      <c r="H822">
        <v>0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f>SUM(Table1[[#This Row],[Gold Spending]]+Table1[[#This Row],[Sweet Spending]]+Table1[[#This Row],[Fish Spending]]+Table1[[#This Row],[Meat Spending]]+Table1[[#This Row],[Fruits Spending]]+Table1[[#This Row],[Wine Spending ]])</f>
        <v>711</v>
      </c>
      <c r="Q822">
        <v>1</v>
      </c>
      <c r="R822">
        <v>1</v>
      </c>
      <c r="S822">
        <v>3</v>
      </c>
      <c r="T822">
        <v>5</v>
      </c>
      <c r="U822">
        <f>SUM(Table1[[#This Row],[Store_Purchases]]+Table1[[#This Row],[Catalog_Purchases]]+Table1[[#This Row],[Web_Purchases]]+Table1[[#This Row],[Deal_Purchases]])</f>
        <v>10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f>SUM(Table1[[#This Row],[Accepted_Campaign_2]]+Table1[[#This Row],[Accepted_Campaign_1]]+Table1[[#This Row],[Accepted_Campaign_5]]+Table1[[#This Row],[Accepted_Campaign_4]]+Table1[[#This Row],[Accepted_Campaign_3]])</f>
        <v>0</v>
      </c>
      <c r="AC822">
        <v>0</v>
      </c>
      <c r="AD822">
        <v>0</v>
      </c>
    </row>
    <row r="823" spans="1:30" x14ac:dyDescent="0.25">
      <c r="A823">
        <v>41721</v>
      </c>
      <c r="B823">
        <v>8605</v>
      </c>
      <c r="C823">
        <v>1964</v>
      </c>
      <c r="D823" t="s">
        <v>8</v>
      </c>
      <c r="E823" t="s">
        <v>14</v>
      </c>
      <c r="F823" t="s">
        <v>12</v>
      </c>
      <c r="G823">
        <v>46910</v>
      </c>
      <c r="H823">
        <v>2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f>SUM(Table1[[#This Row],[Gold Spending]]+Table1[[#This Row],[Sweet Spending]]+Table1[[#This Row],[Fish Spending]]+Table1[[#This Row],[Meat Spending]]+Table1[[#This Row],[Fruits Spending]]+Table1[[#This Row],[Wine Spending ]])</f>
        <v>68</v>
      </c>
      <c r="Q823">
        <v>2</v>
      </c>
      <c r="R823">
        <v>2</v>
      </c>
      <c r="S823">
        <v>0</v>
      </c>
      <c r="T823">
        <v>3</v>
      </c>
      <c r="U823">
        <f>SUM(Table1[[#This Row],[Store_Purchases]]+Table1[[#This Row],[Catalog_Purchases]]+Table1[[#This Row],[Web_Purchases]]+Table1[[#This Row],[Deal_Purchases]])</f>
        <v>7</v>
      </c>
      <c r="V823">
        <v>6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f>SUM(Table1[[#This Row],[Accepted_Campaign_2]]+Table1[[#This Row],[Accepted_Campaign_1]]+Table1[[#This Row],[Accepted_Campaign_5]]+Table1[[#This Row],[Accepted_Campaign_4]]+Table1[[#This Row],[Accepted_Campaign_3]])</f>
        <v>0</v>
      </c>
      <c r="AC823">
        <v>0</v>
      </c>
      <c r="AD823">
        <v>0</v>
      </c>
    </row>
    <row r="824" spans="1:30" x14ac:dyDescent="0.25">
      <c r="A824">
        <v>41714</v>
      </c>
      <c r="B824">
        <v>1646</v>
      </c>
      <c r="C824">
        <v>1972</v>
      </c>
      <c r="D824" t="s">
        <v>10</v>
      </c>
      <c r="E824" t="s">
        <v>21</v>
      </c>
      <c r="F824" t="s">
        <v>11</v>
      </c>
      <c r="G824">
        <v>25224</v>
      </c>
      <c r="H824">
        <v>1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824">
        <v>2</v>
      </c>
      <c r="R824">
        <v>1</v>
      </c>
      <c r="S824">
        <v>1</v>
      </c>
      <c r="T824">
        <v>3</v>
      </c>
      <c r="U824">
        <f>SUM(Table1[[#This Row],[Store_Purchases]]+Table1[[#This Row],[Catalog_Purchases]]+Table1[[#This Row],[Web_Purchases]]+Table1[[#This Row],[Deal_Purchases]])</f>
        <v>7</v>
      </c>
      <c r="V824">
        <v>3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f>SUM(Table1[[#This Row],[Accepted_Campaign_2]]+Table1[[#This Row],[Accepted_Campaign_1]]+Table1[[#This Row],[Accepted_Campaign_5]]+Table1[[#This Row],[Accepted_Campaign_4]]+Table1[[#This Row],[Accepted_Campaign_3]])</f>
        <v>0</v>
      </c>
      <c r="AC824">
        <v>0</v>
      </c>
      <c r="AD824">
        <v>0</v>
      </c>
    </row>
    <row r="825" spans="1:30" x14ac:dyDescent="0.25">
      <c r="A825">
        <v>41646</v>
      </c>
      <c r="B825">
        <v>9206</v>
      </c>
      <c r="C825">
        <v>1968</v>
      </c>
      <c r="D825" t="s">
        <v>8</v>
      </c>
      <c r="E825" t="s">
        <v>6</v>
      </c>
      <c r="F825" t="s">
        <v>12</v>
      </c>
      <c r="G825">
        <v>77382</v>
      </c>
      <c r="H825">
        <v>1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f>SUM(Table1[[#This Row],[Gold Spending]]+Table1[[#This Row],[Sweet Spending]]+Table1[[#This Row],[Fish Spending]]+Table1[[#This Row],[Meat Spending]]+Table1[[#This Row],[Fruits Spending]]+Table1[[#This Row],[Wine Spending ]])</f>
        <v>1121</v>
      </c>
      <c r="Q825">
        <v>2</v>
      </c>
      <c r="R825">
        <v>5</v>
      </c>
      <c r="S825">
        <v>7</v>
      </c>
      <c r="T825">
        <v>12</v>
      </c>
      <c r="U825">
        <f>SUM(Table1[[#This Row],[Store_Purchases]]+Table1[[#This Row],[Catalog_Purchases]]+Table1[[#This Row],[Web_Purchases]]+Table1[[#This Row],[Deal_Purchases]])</f>
        <v>26</v>
      </c>
      <c r="V825">
        <v>1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f>SUM(Table1[[#This Row],[Accepted_Campaign_2]]+Table1[[#This Row],[Accepted_Campaign_1]]+Table1[[#This Row],[Accepted_Campaign_5]]+Table1[[#This Row],[Accepted_Campaign_4]]+Table1[[#This Row],[Accepted_Campaign_3]])</f>
        <v>1</v>
      </c>
      <c r="AC825">
        <v>0</v>
      </c>
      <c r="AD825">
        <v>0</v>
      </c>
    </row>
    <row r="826" spans="1:30" x14ac:dyDescent="0.25">
      <c r="A826">
        <v>41632</v>
      </c>
      <c r="B826">
        <v>10757</v>
      </c>
      <c r="C826">
        <v>1967</v>
      </c>
      <c r="D826" t="s">
        <v>8</v>
      </c>
      <c r="E826" t="s">
        <v>14</v>
      </c>
      <c r="F826" t="s">
        <v>7</v>
      </c>
      <c r="G826">
        <v>28420</v>
      </c>
      <c r="H826">
        <v>1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f>SUM(Table1[[#This Row],[Gold Spending]]+Table1[[#This Row],[Sweet Spending]]+Table1[[#This Row],[Fish Spending]]+Table1[[#This Row],[Meat Spending]]+Table1[[#This Row],[Fruits Spending]]+Table1[[#This Row],[Wine Spending ]])</f>
        <v>13</v>
      </c>
      <c r="Q826">
        <v>1</v>
      </c>
      <c r="R826">
        <v>1</v>
      </c>
      <c r="S826">
        <v>0</v>
      </c>
      <c r="T826">
        <v>2</v>
      </c>
      <c r="U826">
        <f>SUM(Table1[[#This Row],[Store_Purchases]]+Table1[[#This Row],[Catalog_Purchases]]+Table1[[#This Row],[Web_Purchases]]+Table1[[#This Row],[Deal_Purchases]])</f>
        <v>4</v>
      </c>
      <c r="V826">
        <v>6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f>SUM(Table1[[#This Row],[Accepted_Campaign_2]]+Table1[[#This Row],[Accepted_Campaign_1]]+Table1[[#This Row],[Accepted_Campaign_5]]+Table1[[#This Row],[Accepted_Campaign_4]]+Table1[[#This Row],[Accepted_Campaign_3]])</f>
        <v>0</v>
      </c>
      <c r="AC826">
        <v>0</v>
      </c>
      <c r="AD826">
        <v>0</v>
      </c>
    </row>
    <row r="827" spans="1:30" x14ac:dyDescent="0.25">
      <c r="A827">
        <v>41609</v>
      </c>
      <c r="B827">
        <v>6885</v>
      </c>
      <c r="C827">
        <v>1977</v>
      </c>
      <c r="D827" t="s">
        <v>10</v>
      </c>
      <c r="E827" t="s">
        <v>6</v>
      </c>
      <c r="F827" t="s">
        <v>7</v>
      </c>
      <c r="G827">
        <v>32952</v>
      </c>
      <c r="H827">
        <v>1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827">
        <v>1</v>
      </c>
      <c r="R827">
        <v>2</v>
      </c>
      <c r="S827">
        <v>0</v>
      </c>
      <c r="T827">
        <v>3</v>
      </c>
      <c r="U827">
        <f>SUM(Table1[[#This Row],[Store_Purchases]]+Table1[[#This Row],[Catalog_Purchases]]+Table1[[#This Row],[Web_Purchases]]+Table1[[#This Row],[Deal_Purchases]])</f>
        <v>6</v>
      </c>
      <c r="V827">
        <v>7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f>SUM(Table1[[#This Row],[Accepted_Campaign_2]]+Table1[[#This Row],[Accepted_Campaign_1]]+Table1[[#This Row],[Accepted_Campaign_5]]+Table1[[#This Row],[Accepted_Campaign_4]]+Table1[[#This Row],[Accepted_Campaign_3]])</f>
        <v>0</v>
      </c>
      <c r="AC827">
        <v>0</v>
      </c>
      <c r="AD827">
        <v>0</v>
      </c>
    </row>
    <row r="828" spans="1:30" x14ac:dyDescent="0.25">
      <c r="A828">
        <v>41607</v>
      </c>
      <c r="B828">
        <v>907</v>
      </c>
      <c r="C828">
        <v>1975</v>
      </c>
      <c r="D828" t="s">
        <v>8</v>
      </c>
      <c r="E828" t="s">
        <v>6</v>
      </c>
      <c r="F828" t="s">
        <v>11</v>
      </c>
      <c r="G828">
        <v>46149</v>
      </c>
      <c r="H828">
        <v>1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f>SUM(Table1[[#This Row],[Gold Spending]]+Table1[[#This Row],[Sweet Spending]]+Table1[[#This Row],[Fish Spending]]+Table1[[#This Row],[Meat Spending]]+Table1[[#This Row],[Fruits Spending]]+Table1[[#This Row],[Wine Spending ]])</f>
        <v>362</v>
      </c>
      <c r="Q828">
        <v>5</v>
      </c>
      <c r="R828">
        <v>5</v>
      </c>
      <c r="S828">
        <v>1</v>
      </c>
      <c r="T828">
        <v>7</v>
      </c>
      <c r="U828">
        <f>SUM(Table1[[#This Row],[Store_Purchases]]+Table1[[#This Row],[Catalog_Purchases]]+Table1[[#This Row],[Web_Purchases]]+Table1[[#This Row],[Deal_Purchases]])</f>
        <v>18</v>
      </c>
      <c r="V828">
        <v>5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f>SUM(Table1[[#This Row],[Accepted_Campaign_2]]+Table1[[#This Row],[Accepted_Campaign_1]]+Table1[[#This Row],[Accepted_Campaign_5]]+Table1[[#This Row],[Accepted_Campaign_4]]+Table1[[#This Row],[Accepted_Campaign_3]])</f>
        <v>0</v>
      </c>
      <c r="AC828">
        <v>0</v>
      </c>
      <c r="AD828">
        <v>0</v>
      </c>
    </row>
    <row r="829" spans="1:30" x14ac:dyDescent="0.25">
      <c r="A829">
        <v>41543</v>
      </c>
      <c r="B829">
        <v>1150</v>
      </c>
      <c r="C829">
        <v>1899</v>
      </c>
      <c r="D829" t="s">
        <v>8</v>
      </c>
      <c r="E829" t="s">
        <v>14</v>
      </c>
      <c r="F829" t="s">
        <v>12</v>
      </c>
      <c r="G829">
        <v>83532</v>
      </c>
      <c r="H829">
        <v>0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f>SUM(Table1[[#This Row],[Gold Spending]]+Table1[[#This Row],[Sweet Spending]]+Table1[[#This Row],[Fish Spending]]+Table1[[#This Row],[Meat Spending]]+Table1[[#This Row],[Fruits Spending]]+Table1[[#This Row],[Wine Spending ]])</f>
        <v>1853</v>
      </c>
      <c r="Q829">
        <v>1</v>
      </c>
      <c r="R829">
        <v>4</v>
      </c>
      <c r="S829">
        <v>6</v>
      </c>
      <c r="T829">
        <v>4</v>
      </c>
      <c r="U829">
        <f>SUM(Table1[[#This Row],[Store_Purchases]]+Table1[[#This Row],[Catalog_Purchases]]+Table1[[#This Row],[Web_Purchases]]+Table1[[#This Row],[Deal_Purchases]])</f>
        <v>15</v>
      </c>
      <c r="V829">
        <v>1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f>SUM(Table1[[#This Row],[Accepted_Campaign_2]]+Table1[[#This Row],[Accepted_Campaign_1]]+Table1[[#This Row],[Accepted_Campaign_5]]+Table1[[#This Row],[Accepted_Campaign_4]]+Table1[[#This Row],[Accepted_Campaign_3]])</f>
        <v>1</v>
      </c>
      <c r="AC829">
        <v>0</v>
      </c>
      <c r="AD829">
        <v>0</v>
      </c>
    </row>
    <row r="830" spans="1:30" x14ac:dyDescent="0.25">
      <c r="A830">
        <v>41517</v>
      </c>
      <c r="B830">
        <v>3867</v>
      </c>
      <c r="C830">
        <v>1947</v>
      </c>
      <c r="D830" t="s">
        <v>8</v>
      </c>
      <c r="E830" t="s">
        <v>14</v>
      </c>
      <c r="F830" t="s">
        <v>12</v>
      </c>
      <c r="G830">
        <v>73059</v>
      </c>
      <c r="H830">
        <v>1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f>SUM(Table1[[#This Row],[Gold Spending]]+Table1[[#This Row],[Sweet Spending]]+Table1[[#This Row],[Fish Spending]]+Table1[[#This Row],[Meat Spending]]+Table1[[#This Row],[Fruits Spending]]+Table1[[#This Row],[Wine Spending ]])</f>
        <v>1095</v>
      </c>
      <c r="Q830">
        <v>1</v>
      </c>
      <c r="R830">
        <v>9</v>
      </c>
      <c r="S830">
        <v>3</v>
      </c>
      <c r="T830">
        <v>13</v>
      </c>
      <c r="U830">
        <f>SUM(Table1[[#This Row],[Store_Purchases]]+Table1[[#This Row],[Catalog_Purchases]]+Table1[[#This Row],[Web_Purchases]]+Table1[[#This Row],[Deal_Purchases]])</f>
        <v>26</v>
      </c>
      <c r="V830">
        <v>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f>SUM(Table1[[#This Row],[Accepted_Campaign_2]]+Table1[[#This Row],[Accepted_Campaign_1]]+Table1[[#This Row],[Accepted_Campaign_5]]+Table1[[#This Row],[Accepted_Campaign_4]]+Table1[[#This Row],[Accepted_Campaign_3]])</f>
        <v>0</v>
      </c>
      <c r="AC830">
        <v>0</v>
      </c>
      <c r="AD830">
        <v>0</v>
      </c>
    </row>
    <row r="831" spans="1:30" x14ac:dyDescent="0.25">
      <c r="A831">
        <v>41517</v>
      </c>
      <c r="B831">
        <v>3859</v>
      </c>
      <c r="C831">
        <v>1947</v>
      </c>
      <c r="D831" t="s">
        <v>20</v>
      </c>
      <c r="E831" t="s">
        <v>14</v>
      </c>
      <c r="F831" t="s">
        <v>12</v>
      </c>
      <c r="G831">
        <v>73059</v>
      </c>
      <c r="H831">
        <v>1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f>SUM(Table1[[#This Row],[Gold Spending]]+Table1[[#This Row],[Sweet Spending]]+Table1[[#This Row],[Fish Spending]]+Table1[[#This Row],[Meat Spending]]+Table1[[#This Row],[Fruits Spending]]+Table1[[#This Row],[Wine Spending ]])</f>
        <v>1095</v>
      </c>
      <c r="Q831">
        <v>1</v>
      </c>
      <c r="R831">
        <v>9</v>
      </c>
      <c r="S831">
        <v>3</v>
      </c>
      <c r="T831">
        <v>13</v>
      </c>
      <c r="U831">
        <f>SUM(Table1[[#This Row],[Store_Purchases]]+Table1[[#This Row],[Catalog_Purchases]]+Table1[[#This Row],[Web_Purchases]]+Table1[[#This Row],[Deal_Purchases]])</f>
        <v>26</v>
      </c>
      <c r="V831">
        <v>4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f>SUM(Table1[[#This Row],[Accepted_Campaign_2]]+Table1[[#This Row],[Accepted_Campaign_1]]+Table1[[#This Row],[Accepted_Campaign_5]]+Table1[[#This Row],[Accepted_Campaign_4]]+Table1[[#This Row],[Accepted_Campaign_3]])</f>
        <v>0</v>
      </c>
      <c r="AC831">
        <v>0</v>
      </c>
      <c r="AD831">
        <v>0</v>
      </c>
    </row>
    <row r="832" spans="1:30" x14ac:dyDescent="0.25">
      <c r="A832">
        <v>41352</v>
      </c>
      <c r="B832">
        <v>3265</v>
      </c>
      <c r="C832">
        <v>1959</v>
      </c>
      <c r="D832" t="s">
        <v>8</v>
      </c>
      <c r="E832" t="s">
        <v>6</v>
      </c>
      <c r="F832" t="s">
        <v>11</v>
      </c>
      <c r="G832">
        <v>35701</v>
      </c>
      <c r="H832">
        <v>0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832">
        <v>1</v>
      </c>
      <c r="R832">
        <v>1</v>
      </c>
      <c r="S832">
        <v>0</v>
      </c>
      <c r="T832">
        <v>3</v>
      </c>
      <c r="U832">
        <f>SUM(Table1[[#This Row],[Store_Purchases]]+Table1[[#This Row],[Catalog_Purchases]]+Table1[[#This Row],[Web_Purchases]]+Table1[[#This Row],[Deal_Purchases]])</f>
        <v>5</v>
      </c>
      <c r="V832">
        <v>6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f>SUM(Table1[[#This Row],[Accepted_Campaign_2]]+Table1[[#This Row],[Accepted_Campaign_1]]+Table1[[#This Row],[Accepted_Campaign_5]]+Table1[[#This Row],[Accepted_Campaign_4]]+Table1[[#This Row],[Accepted_Campaign_3]])</f>
        <v>0</v>
      </c>
      <c r="AC832">
        <v>0</v>
      </c>
      <c r="AD832">
        <v>0</v>
      </c>
    </row>
    <row r="833" spans="1:30" x14ac:dyDescent="0.25">
      <c r="A833">
        <v>41330</v>
      </c>
      <c r="B833">
        <v>4418</v>
      </c>
      <c r="C833">
        <v>1983</v>
      </c>
      <c r="D833" t="s">
        <v>10</v>
      </c>
      <c r="E833" t="s">
        <v>18</v>
      </c>
      <c r="F833" t="s">
        <v>9</v>
      </c>
      <c r="G833">
        <v>89616</v>
      </c>
      <c r="H833">
        <v>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f>SUM(Table1[[#This Row],[Gold Spending]]+Table1[[#This Row],[Sweet Spending]]+Table1[[#This Row],[Fish Spending]]+Table1[[#This Row],[Meat Spending]]+Table1[[#This Row],[Fruits Spending]]+Table1[[#This Row],[Wine Spending ]])</f>
        <v>1644</v>
      </c>
      <c r="Q833">
        <v>1</v>
      </c>
      <c r="R833">
        <v>7</v>
      </c>
      <c r="S833">
        <v>5</v>
      </c>
      <c r="T833">
        <v>12</v>
      </c>
      <c r="U833">
        <f>SUM(Table1[[#This Row],[Store_Purchases]]+Table1[[#This Row],[Catalog_Purchases]]+Table1[[#This Row],[Web_Purchases]]+Table1[[#This Row],[Deal_Purchases]])</f>
        <v>25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f>SUM(Table1[[#This Row],[Accepted_Campaign_2]]+Table1[[#This Row],[Accepted_Campaign_1]]+Table1[[#This Row],[Accepted_Campaign_5]]+Table1[[#This Row],[Accepted_Campaign_4]]+Table1[[#This Row],[Accepted_Campaign_3]])</f>
        <v>0</v>
      </c>
      <c r="AC833">
        <v>1</v>
      </c>
      <c r="AD833">
        <v>0</v>
      </c>
    </row>
    <row r="834" spans="1:30" x14ac:dyDescent="0.25">
      <c r="A834">
        <v>41295</v>
      </c>
      <c r="B834">
        <v>4611</v>
      </c>
      <c r="C834">
        <v>1970</v>
      </c>
      <c r="D834" t="s">
        <v>8</v>
      </c>
      <c r="E834" t="s">
        <v>6</v>
      </c>
      <c r="F834" t="s">
        <v>12</v>
      </c>
      <c r="G834">
        <v>105471</v>
      </c>
      <c r="H834">
        <v>0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f>SUM(Table1[[#This Row],[Gold Spending]]+Table1[[#This Row],[Sweet Spending]]+Table1[[#This Row],[Fish Spending]]+Table1[[#This Row],[Meat Spending]]+Table1[[#This Row],[Fruits Spending]]+Table1[[#This Row],[Wine Spending ]])</f>
        <v>1724</v>
      </c>
      <c r="Q834">
        <v>0</v>
      </c>
      <c r="R834">
        <v>9</v>
      </c>
      <c r="S834">
        <v>8</v>
      </c>
      <c r="T834">
        <v>13</v>
      </c>
      <c r="U834">
        <f>SUM(Table1[[#This Row],[Store_Purchases]]+Table1[[#This Row],[Catalog_Purchases]]+Table1[[#This Row],[Web_Purchases]]+Table1[[#This Row],[Deal_Purchases]])</f>
        <v>30</v>
      </c>
      <c r="V834">
        <v>3</v>
      </c>
      <c r="W834">
        <v>0</v>
      </c>
      <c r="X834">
        <v>0</v>
      </c>
      <c r="Y834">
        <v>1</v>
      </c>
      <c r="Z834">
        <v>1</v>
      </c>
      <c r="AA834">
        <v>0</v>
      </c>
      <c r="AB834">
        <f>SUM(Table1[[#This Row],[Accepted_Campaign_2]]+Table1[[#This Row],[Accepted_Campaign_1]]+Table1[[#This Row],[Accepted_Campaign_5]]+Table1[[#This Row],[Accepted_Campaign_4]]+Table1[[#This Row],[Accepted_Campaign_3]])</f>
        <v>2</v>
      </c>
      <c r="AC834">
        <v>1</v>
      </c>
      <c r="AD834">
        <v>0</v>
      </c>
    </row>
    <row r="835" spans="1:30" x14ac:dyDescent="0.25">
      <c r="A835">
        <v>41206</v>
      </c>
      <c r="B835">
        <v>4530</v>
      </c>
      <c r="C835">
        <v>1948</v>
      </c>
      <c r="D835" t="s">
        <v>16</v>
      </c>
      <c r="E835" t="s">
        <v>18</v>
      </c>
      <c r="F835" t="s">
        <v>19</v>
      </c>
      <c r="G835">
        <v>78427</v>
      </c>
      <c r="H835">
        <v>0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f>SUM(Table1[[#This Row],[Gold Spending]]+Table1[[#This Row],[Sweet Spending]]+Table1[[#This Row],[Fish Spending]]+Table1[[#This Row],[Meat Spending]]+Table1[[#This Row],[Fruits Spending]]+Table1[[#This Row],[Wine Spending ]])</f>
        <v>1930</v>
      </c>
      <c r="Q835">
        <v>3</v>
      </c>
      <c r="R835">
        <v>3</v>
      </c>
      <c r="S835">
        <v>7</v>
      </c>
      <c r="T835">
        <v>10</v>
      </c>
      <c r="U835">
        <f>SUM(Table1[[#This Row],[Store_Purchases]]+Table1[[#This Row],[Catalog_Purchases]]+Table1[[#This Row],[Web_Purchases]]+Table1[[#This Row],[Deal_Purchases]])</f>
        <v>23</v>
      </c>
      <c r="V835">
        <v>3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f>SUM(Table1[[#This Row],[Accepted_Campaign_2]]+Table1[[#This Row],[Accepted_Campaign_1]]+Table1[[#This Row],[Accepted_Campaign_5]]+Table1[[#This Row],[Accepted_Campaign_4]]+Table1[[#This Row],[Accepted_Campaign_3]])</f>
        <v>1</v>
      </c>
      <c r="AC835">
        <v>1</v>
      </c>
      <c r="AD835">
        <v>0</v>
      </c>
    </row>
    <row r="836" spans="1:30" x14ac:dyDescent="0.25">
      <c r="A836">
        <v>41204</v>
      </c>
      <c r="B836">
        <v>7736</v>
      </c>
      <c r="C836">
        <v>1986</v>
      </c>
      <c r="D836" t="s">
        <v>8</v>
      </c>
      <c r="E836" t="s">
        <v>6</v>
      </c>
      <c r="F836" t="s">
        <v>11</v>
      </c>
      <c r="G836">
        <v>22518</v>
      </c>
      <c r="H836">
        <v>1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f>SUM(Table1[[#This Row],[Gold Spending]]+Table1[[#This Row],[Sweet Spending]]+Table1[[#This Row],[Fish Spending]]+Table1[[#This Row],[Meat Spending]]+Table1[[#This Row],[Fruits Spending]]+Table1[[#This Row],[Wine Spending ]])</f>
        <v>61</v>
      </c>
      <c r="Q836">
        <v>2</v>
      </c>
      <c r="R836">
        <v>2</v>
      </c>
      <c r="S836">
        <v>1</v>
      </c>
      <c r="T836">
        <v>2</v>
      </c>
      <c r="U836">
        <f>SUM(Table1[[#This Row],[Store_Purchases]]+Table1[[#This Row],[Catalog_Purchases]]+Table1[[#This Row],[Web_Purchases]]+Table1[[#This Row],[Deal_Purchases]])</f>
        <v>7</v>
      </c>
      <c r="V836">
        <v>5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f>SUM(Table1[[#This Row],[Accepted_Campaign_2]]+Table1[[#This Row],[Accepted_Campaign_1]]+Table1[[#This Row],[Accepted_Campaign_5]]+Table1[[#This Row],[Accepted_Campaign_4]]+Table1[[#This Row],[Accepted_Campaign_3]])</f>
        <v>1</v>
      </c>
      <c r="AC836">
        <v>1</v>
      </c>
      <c r="AD836">
        <v>0</v>
      </c>
    </row>
    <row r="837" spans="1:30" x14ac:dyDescent="0.25">
      <c r="A837">
        <v>41200</v>
      </c>
      <c r="B837">
        <v>9949</v>
      </c>
      <c r="C837">
        <v>1976</v>
      </c>
      <c r="D837" t="s">
        <v>10</v>
      </c>
      <c r="E837" t="s">
        <v>6</v>
      </c>
      <c r="F837" t="s">
        <v>11</v>
      </c>
      <c r="G837">
        <v>59809</v>
      </c>
      <c r="H837">
        <v>2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f>SUM(Table1[[#This Row],[Gold Spending]]+Table1[[#This Row],[Sweet Spending]]+Table1[[#This Row],[Fish Spending]]+Table1[[#This Row],[Meat Spending]]+Table1[[#This Row],[Fruits Spending]]+Table1[[#This Row],[Wine Spending ]])</f>
        <v>877</v>
      </c>
      <c r="Q837">
        <v>3</v>
      </c>
      <c r="R837">
        <v>3</v>
      </c>
      <c r="S837">
        <v>3</v>
      </c>
      <c r="T837">
        <v>6</v>
      </c>
      <c r="U837">
        <f>SUM(Table1[[#This Row],[Store_Purchases]]+Table1[[#This Row],[Catalog_Purchases]]+Table1[[#This Row],[Web_Purchases]]+Table1[[#This Row],[Deal_Purchases]])</f>
        <v>15</v>
      </c>
      <c r="V837">
        <v>8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f>SUM(Table1[[#This Row],[Accepted_Campaign_2]]+Table1[[#This Row],[Accepted_Campaign_1]]+Table1[[#This Row],[Accepted_Campaign_5]]+Table1[[#This Row],[Accepted_Campaign_4]]+Table1[[#This Row],[Accepted_Campaign_3]])</f>
        <v>0</v>
      </c>
      <c r="AC837">
        <v>0</v>
      </c>
      <c r="AD837">
        <v>0</v>
      </c>
    </row>
    <row r="838" spans="1:30" x14ac:dyDescent="0.25">
      <c r="A838">
        <v>41129</v>
      </c>
      <c r="B838">
        <v>942</v>
      </c>
      <c r="C838">
        <v>1982</v>
      </c>
      <c r="D838" t="s">
        <v>8</v>
      </c>
      <c r="E838" t="s">
        <v>6</v>
      </c>
      <c r="F838" t="s">
        <v>9</v>
      </c>
      <c r="G838">
        <v>39660</v>
      </c>
      <c r="H838">
        <v>1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f>SUM(Table1[[#This Row],[Gold Spending]]+Table1[[#This Row],[Sweet Spending]]+Table1[[#This Row],[Fish Spending]]+Table1[[#This Row],[Meat Spending]]+Table1[[#This Row],[Fruits Spending]]+Table1[[#This Row],[Wine Spending ]])</f>
        <v>299</v>
      </c>
      <c r="Q838">
        <v>3</v>
      </c>
      <c r="R838">
        <v>7</v>
      </c>
      <c r="S838">
        <v>1</v>
      </c>
      <c r="T838">
        <v>3</v>
      </c>
      <c r="U838">
        <f>SUM(Table1[[#This Row],[Store_Purchases]]+Table1[[#This Row],[Catalog_Purchases]]+Table1[[#This Row],[Web_Purchases]]+Table1[[#This Row],[Deal_Purchases]])</f>
        <v>14</v>
      </c>
      <c r="V838">
        <v>9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f>SUM(Table1[[#This Row],[Accepted_Campaign_2]]+Table1[[#This Row],[Accepted_Campaign_1]]+Table1[[#This Row],[Accepted_Campaign_5]]+Table1[[#This Row],[Accepted_Campaign_4]]+Table1[[#This Row],[Accepted_Campaign_3]])</f>
        <v>0</v>
      </c>
      <c r="AC838">
        <v>1</v>
      </c>
      <c r="AD838">
        <v>0</v>
      </c>
    </row>
    <row r="839" spans="1:30" x14ac:dyDescent="0.25">
      <c r="A839">
        <v>41121</v>
      </c>
      <c r="B839">
        <v>6181</v>
      </c>
      <c r="C839">
        <v>1950</v>
      </c>
      <c r="D839" t="s">
        <v>63</v>
      </c>
      <c r="E839" t="s">
        <v>15</v>
      </c>
      <c r="F839" t="s">
        <v>12</v>
      </c>
      <c r="G839">
        <v>52203</v>
      </c>
      <c r="H839">
        <v>0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f>SUM(Table1[[#This Row],[Gold Spending]]+Table1[[#This Row],[Sweet Spending]]+Table1[[#This Row],[Fish Spending]]+Table1[[#This Row],[Meat Spending]]+Table1[[#This Row],[Fruits Spending]]+Table1[[#This Row],[Wine Spending ]])</f>
        <v>939</v>
      </c>
      <c r="Q839">
        <v>1</v>
      </c>
      <c r="R839">
        <v>8</v>
      </c>
      <c r="S839">
        <v>7</v>
      </c>
      <c r="T839">
        <v>11</v>
      </c>
      <c r="U839">
        <f>SUM(Table1[[#This Row],[Store_Purchases]]+Table1[[#This Row],[Catalog_Purchases]]+Table1[[#This Row],[Web_Purchases]]+Table1[[#This Row],[Deal_Purchases]])</f>
        <v>27</v>
      </c>
      <c r="V839">
        <v>6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f>SUM(Table1[[#This Row],[Accepted_Campaign_2]]+Table1[[#This Row],[Accepted_Campaign_1]]+Table1[[#This Row],[Accepted_Campaign_5]]+Table1[[#This Row],[Accepted_Campaign_4]]+Table1[[#This Row],[Accepted_Campaign_3]])</f>
        <v>0</v>
      </c>
      <c r="AC839">
        <v>0</v>
      </c>
      <c r="AD839">
        <v>0</v>
      </c>
    </row>
    <row r="840" spans="1:30" x14ac:dyDescent="0.25">
      <c r="A840">
        <v>41778</v>
      </c>
      <c r="B840">
        <v>7660</v>
      </c>
      <c r="C840">
        <v>1973</v>
      </c>
      <c r="D840" t="s">
        <v>10</v>
      </c>
      <c r="E840" t="s">
        <v>14</v>
      </c>
      <c r="F840" t="s">
        <v>9</v>
      </c>
      <c r="G840">
        <v>35860</v>
      </c>
      <c r="H840">
        <v>2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f>SUM(Table1[[#This Row],[Gold Spending]]+Table1[[#This Row],[Sweet Spending]]+Table1[[#This Row],[Fish Spending]]+Table1[[#This Row],[Meat Spending]]+Table1[[#This Row],[Fruits Spending]]+Table1[[#This Row],[Wine Spending ]])</f>
        <v>49</v>
      </c>
      <c r="Q840">
        <v>2</v>
      </c>
      <c r="R840">
        <v>1</v>
      </c>
      <c r="S840">
        <v>1</v>
      </c>
      <c r="T840">
        <v>2</v>
      </c>
      <c r="U840">
        <f>SUM(Table1[[#This Row],[Store_Purchases]]+Table1[[#This Row],[Catalog_Purchases]]+Table1[[#This Row],[Web_Purchases]]+Table1[[#This Row],[Deal_Purchases]])</f>
        <v>6</v>
      </c>
      <c r="V840">
        <v>5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f>SUM(Table1[[#This Row],[Accepted_Campaign_2]]+Table1[[#This Row],[Accepted_Campaign_1]]+Table1[[#This Row],[Accepted_Campaign_5]]+Table1[[#This Row],[Accepted_Campaign_4]]+Table1[[#This Row],[Accepted_Campaign_3]])</f>
        <v>1</v>
      </c>
      <c r="AC840">
        <v>1</v>
      </c>
      <c r="AD840">
        <v>0</v>
      </c>
    </row>
    <row r="841" spans="1:30" x14ac:dyDescent="0.25">
      <c r="A841">
        <v>41778</v>
      </c>
      <c r="B841">
        <v>2055</v>
      </c>
      <c r="C841">
        <v>1973</v>
      </c>
      <c r="D841" t="s">
        <v>8</v>
      </c>
      <c r="E841" t="s">
        <v>14</v>
      </c>
      <c r="F841" t="s">
        <v>7</v>
      </c>
      <c r="G841">
        <v>35860</v>
      </c>
      <c r="H841">
        <v>2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f>SUM(Table1[[#This Row],[Gold Spending]]+Table1[[#This Row],[Sweet Spending]]+Table1[[#This Row],[Fish Spending]]+Table1[[#This Row],[Meat Spending]]+Table1[[#This Row],[Fruits Spending]]+Table1[[#This Row],[Wine Spending ]])</f>
        <v>49</v>
      </c>
      <c r="Q841">
        <v>2</v>
      </c>
      <c r="R841">
        <v>1</v>
      </c>
      <c r="S841">
        <v>1</v>
      </c>
      <c r="T841">
        <v>2</v>
      </c>
      <c r="U841">
        <f>SUM(Table1[[#This Row],[Store_Purchases]]+Table1[[#This Row],[Catalog_Purchases]]+Table1[[#This Row],[Web_Purchases]]+Table1[[#This Row],[Deal_Purchases]])</f>
        <v>6</v>
      </c>
      <c r="V841">
        <v>5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f>SUM(Table1[[#This Row],[Accepted_Campaign_2]]+Table1[[#This Row],[Accepted_Campaign_1]]+Table1[[#This Row],[Accepted_Campaign_5]]+Table1[[#This Row],[Accepted_Campaign_4]]+Table1[[#This Row],[Accepted_Campaign_3]])</f>
        <v>1</v>
      </c>
      <c r="AC841">
        <v>0</v>
      </c>
      <c r="AD841">
        <v>0</v>
      </c>
    </row>
    <row r="842" spans="1:30" x14ac:dyDescent="0.25">
      <c r="A842">
        <v>41778</v>
      </c>
      <c r="B842">
        <v>5107</v>
      </c>
      <c r="C842">
        <v>1973</v>
      </c>
      <c r="D842" t="s">
        <v>8</v>
      </c>
      <c r="E842" t="s">
        <v>14</v>
      </c>
      <c r="F842" t="s">
        <v>7</v>
      </c>
      <c r="G842">
        <v>35860</v>
      </c>
      <c r="H842">
        <v>2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f>SUM(Table1[[#This Row],[Gold Spending]]+Table1[[#This Row],[Sweet Spending]]+Table1[[#This Row],[Fish Spending]]+Table1[[#This Row],[Meat Spending]]+Table1[[#This Row],[Fruits Spending]]+Table1[[#This Row],[Wine Spending ]])</f>
        <v>49</v>
      </c>
      <c r="Q842">
        <v>2</v>
      </c>
      <c r="R842">
        <v>1</v>
      </c>
      <c r="S842">
        <v>1</v>
      </c>
      <c r="T842">
        <v>2</v>
      </c>
      <c r="U842">
        <f>SUM(Table1[[#This Row],[Store_Purchases]]+Table1[[#This Row],[Catalog_Purchases]]+Table1[[#This Row],[Web_Purchases]]+Table1[[#This Row],[Deal_Purchases]])</f>
        <v>6</v>
      </c>
      <c r="V842">
        <v>5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f>SUM(Table1[[#This Row],[Accepted_Campaign_2]]+Table1[[#This Row],[Accepted_Campaign_1]]+Table1[[#This Row],[Accepted_Campaign_5]]+Table1[[#This Row],[Accepted_Campaign_4]]+Table1[[#This Row],[Accepted_Campaign_3]])</f>
        <v>1</v>
      </c>
      <c r="AC842">
        <v>0</v>
      </c>
      <c r="AD842">
        <v>0</v>
      </c>
    </row>
    <row r="843" spans="1:30" x14ac:dyDescent="0.25">
      <c r="A843">
        <v>41778</v>
      </c>
      <c r="B843">
        <v>1626</v>
      </c>
      <c r="C843">
        <v>1973</v>
      </c>
      <c r="D843" t="s">
        <v>20</v>
      </c>
      <c r="E843" t="s">
        <v>14</v>
      </c>
      <c r="F843" t="s">
        <v>7</v>
      </c>
      <c r="G843">
        <v>35860</v>
      </c>
      <c r="H843">
        <v>2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f>SUM(Table1[[#This Row],[Gold Spending]]+Table1[[#This Row],[Sweet Spending]]+Table1[[#This Row],[Fish Spending]]+Table1[[#This Row],[Meat Spending]]+Table1[[#This Row],[Fruits Spending]]+Table1[[#This Row],[Wine Spending ]])</f>
        <v>49</v>
      </c>
      <c r="Q843">
        <v>2</v>
      </c>
      <c r="R843">
        <v>1</v>
      </c>
      <c r="S843">
        <v>1</v>
      </c>
      <c r="T843">
        <v>2</v>
      </c>
      <c r="U843">
        <f>SUM(Table1[[#This Row],[Store_Purchases]]+Table1[[#This Row],[Catalog_Purchases]]+Table1[[#This Row],[Web_Purchases]]+Table1[[#This Row],[Deal_Purchases]])</f>
        <v>6</v>
      </c>
      <c r="V843">
        <v>5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f>SUM(Table1[[#This Row],[Accepted_Campaign_2]]+Table1[[#This Row],[Accepted_Campaign_1]]+Table1[[#This Row],[Accepted_Campaign_5]]+Table1[[#This Row],[Accepted_Campaign_4]]+Table1[[#This Row],[Accepted_Campaign_3]])</f>
        <v>1</v>
      </c>
      <c r="AC843">
        <v>1</v>
      </c>
      <c r="AD843">
        <v>0</v>
      </c>
    </row>
    <row r="844" spans="1:30" x14ac:dyDescent="0.25">
      <c r="A844">
        <v>41762</v>
      </c>
      <c r="B844">
        <v>6428</v>
      </c>
      <c r="C844">
        <v>1950</v>
      </c>
      <c r="D844" t="s">
        <v>8</v>
      </c>
      <c r="E844" t="s">
        <v>14</v>
      </c>
      <c r="F844" t="s">
        <v>19</v>
      </c>
      <c r="G844">
        <v>76842</v>
      </c>
      <c r="H844">
        <v>0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f>SUM(Table1[[#This Row],[Gold Spending]]+Table1[[#This Row],[Sweet Spending]]+Table1[[#This Row],[Fish Spending]]+Table1[[#This Row],[Meat Spending]]+Table1[[#This Row],[Fruits Spending]]+Table1[[#This Row],[Wine Spending ]])</f>
        <v>1130</v>
      </c>
      <c r="Q844">
        <v>1</v>
      </c>
      <c r="R844">
        <v>1</v>
      </c>
      <c r="S844">
        <v>8</v>
      </c>
      <c r="T844">
        <v>7</v>
      </c>
      <c r="U844">
        <f>SUM(Table1[[#This Row],[Store_Purchases]]+Table1[[#This Row],[Catalog_Purchases]]+Table1[[#This Row],[Web_Purchases]]+Table1[[#This Row],[Deal_Purchases]])</f>
        <v>17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f>SUM(Table1[[#This Row],[Accepted_Campaign_2]]+Table1[[#This Row],[Accepted_Campaign_1]]+Table1[[#This Row],[Accepted_Campaign_5]]+Table1[[#This Row],[Accepted_Campaign_4]]+Table1[[#This Row],[Accepted_Campaign_3]])</f>
        <v>0</v>
      </c>
      <c r="AC844">
        <v>0</v>
      </c>
      <c r="AD844">
        <v>0</v>
      </c>
    </row>
    <row r="845" spans="1:30" x14ac:dyDescent="0.25">
      <c r="A845">
        <v>41745</v>
      </c>
      <c r="B845">
        <v>9617</v>
      </c>
      <c r="C845">
        <v>1951</v>
      </c>
      <c r="D845" t="s">
        <v>20</v>
      </c>
      <c r="E845" t="s">
        <v>6</v>
      </c>
      <c r="F845" t="s">
        <v>9</v>
      </c>
      <c r="G845">
        <v>15033</v>
      </c>
      <c r="H845">
        <v>0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f>SUM(Table1[[#This Row],[Gold Spending]]+Table1[[#This Row],[Sweet Spending]]+Table1[[#This Row],[Fish Spending]]+Table1[[#This Row],[Meat Spending]]+Table1[[#This Row],[Fruits Spending]]+Table1[[#This Row],[Wine Spending ]])</f>
        <v>19</v>
      </c>
      <c r="Q845">
        <v>1</v>
      </c>
      <c r="R845">
        <v>1</v>
      </c>
      <c r="S845">
        <v>0</v>
      </c>
      <c r="T845">
        <v>3</v>
      </c>
      <c r="U845">
        <f>SUM(Table1[[#This Row],[Store_Purchases]]+Table1[[#This Row],[Catalog_Purchases]]+Table1[[#This Row],[Web_Purchases]]+Table1[[#This Row],[Deal_Purchases]])</f>
        <v>5</v>
      </c>
      <c r="V845">
        <v>3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f>SUM(Table1[[#This Row],[Accepted_Campaign_2]]+Table1[[#This Row],[Accepted_Campaign_1]]+Table1[[#This Row],[Accepted_Campaign_5]]+Table1[[#This Row],[Accepted_Campaign_4]]+Table1[[#This Row],[Accepted_Campaign_3]])</f>
        <v>0</v>
      </c>
      <c r="AC845">
        <v>0</v>
      </c>
      <c r="AD845">
        <v>0</v>
      </c>
    </row>
    <row r="846" spans="1:30" x14ac:dyDescent="0.25">
      <c r="A846">
        <v>41639</v>
      </c>
      <c r="B846">
        <v>4339</v>
      </c>
      <c r="C846">
        <v>1970</v>
      </c>
      <c r="D846" t="s">
        <v>13</v>
      </c>
      <c r="E846" t="s">
        <v>14</v>
      </c>
      <c r="F846" t="s">
        <v>11</v>
      </c>
      <c r="G846">
        <v>67353</v>
      </c>
      <c r="H846">
        <v>1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f>SUM(Table1[[#This Row],[Gold Spending]]+Table1[[#This Row],[Sweet Spending]]+Table1[[#This Row],[Fish Spending]]+Table1[[#This Row],[Meat Spending]]+Table1[[#This Row],[Fruits Spending]]+Table1[[#This Row],[Wine Spending ]])</f>
        <v>913</v>
      </c>
      <c r="Q846">
        <v>5</v>
      </c>
      <c r="R846">
        <v>5</v>
      </c>
      <c r="S846">
        <v>6</v>
      </c>
      <c r="T846">
        <v>12</v>
      </c>
      <c r="U846">
        <f>SUM(Table1[[#This Row],[Store_Purchases]]+Table1[[#This Row],[Catalog_Purchases]]+Table1[[#This Row],[Web_Purchases]]+Table1[[#This Row],[Deal_Purchases]])</f>
        <v>28</v>
      </c>
      <c r="V846">
        <v>2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f>SUM(Table1[[#This Row],[Accepted_Campaign_2]]+Table1[[#This Row],[Accepted_Campaign_1]]+Table1[[#This Row],[Accepted_Campaign_5]]+Table1[[#This Row],[Accepted_Campaign_4]]+Table1[[#This Row],[Accepted_Campaign_3]])</f>
        <v>0</v>
      </c>
      <c r="AC846">
        <v>0</v>
      </c>
      <c r="AD846">
        <v>0</v>
      </c>
    </row>
    <row r="847" spans="1:30" x14ac:dyDescent="0.25">
      <c r="A847">
        <v>41617</v>
      </c>
      <c r="B847">
        <v>7235</v>
      </c>
      <c r="C847">
        <v>1975</v>
      </c>
      <c r="D847" t="s">
        <v>16</v>
      </c>
      <c r="E847" t="s">
        <v>15</v>
      </c>
      <c r="F847" t="s">
        <v>11</v>
      </c>
      <c r="G847">
        <v>17003</v>
      </c>
      <c r="H847">
        <v>1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f>SUM(Table1[[#This Row],[Gold Spending]]+Table1[[#This Row],[Sweet Spending]]+Table1[[#This Row],[Fish Spending]]+Table1[[#This Row],[Meat Spending]]+Table1[[#This Row],[Fruits Spending]]+Table1[[#This Row],[Wine Spending ]])</f>
        <v>38</v>
      </c>
      <c r="Q847">
        <v>3</v>
      </c>
      <c r="R847">
        <v>2</v>
      </c>
      <c r="S847">
        <v>0</v>
      </c>
      <c r="T847">
        <v>4</v>
      </c>
      <c r="U847">
        <f>SUM(Table1[[#This Row],[Store_Purchases]]+Table1[[#This Row],[Catalog_Purchases]]+Table1[[#This Row],[Web_Purchases]]+Table1[[#This Row],[Deal_Purchases]])</f>
        <v>9</v>
      </c>
      <c r="V847">
        <v>5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f>SUM(Table1[[#This Row],[Accepted_Campaign_2]]+Table1[[#This Row],[Accepted_Campaign_1]]+Table1[[#This Row],[Accepted_Campaign_5]]+Table1[[#This Row],[Accepted_Campaign_4]]+Table1[[#This Row],[Accepted_Campaign_3]])</f>
        <v>0</v>
      </c>
      <c r="AC847">
        <v>0</v>
      </c>
      <c r="AD847">
        <v>0</v>
      </c>
    </row>
    <row r="848" spans="1:30" x14ac:dyDescent="0.25">
      <c r="A848">
        <v>41615</v>
      </c>
      <c r="B848">
        <v>8527</v>
      </c>
      <c r="C848">
        <v>1965</v>
      </c>
      <c r="D848" t="s">
        <v>8</v>
      </c>
      <c r="E848" t="s">
        <v>18</v>
      </c>
      <c r="F848" t="s">
        <v>12</v>
      </c>
      <c r="G848">
        <v>65735</v>
      </c>
      <c r="H848">
        <v>2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f>SUM(Table1[[#This Row],[Gold Spending]]+Table1[[#This Row],[Sweet Spending]]+Table1[[#This Row],[Fish Spending]]+Table1[[#This Row],[Meat Spending]]+Table1[[#This Row],[Fruits Spending]]+Table1[[#This Row],[Wine Spending ]])</f>
        <v>395</v>
      </c>
      <c r="Q848">
        <v>5</v>
      </c>
      <c r="R848">
        <v>6</v>
      </c>
      <c r="S848">
        <v>2</v>
      </c>
      <c r="T848">
        <v>6</v>
      </c>
      <c r="U848">
        <f>SUM(Table1[[#This Row],[Store_Purchases]]+Table1[[#This Row],[Catalog_Purchases]]+Table1[[#This Row],[Web_Purchases]]+Table1[[#This Row],[Deal_Purchases]])</f>
        <v>19</v>
      </c>
      <c r="V848">
        <v>7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f>SUM(Table1[[#This Row],[Accepted_Campaign_2]]+Table1[[#This Row],[Accepted_Campaign_1]]+Table1[[#This Row],[Accepted_Campaign_5]]+Table1[[#This Row],[Accepted_Campaign_4]]+Table1[[#This Row],[Accepted_Campaign_3]])</f>
        <v>0</v>
      </c>
      <c r="AC848">
        <v>0</v>
      </c>
      <c r="AD848">
        <v>0</v>
      </c>
    </row>
    <row r="849" spans="1:30" x14ac:dyDescent="0.25">
      <c r="A849">
        <v>41610</v>
      </c>
      <c r="B849">
        <v>1968</v>
      </c>
      <c r="C849">
        <v>1971</v>
      </c>
      <c r="D849" t="s">
        <v>20</v>
      </c>
      <c r="E849" t="s">
        <v>6</v>
      </c>
      <c r="F849" t="s">
        <v>19</v>
      </c>
      <c r="G849">
        <v>45684</v>
      </c>
      <c r="H849">
        <v>1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f>SUM(Table1[[#This Row],[Gold Spending]]+Table1[[#This Row],[Sweet Spending]]+Table1[[#This Row],[Fish Spending]]+Table1[[#This Row],[Meat Spending]]+Table1[[#This Row],[Fruits Spending]]+Table1[[#This Row],[Wine Spending ]])</f>
        <v>28</v>
      </c>
      <c r="Q849">
        <v>1</v>
      </c>
      <c r="R849">
        <v>1</v>
      </c>
      <c r="S849">
        <v>0</v>
      </c>
      <c r="T849">
        <v>2</v>
      </c>
      <c r="U849">
        <f>SUM(Table1[[#This Row],[Store_Purchases]]+Table1[[#This Row],[Catalog_Purchases]]+Table1[[#This Row],[Web_Purchases]]+Table1[[#This Row],[Deal_Purchases]])</f>
        <v>4</v>
      </c>
      <c r="V849">
        <v>7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f>SUM(Table1[[#This Row],[Accepted_Campaign_2]]+Table1[[#This Row],[Accepted_Campaign_1]]+Table1[[#This Row],[Accepted_Campaign_5]]+Table1[[#This Row],[Accepted_Campaign_4]]+Table1[[#This Row],[Accepted_Campaign_3]])</f>
        <v>0</v>
      </c>
      <c r="AC849">
        <v>0</v>
      </c>
      <c r="AD849">
        <v>0</v>
      </c>
    </row>
    <row r="850" spans="1:30" x14ac:dyDescent="0.25">
      <c r="A850">
        <v>41592</v>
      </c>
      <c r="B850">
        <v>9862</v>
      </c>
      <c r="C850">
        <v>1969</v>
      </c>
      <c r="D850" t="s">
        <v>10</v>
      </c>
      <c r="E850" t="s">
        <v>6</v>
      </c>
      <c r="F850" t="s">
        <v>12</v>
      </c>
      <c r="G850">
        <v>21918</v>
      </c>
      <c r="H850">
        <v>1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f>SUM(Table1[[#This Row],[Gold Spending]]+Table1[[#This Row],[Sweet Spending]]+Table1[[#This Row],[Fish Spending]]+Table1[[#This Row],[Meat Spending]]+Table1[[#This Row],[Fruits Spending]]+Table1[[#This Row],[Wine Spending ]])</f>
        <v>33</v>
      </c>
      <c r="Q850">
        <v>2</v>
      </c>
      <c r="R850">
        <v>2</v>
      </c>
      <c r="S850">
        <v>0</v>
      </c>
      <c r="T850">
        <v>3</v>
      </c>
      <c r="U850">
        <f>SUM(Table1[[#This Row],[Store_Purchases]]+Table1[[#This Row],[Catalog_Purchases]]+Table1[[#This Row],[Web_Purchases]]+Table1[[#This Row],[Deal_Purchases]])</f>
        <v>7</v>
      </c>
      <c r="V850">
        <v>6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f>SUM(Table1[[#This Row],[Accepted_Campaign_2]]+Table1[[#This Row],[Accepted_Campaign_1]]+Table1[[#This Row],[Accepted_Campaign_5]]+Table1[[#This Row],[Accepted_Campaign_4]]+Table1[[#This Row],[Accepted_Campaign_3]])</f>
        <v>0</v>
      </c>
      <c r="AC850">
        <v>0</v>
      </c>
      <c r="AD850">
        <v>0</v>
      </c>
    </row>
    <row r="851" spans="1:30" x14ac:dyDescent="0.25">
      <c r="A851">
        <v>41576</v>
      </c>
      <c r="B851">
        <v>11075</v>
      </c>
      <c r="C851">
        <v>1978</v>
      </c>
      <c r="D851" t="s">
        <v>10</v>
      </c>
      <c r="E851" t="s">
        <v>6</v>
      </c>
      <c r="F851" t="s">
        <v>11</v>
      </c>
      <c r="G851">
        <v>51267</v>
      </c>
      <c r="H851">
        <v>2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f>SUM(Table1[[#This Row],[Gold Spending]]+Table1[[#This Row],[Sweet Spending]]+Table1[[#This Row],[Fish Spending]]+Table1[[#This Row],[Meat Spending]]+Table1[[#This Row],[Fruits Spending]]+Table1[[#This Row],[Wine Spending ]])</f>
        <v>270</v>
      </c>
      <c r="Q851">
        <v>4</v>
      </c>
      <c r="R851">
        <v>3</v>
      </c>
      <c r="S851">
        <v>3</v>
      </c>
      <c r="T851">
        <v>5</v>
      </c>
      <c r="U851">
        <f>SUM(Table1[[#This Row],[Store_Purchases]]+Table1[[#This Row],[Catalog_Purchases]]+Table1[[#This Row],[Web_Purchases]]+Table1[[#This Row],[Deal_Purchases]])</f>
        <v>15</v>
      </c>
      <c r="V851">
        <v>4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f>SUM(Table1[[#This Row],[Accepted_Campaign_2]]+Table1[[#This Row],[Accepted_Campaign_1]]+Table1[[#This Row],[Accepted_Campaign_5]]+Table1[[#This Row],[Accepted_Campaign_4]]+Table1[[#This Row],[Accepted_Campaign_3]])</f>
        <v>0</v>
      </c>
      <c r="AC851">
        <v>0</v>
      </c>
      <c r="AD851">
        <v>0</v>
      </c>
    </row>
    <row r="852" spans="1:30" x14ac:dyDescent="0.25">
      <c r="A852">
        <v>41477</v>
      </c>
      <c r="B852">
        <v>6658</v>
      </c>
      <c r="C852">
        <v>1972</v>
      </c>
      <c r="D852" t="s">
        <v>8</v>
      </c>
      <c r="E852" t="s">
        <v>6</v>
      </c>
      <c r="F852" t="s">
        <v>12</v>
      </c>
      <c r="G852">
        <v>59868</v>
      </c>
      <c r="H852">
        <v>1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f>SUM(Table1[[#This Row],[Gold Spending]]+Table1[[#This Row],[Sweet Spending]]+Table1[[#This Row],[Fish Spending]]+Table1[[#This Row],[Meat Spending]]+Table1[[#This Row],[Fruits Spending]]+Table1[[#This Row],[Wine Spending ]])</f>
        <v>1194</v>
      </c>
      <c r="Q852">
        <v>7</v>
      </c>
      <c r="R852">
        <v>11</v>
      </c>
      <c r="S852">
        <v>2</v>
      </c>
      <c r="T852">
        <v>12</v>
      </c>
      <c r="U852">
        <f>SUM(Table1[[#This Row],[Store_Purchases]]+Table1[[#This Row],[Catalog_Purchases]]+Table1[[#This Row],[Web_Purchases]]+Table1[[#This Row],[Deal_Purchases]])</f>
        <v>32</v>
      </c>
      <c r="V852">
        <v>6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f>SUM(Table1[[#This Row],[Accepted_Campaign_2]]+Table1[[#This Row],[Accepted_Campaign_1]]+Table1[[#This Row],[Accepted_Campaign_5]]+Table1[[#This Row],[Accepted_Campaign_4]]+Table1[[#This Row],[Accepted_Campaign_3]])</f>
        <v>0</v>
      </c>
      <c r="AC852">
        <v>0</v>
      </c>
      <c r="AD852">
        <v>0</v>
      </c>
    </row>
    <row r="853" spans="1:30" x14ac:dyDescent="0.25">
      <c r="A853">
        <v>41447</v>
      </c>
      <c r="B853">
        <v>4552</v>
      </c>
      <c r="C853">
        <v>1991</v>
      </c>
      <c r="D853" t="s">
        <v>8</v>
      </c>
      <c r="E853" t="s">
        <v>6</v>
      </c>
      <c r="F853" t="s">
        <v>11</v>
      </c>
      <c r="G853">
        <v>51373</v>
      </c>
      <c r="H853">
        <v>0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f>SUM(Table1[[#This Row],[Gold Spending]]+Table1[[#This Row],[Sweet Spending]]+Table1[[#This Row],[Fish Spending]]+Table1[[#This Row],[Meat Spending]]+Table1[[#This Row],[Fruits Spending]]+Table1[[#This Row],[Wine Spending ]])</f>
        <v>393</v>
      </c>
      <c r="Q853">
        <v>1</v>
      </c>
      <c r="R853">
        <v>3</v>
      </c>
      <c r="S853">
        <v>5</v>
      </c>
      <c r="T853">
        <v>3</v>
      </c>
      <c r="U853">
        <f>SUM(Table1[[#This Row],[Store_Purchases]]+Table1[[#This Row],[Catalog_Purchases]]+Table1[[#This Row],[Web_Purchases]]+Table1[[#This Row],[Deal_Purchases]])</f>
        <v>12</v>
      </c>
      <c r="V853">
        <v>4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f>SUM(Table1[[#This Row],[Accepted_Campaign_2]]+Table1[[#This Row],[Accepted_Campaign_1]]+Table1[[#This Row],[Accepted_Campaign_5]]+Table1[[#This Row],[Accepted_Campaign_4]]+Table1[[#This Row],[Accepted_Campaign_3]])</f>
        <v>0</v>
      </c>
      <c r="AC853">
        <v>0</v>
      </c>
      <c r="AD853">
        <v>0</v>
      </c>
    </row>
    <row r="854" spans="1:30" x14ac:dyDescent="0.25">
      <c r="A854">
        <v>41431</v>
      </c>
      <c r="B854">
        <v>10377</v>
      </c>
      <c r="C854">
        <v>1958</v>
      </c>
      <c r="D854" t="s">
        <v>8</v>
      </c>
      <c r="E854" t="s">
        <v>18</v>
      </c>
      <c r="F854" t="s">
        <v>12</v>
      </c>
      <c r="G854">
        <v>46692</v>
      </c>
      <c r="H854">
        <v>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f>SUM(Table1[[#This Row],[Gold Spending]]+Table1[[#This Row],[Sweet Spending]]+Table1[[#This Row],[Fish Spending]]+Table1[[#This Row],[Meat Spending]]+Table1[[#This Row],[Fruits Spending]]+Table1[[#This Row],[Wine Spending ]])</f>
        <v>397</v>
      </c>
      <c r="Q854">
        <v>3</v>
      </c>
      <c r="R854">
        <v>6</v>
      </c>
      <c r="S854">
        <v>1</v>
      </c>
      <c r="T854">
        <v>5</v>
      </c>
      <c r="U854">
        <f>SUM(Table1[[#This Row],[Store_Purchases]]+Table1[[#This Row],[Catalog_Purchases]]+Table1[[#This Row],[Web_Purchases]]+Table1[[#This Row],[Deal_Purchases]])</f>
        <v>15</v>
      </c>
      <c r="V854">
        <v>6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f>SUM(Table1[[#This Row],[Accepted_Campaign_2]]+Table1[[#This Row],[Accepted_Campaign_1]]+Table1[[#This Row],[Accepted_Campaign_5]]+Table1[[#This Row],[Accepted_Campaign_4]]+Table1[[#This Row],[Accepted_Campaign_3]])</f>
        <v>0</v>
      </c>
      <c r="AC854">
        <v>0</v>
      </c>
      <c r="AD854">
        <v>0</v>
      </c>
    </row>
    <row r="855" spans="1:30" x14ac:dyDescent="0.25">
      <c r="A855">
        <v>41429</v>
      </c>
      <c r="B855">
        <v>5336</v>
      </c>
      <c r="C855">
        <v>1971</v>
      </c>
      <c r="D855" t="s">
        <v>8</v>
      </c>
      <c r="E855" t="s">
        <v>18</v>
      </c>
      <c r="F855" t="s">
        <v>12</v>
      </c>
      <c r="G855">
        <v>157733</v>
      </c>
      <c r="H855">
        <v>1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f>SUM(Table1[[#This Row],[Gold Spending]]+Table1[[#This Row],[Sweet Spending]]+Table1[[#This Row],[Fish Spending]]+Table1[[#This Row],[Meat Spending]]+Table1[[#This Row],[Fruits Spending]]+Table1[[#This Row],[Wine Spending ]])</f>
        <v>59</v>
      </c>
      <c r="Q855">
        <v>0</v>
      </c>
      <c r="R855">
        <v>1</v>
      </c>
      <c r="S855">
        <v>0</v>
      </c>
      <c r="T855">
        <v>1</v>
      </c>
      <c r="U855">
        <f>SUM(Table1[[#This Row],[Store_Purchases]]+Table1[[#This Row],[Catalog_Purchases]]+Table1[[#This Row],[Web_Purchases]]+Table1[[#This Row],[Deal_Purchases]])</f>
        <v>2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f>SUM(Table1[[#This Row],[Accepted_Campaign_2]]+Table1[[#This Row],[Accepted_Campaign_1]]+Table1[[#This Row],[Accepted_Campaign_5]]+Table1[[#This Row],[Accepted_Campaign_4]]+Table1[[#This Row],[Accepted_Campaign_3]])</f>
        <v>0</v>
      </c>
      <c r="AC855">
        <v>0</v>
      </c>
      <c r="AD855">
        <v>0</v>
      </c>
    </row>
    <row r="856" spans="1:30" x14ac:dyDescent="0.25">
      <c r="A856">
        <v>41403</v>
      </c>
      <c r="B856">
        <v>10350</v>
      </c>
      <c r="C856">
        <v>1950</v>
      </c>
      <c r="D856" t="s">
        <v>8</v>
      </c>
      <c r="E856" t="s">
        <v>14</v>
      </c>
      <c r="F856" t="s">
        <v>11</v>
      </c>
      <c r="G856">
        <v>54432</v>
      </c>
      <c r="H856">
        <v>3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f>SUM(Table1[[#This Row],[Gold Spending]]+Table1[[#This Row],[Sweet Spending]]+Table1[[#This Row],[Fish Spending]]+Table1[[#This Row],[Meat Spending]]+Table1[[#This Row],[Fruits Spending]]+Table1[[#This Row],[Wine Spending ]])</f>
        <v>38</v>
      </c>
      <c r="Q856">
        <v>1</v>
      </c>
      <c r="R856">
        <v>1</v>
      </c>
      <c r="S856">
        <v>0</v>
      </c>
      <c r="T856">
        <v>3</v>
      </c>
      <c r="U856">
        <f>SUM(Table1[[#This Row],[Store_Purchases]]+Table1[[#This Row],[Catalog_Purchases]]+Table1[[#This Row],[Web_Purchases]]+Table1[[#This Row],[Deal_Purchases]])</f>
        <v>5</v>
      </c>
      <c r="V856">
        <v>4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f>SUM(Table1[[#This Row],[Accepted_Campaign_2]]+Table1[[#This Row],[Accepted_Campaign_1]]+Table1[[#This Row],[Accepted_Campaign_5]]+Table1[[#This Row],[Accepted_Campaign_4]]+Table1[[#This Row],[Accepted_Campaign_3]])</f>
        <v>0</v>
      </c>
      <c r="AC856">
        <v>0</v>
      </c>
      <c r="AD856">
        <v>0</v>
      </c>
    </row>
    <row r="857" spans="1:30" x14ac:dyDescent="0.25">
      <c r="A857">
        <v>41385</v>
      </c>
      <c r="B857">
        <v>11071</v>
      </c>
      <c r="C857">
        <v>1984</v>
      </c>
      <c r="D857" t="s">
        <v>10</v>
      </c>
      <c r="E857" t="s">
        <v>6</v>
      </c>
      <c r="F857" t="s">
        <v>9</v>
      </c>
      <c r="G857">
        <v>79607</v>
      </c>
      <c r="H857">
        <v>0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f>SUM(Table1[[#This Row],[Gold Spending]]+Table1[[#This Row],[Sweet Spending]]+Table1[[#This Row],[Fish Spending]]+Table1[[#This Row],[Meat Spending]]+Table1[[#This Row],[Fruits Spending]]+Table1[[#This Row],[Wine Spending ]])</f>
        <v>1923</v>
      </c>
      <c r="Q857">
        <v>1</v>
      </c>
      <c r="R857">
        <v>3</v>
      </c>
      <c r="S857">
        <v>6</v>
      </c>
      <c r="T857">
        <v>6</v>
      </c>
      <c r="U857">
        <f>SUM(Table1[[#This Row],[Store_Purchases]]+Table1[[#This Row],[Catalog_Purchases]]+Table1[[#This Row],[Web_Purchases]]+Table1[[#This Row],[Deal_Purchases]])</f>
        <v>16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f>SUM(Table1[[#This Row],[Accepted_Campaign_2]]+Table1[[#This Row],[Accepted_Campaign_1]]+Table1[[#This Row],[Accepted_Campaign_5]]+Table1[[#This Row],[Accepted_Campaign_4]]+Table1[[#This Row],[Accepted_Campaign_3]])</f>
        <v>0</v>
      </c>
      <c r="AC857">
        <v>1</v>
      </c>
      <c r="AD857">
        <v>0</v>
      </c>
    </row>
    <row r="858" spans="1:30" x14ac:dyDescent="0.25">
      <c r="A858">
        <v>41375</v>
      </c>
      <c r="B858">
        <v>11100</v>
      </c>
      <c r="C858">
        <v>1972</v>
      </c>
      <c r="D858" t="s">
        <v>10</v>
      </c>
      <c r="E858" t="s">
        <v>6</v>
      </c>
      <c r="F858" t="s">
        <v>7</v>
      </c>
      <c r="G858">
        <v>51813</v>
      </c>
      <c r="H858">
        <v>2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f>SUM(Table1[[#This Row],[Gold Spending]]+Table1[[#This Row],[Sweet Spending]]+Table1[[#This Row],[Fish Spending]]+Table1[[#This Row],[Meat Spending]]+Table1[[#This Row],[Fruits Spending]]+Table1[[#This Row],[Wine Spending ]])</f>
        <v>63</v>
      </c>
      <c r="Q858">
        <v>2</v>
      </c>
      <c r="R858">
        <v>2</v>
      </c>
      <c r="S858">
        <v>0</v>
      </c>
      <c r="T858">
        <v>3</v>
      </c>
      <c r="U858">
        <f>SUM(Table1[[#This Row],[Store_Purchases]]+Table1[[#This Row],[Catalog_Purchases]]+Table1[[#This Row],[Web_Purchases]]+Table1[[#This Row],[Deal_Purchases]])</f>
        <v>7</v>
      </c>
      <c r="V858">
        <v>7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f>SUM(Table1[[#This Row],[Accepted_Campaign_2]]+Table1[[#This Row],[Accepted_Campaign_1]]+Table1[[#This Row],[Accepted_Campaign_5]]+Table1[[#This Row],[Accepted_Campaign_4]]+Table1[[#This Row],[Accepted_Campaign_3]])</f>
        <v>0</v>
      </c>
      <c r="AC858">
        <v>0</v>
      </c>
      <c r="AD858">
        <v>0</v>
      </c>
    </row>
    <row r="859" spans="1:30" x14ac:dyDescent="0.25">
      <c r="A859">
        <v>41351</v>
      </c>
      <c r="B859">
        <v>6516</v>
      </c>
      <c r="C859">
        <v>1989</v>
      </c>
      <c r="D859" t="s">
        <v>13</v>
      </c>
      <c r="E859" t="s">
        <v>21</v>
      </c>
      <c r="F859" t="s">
        <v>11</v>
      </c>
      <c r="G859">
        <v>17487</v>
      </c>
      <c r="H859">
        <v>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f>SUM(Table1[[#This Row],[Gold Spending]]+Table1[[#This Row],[Sweet Spending]]+Table1[[#This Row],[Fish Spending]]+Table1[[#This Row],[Meat Spending]]+Table1[[#This Row],[Fruits Spending]]+Table1[[#This Row],[Wine Spending ]])</f>
        <v>18</v>
      </c>
      <c r="Q859">
        <v>1</v>
      </c>
      <c r="R859">
        <v>1</v>
      </c>
      <c r="S859">
        <v>0</v>
      </c>
      <c r="T859">
        <v>2</v>
      </c>
      <c r="U859">
        <f>SUM(Table1[[#This Row],[Store_Purchases]]+Table1[[#This Row],[Catalog_Purchases]]+Table1[[#This Row],[Web_Purchases]]+Table1[[#This Row],[Deal_Purchases]])</f>
        <v>4</v>
      </c>
      <c r="V859">
        <v>7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f>SUM(Table1[[#This Row],[Accepted_Campaign_2]]+Table1[[#This Row],[Accepted_Campaign_1]]+Table1[[#This Row],[Accepted_Campaign_5]]+Table1[[#This Row],[Accepted_Campaign_4]]+Table1[[#This Row],[Accepted_Campaign_3]])</f>
        <v>0</v>
      </c>
      <c r="AC859">
        <v>0</v>
      </c>
      <c r="AD859">
        <v>0</v>
      </c>
    </row>
    <row r="860" spans="1:30" x14ac:dyDescent="0.25">
      <c r="A860">
        <v>41291</v>
      </c>
      <c r="B860">
        <v>1734</v>
      </c>
      <c r="C860">
        <v>1968</v>
      </c>
      <c r="D860" t="s">
        <v>20</v>
      </c>
      <c r="E860" t="s">
        <v>14</v>
      </c>
      <c r="F860" t="s">
        <v>12</v>
      </c>
      <c r="G860">
        <v>40706</v>
      </c>
      <c r="H860">
        <v>3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f>SUM(Table1[[#This Row],[Gold Spending]]+Table1[[#This Row],[Sweet Spending]]+Table1[[#This Row],[Fish Spending]]+Table1[[#This Row],[Meat Spending]]+Table1[[#This Row],[Fruits Spending]]+Table1[[#This Row],[Wine Spending ]])</f>
        <v>81</v>
      </c>
      <c r="Q860">
        <v>4</v>
      </c>
      <c r="R860">
        <v>3</v>
      </c>
      <c r="S860">
        <v>0</v>
      </c>
      <c r="T860">
        <v>4</v>
      </c>
      <c r="U860">
        <f>SUM(Table1[[#This Row],[Store_Purchases]]+Table1[[#This Row],[Catalog_Purchases]]+Table1[[#This Row],[Web_Purchases]]+Table1[[#This Row],[Deal_Purchases]])</f>
        <v>11</v>
      </c>
      <c r="V860">
        <v>7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f>SUM(Table1[[#This Row],[Accepted_Campaign_2]]+Table1[[#This Row],[Accepted_Campaign_1]]+Table1[[#This Row],[Accepted_Campaign_5]]+Table1[[#This Row],[Accepted_Campaign_4]]+Table1[[#This Row],[Accepted_Campaign_3]])</f>
        <v>0</v>
      </c>
      <c r="AC860">
        <v>0</v>
      </c>
      <c r="AD860">
        <v>0</v>
      </c>
    </row>
    <row r="861" spans="1:30" x14ac:dyDescent="0.25">
      <c r="A861">
        <v>41273</v>
      </c>
      <c r="B861">
        <v>2131</v>
      </c>
      <c r="C861">
        <v>1959</v>
      </c>
      <c r="D861" t="s">
        <v>8</v>
      </c>
      <c r="E861" t="s">
        <v>14</v>
      </c>
      <c r="F861" t="s">
        <v>7</v>
      </c>
      <c r="G861">
        <v>62859</v>
      </c>
      <c r="H861">
        <v>1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f>SUM(Table1[[#This Row],[Gold Spending]]+Table1[[#This Row],[Sweet Spending]]+Table1[[#This Row],[Fish Spending]]+Table1[[#This Row],[Meat Spending]]+Table1[[#This Row],[Fruits Spending]]+Table1[[#This Row],[Wine Spending ]])</f>
        <v>1307</v>
      </c>
      <c r="Q861">
        <v>4</v>
      </c>
      <c r="R861">
        <v>9</v>
      </c>
      <c r="S861">
        <v>4</v>
      </c>
      <c r="T861">
        <v>6</v>
      </c>
      <c r="U861">
        <f>SUM(Table1[[#This Row],[Store_Purchases]]+Table1[[#This Row],[Catalog_Purchases]]+Table1[[#This Row],[Web_Purchases]]+Table1[[#This Row],[Deal_Purchases]])</f>
        <v>23</v>
      </c>
      <c r="V861">
        <v>6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f>SUM(Table1[[#This Row],[Accepted_Campaign_2]]+Table1[[#This Row],[Accepted_Campaign_1]]+Table1[[#This Row],[Accepted_Campaign_5]]+Table1[[#This Row],[Accepted_Campaign_4]]+Table1[[#This Row],[Accepted_Campaign_3]])</f>
        <v>0</v>
      </c>
      <c r="AC861">
        <v>0</v>
      </c>
      <c r="AD861">
        <v>0</v>
      </c>
    </row>
    <row r="862" spans="1:30" x14ac:dyDescent="0.25">
      <c r="A862">
        <v>41138</v>
      </c>
      <c r="B862">
        <v>6439</v>
      </c>
      <c r="C862">
        <v>1958</v>
      </c>
      <c r="D862" t="s">
        <v>20</v>
      </c>
      <c r="E862" t="s">
        <v>6</v>
      </c>
      <c r="F862" t="s">
        <v>11</v>
      </c>
      <c r="G862">
        <v>61074</v>
      </c>
      <c r="H862">
        <v>1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f>SUM(Table1[[#This Row],[Gold Spending]]+Table1[[#This Row],[Sweet Spending]]+Table1[[#This Row],[Fish Spending]]+Table1[[#This Row],[Meat Spending]]+Table1[[#This Row],[Fruits Spending]]+Table1[[#This Row],[Wine Spending ]])</f>
        <v>1102</v>
      </c>
      <c r="Q862">
        <v>7</v>
      </c>
      <c r="R862">
        <v>11</v>
      </c>
      <c r="S862">
        <v>5</v>
      </c>
      <c r="T862">
        <v>8</v>
      </c>
      <c r="U862">
        <f>SUM(Table1[[#This Row],[Store_Purchases]]+Table1[[#This Row],[Catalog_Purchases]]+Table1[[#This Row],[Web_Purchases]]+Table1[[#This Row],[Deal_Purchases]])</f>
        <v>31</v>
      </c>
      <c r="V862">
        <v>7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f>SUM(Table1[[#This Row],[Accepted_Campaign_2]]+Table1[[#This Row],[Accepted_Campaign_1]]+Table1[[#This Row],[Accepted_Campaign_5]]+Table1[[#This Row],[Accepted_Campaign_4]]+Table1[[#This Row],[Accepted_Campaign_3]])</f>
        <v>0</v>
      </c>
      <c r="AC862">
        <v>0</v>
      </c>
      <c r="AD862">
        <v>0</v>
      </c>
    </row>
    <row r="863" spans="1:30" x14ac:dyDescent="0.25">
      <c r="A863">
        <v>41127</v>
      </c>
      <c r="B863">
        <v>10591</v>
      </c>
      <c r="C863">
        <v>1969</v>
      </c>
      <c r="D863" t="s">
        <v>8</v>
      </c>
      <c r="E863" t="s">
        <v>6</v>
      </c>
      <c r="F863" t="s">
        <v>19</v>
      </c>
      <c r="G863">
        <v>43638</v>
      </c>
      <c r="H863">
        <v>1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f>SUM(Table1[[#This Row],[Gold Spending]]+Table1[[#This Row],[Sweet Spending]]+Table1[[#This Row],[Fish Spending]]+Table1[[#This Row],[Meat Spending]]+Table1[[#This Row],[Fruits Spending]]+Table1[[#This Row],[Wine Spending ]])</f>
        <v>201</v>
      </c>
      <c r="Q863">
        <v>2</v>
      </c>
      <c r="R863">
        <v>4</v>
      </c>
      <c r="S863">
        <v>1</v>
      </c>
      <c r="T863">
        <v>4</v>
      </c>
      <c r="U863">
        <f>SUM(Table1[[#This Row],[Store_Purchases]]+Table1[[#This Row],[Catalog_Purchases]]+Table1[[#This Row],[Web_Purchases]]+Table1[[#This Row],[Deal_Purchases]])</f>
        <v>11</v>
      </c>
      <c r="V863">
        <v>7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f>SUM(Table1[[#This Row],[Accepted_Campaign_2]]+Table1[[#This Row],[Accepted_Campaign_1]]+Table1[[#This Row],[Accepted_Campaign_5]]+Table1[[#This Row],[Accepted_Campaign_4]]+Table1[[#This Row],[Accepted_Campaign_3]])</f>
        <v>0</v>
      </c>
      <c r="AC863">
        <v>0</v>
      </c>
      <c r="AD863">
        <v>0</v>
      </c>
    </row>
    <row r="864" spans="1:30" x14ac:dyDescent="0.25">
      <c r="A864">
        <v>41742</v>
      </c>
      <c r="B864">
        <v>9797</v>
      </c>
      <c r="C864">
        <v>1956</v>
      </c>
      <c r="D864" t="s">
        <v>8</v>
      </c>
      <c r="E864" t="s">
        <v>6</v>
      </c>
      <c r="F864" t="s">
        <v>11</v>
      </c>
      <c r="G864">
        <v>58116</v>
      </c>
      <c r="H864">
        <v>1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f>SUM(Table1[[#This Row],[Gold Spending]]+Table1[[#This Row],[Sweet Spending]]+Table1[[#This Row],[Fish Spending]]+Table1[[#This Row],[Meat Spending]]+Table1[[#This Row],[Fruits Spending]]+Table1[[#This Row],[Wine Spending ]])</f>
        <v>443</v>
      </c>
      <c r="Q864">
        <v>2</v>
      </c>
      <c r="R864">
        <v>3</v>
      </c>
      <c r="S864">
        <v>3</v>
      </c>
      <c r="T864">
        <v>8</v>
      </c>
      <c r="U864">
        <f>SUM(Table1[[#This Row],[Store_Purchases]]+Table1[[#This Row],[Catalog_Purchases]]+Table1[[#This Row],[Web_Purchases]]+Table1[[#This Row],[Deal_Purchases]])</f>
        <v>16</v>
      </c>
      <c r="V864">
        <v>2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f>SUM(Table1[[#This Row],[Accepted_Campaign_2]]+Table1[[#This Row],[Accepted_Campaign_1]]+Table1[[#This Row],[Accepted_Campaign_5]]+Table1[[#This Row],[Accepted_Campaign_4]]+Table1[[#This Row],[Accepted_Campaign_3]])</f>
        <v>0</v>
      </c>
      <c r="AC864">
        <v>0</v>
      </c>
      <c r="AD864">
        <v>0</v>
      </c>
    </row>
    <row r="865" spans="1:30" x14ac:dyDescent="0.25">
      <c r="A865">
        <v>41720</v>
      </c>
      <c r="B865">
        <v>9336</v>
      </c>
      <c r="C865">
        <v>1969</v>
      </c>
      <c r="D865" t="s">
        <v>8</v>
      </c>
      <c r="E865" t="s">
        <v>14</v>
      </c>
      <c r="F865" t="s">
        <v>19</v>
      </c>
      <c r="G865">
        <v>62187</v>
      </c>
      <c r="H865">
        <v>1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f>SUM(Table1[[#This Row],[Gold Spending]]+Table1[[#This Row],[Sweet Spending]]+Table1[[#This Row],[Fish Spending]]+Table1[[#This Row],[Meat Spending]]+Table1[[#This Row],[Fruits Spending]]+Table1[[#This Row],[Wine Spending ]])</f>
        <v>636</v>
      </c>
      <c r="Q865">
        <v>3</v>
      </c>
      <c r="R865">
        <v>6</v>
      </c>
      <c r="S865">
        <v>2</v>
      </c>
      <c r="T865">
        <v>10</v>
      </c>
      <c r="U865">
        <f>SUM(Table1[[#This Row],[Store_Purchases]]+Table1[[#This Row],[Catalog_Purchases]]+Table1[[#This Row],[Web_Purchases]]+Table1[[#This Row],[Deal_Purchases]])</f>
        <v>21</v>
      </c>
      <c r="V865">
        <v>4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f>SUM(Table1[[#This Row],[Accepted_Campaign_2]]+Table1[[#This Row],[Accepted_Campaign_1]]+Table1[[#This Row],[Accepted_Campaign_5]]+Table1[[#This Row],[Accepted_Campaign_4]]+Table1[[#This Row],[Accepted_Campaign_3]])</f>
        <v>0</v>
      </c>
      <c r="AC865">
        <v>0</v>
      </c>
      <c r="AD865">
        <v>0</v>
      </c>
    </row>
    <row r="866" spans="1:30" x14ac:dyDescent="0.25">
      <c r="A866">
        <v>41706</v>
      </c>
      <c r="B866">
        <v>2174</v>
      </c>
      <c r="C866">
        <v>1954</v>
      </c>
      <c r="D866" t="s">
        <v>63</v>
      </c>
      <c r="E866" t="s">
        <v>6</v>
      </c>
      <c r="F866" t="s">
        <v>9</v>
      </c>
      <c r="G866">
        <v>46344</v>
      </c>
      <c r="H866">
        <v>2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f>SUM(Table1[[#This Row],[Gold Spending]]+Table1[[#This Row],[Sweet Spending]]+Table1[[#This Row],[Fish Spending]]+Table1[[#This Row],[Meat Spending]]+Table1[[#This Row],[Fruits Spending]]+Table1[[#This Row],[Wine Spending ]])</f>
        <v>27</v>
      </c>
      <c r="Q866">
        <v>2</v>
      </c>
      <c r="R866">
        <v>1</v>
      </c>
      <c r="S866">
        <v>1</v>
      </c>
      <c r="T866">
        <v>2</v>
      </c>
      <c r="U866">
        <f>SUM(Table1[[#This Row],[Store_Purchases]]+Table1[[#This Row],[Catalog_Purchases]]+Table1[[#This Row],[Web_Purchases]]+Table1[[#This Row],[Deal_Purchases]])</f>
        <v>6</v>
      </c>
      <c r="V866">
        <v>5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f>SUM(Table1[[#This Row],[Accepted_Campaign_2]]+Table1[[#This Row],[Accepted_Campaign_1]]+Table1[[#This Row],[Accepted_Campaign_5]]+Table1[[#This Row],[Accepted_Campaign_4]]+Table1[[#This Row],[Accepted_Campaign_3]])</f>
        <v>0</v>
      </c>
      <c r="AC866">
        <v>0</v>
      </c>
      <c r="AD866">
        <v>0</v>
      </c>
    </row>
    <row r="867" spans="1:30" x14ac:dyDescent="0.25">
      <c r="A867">
        <v>41624</v>
      </c>
      <c r="B867">
        <v>3197</v>
      </c>
      <c r="C867">
        <v>1980</v>
      </c>
      <c r="D867" t="s">
        <v>8</v>
      </c>
      <c r="E867" t="s">
        <v>6</v>
      </c>
      <c r="F867" t="s">
        <v>11</v>
      </c>
      <c r="G867">
        <v>77353</v>
      </c>
      <c r="H867">
        <v>1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f>SUM(Table1[[#This Row],[Gold Spending]]+Table1[[#This Row],[Sweet Spending]]+Table1[[#This Row],[Fish Spending]]+Table1[[#This Row],[Meat Spending]]+Table1[[#This Row],[Fruits Spending]]+Table1[[#This Row],[Wine Spending ]])</f>
        <v>670</v>
      </c>
      <c r="Q867">
        <v>2</v>
      </c>
      <c r="R867">
        <v>6</v>
      </c>
      <c r="S867">
        <v>4</v>
      </c>
      <c r="T867">
        <v>8</v>
      </c>
      <c r="U867">
        <f>SUM(Table1[[#This Row],[Store_Purchases]]+Table1[[#This Row],[Catalog_Purchases]]+Table1[[#This Row],[Web_Purchases]]+Table1[[#This Row],[Deal_Purchases]])</f>
        <v>20</v>
      </c>
      <c r="V867">
        <v>4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f>SUM(Table1[[#This Row],[Accepted_Campaign_2]]+Table1[[#This Row],[Accepted_Campaign_1]]+Table1[[#This Row],[Accepted_Campaign_5]]+Table1[[#This Row],[Accepted_Campaign_4]]+Table1[[#This Row],[Accepted_Campaign_3]])</f>
        <v>0</v>
      </c>
      <c r="AC867">
        <v>0</v>
      </c>
      <c r="AD867">
        <v>0</v>
      </c>
    </row>
    <row r="868" spans="1:30" x14ac:dyDescent="0.25">
      <c r="A868">
        <v>41575</v>
      </c>
      <c r="B868">
        <v>9185</v>
      </c>
      <c r="C868">
        <v>1966</v>
      </c>
      <c r="D868" t="s">
        <v>8</v>
      </c>
      <c r="E868" t="s">
        <v>14</v>
      </c>
      <c r="F868" t="s">
        <v>9</v>
      </c>
      <c r="G868">
        <v>69759</v>
      </c>
      <c r="H868">
        <v>0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f>SUM(Table1[[#This Row],[Gold Spending]]+Table1[[#This Row],[Sweet Spending]]+Table1[[#This Row],[Fish Spending]]+Table1[[#This Row],[Meat Spending]]+Table1[[#This Row],[Fruits Spending]]+Table1[[#This Row],[Wine Spending ]])</f>
        <v>1029</v>
      </c>
      <c r="Q868">
        <v>3</v>
      </c>
      <c r="R868">
        <v>4</v>
      </c>
      <c r="S868">
        <v>6</v>
      </c>
      <c r="T868">
        <v>5</v>
      </c>
      <c r="U868">
        <f>SUM(Table1[[#This Row],[Store_Purchases]]+Table1[[#This Row],[Catalog_Purchases]]+Table1[[#This Row],[Web_Purchases]]+Table1[[#This Row],[Deal_Purchases]])</f>
        <v>18</v>
      </c>
      <c r="V868">
        <v>3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f>SUM(Table1[[#This Row],[Accepted_Campaign_2]]+Table1[[#This Row],[Accepted_Campaign_1]]+Table1[[#This Row],[Accepted_Campaign_5]]+Table1[[#This Row],[Accepted_Campaign_4]]+Table1[[#This Row],[Accepted_Campaign_3]])</f>
        <v>0</v>
      </c>
      <c r="AC868">
        <v>1</v>
      </c>
      <c r="AD868">
        <v>0</v>
      </c>
    </row>
    <row r="869" spans="1:30" x14ac:dyDescent="0.25">
      <c r="A869">
        <v>41569</v>
      </c>
      <c r="B869">
        <v>905</v>
      </c>
      <c r="C869">
        <v>1986</v>
      </c>
      <c r="D869" t="s">
        <v>20</v>
      </c>
      <c r="E869" t="s">
        <v>6</v>
      </c>
      <c r="F869" t="s">
        <v>7</v>
      </c>
      <c r="G869">
        <v>21846</v>
      </c>
      <c r="H869">
        <v>1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f>SUM(Table1[[#This Row],[Gold Spending]]+Table1[[#This Row],[Sweet Spending]]+Table1[[#This Row],[Fish Spending]]+Table1[[#This Row],[Meat Spending]]+Table1[[#This Row],[Fruits Spending]]+Table1[[#This Row],[Wine Spending ]])</f>
        <v>84</v>
      </c>
      <c r="Q869">
        <v>4</v>
      </c>
      <c r="R869">
        <v>4</v>
      </c>
      <c r="S869">
        <v>0</v>
      </c>
      <c r="T869">
        <v>3</v>
      </c>
      <c r="U869">
        <f>SUM(Table1[[#This Row],[Store_Purchases]]+Table1[[#This Row],[Catalog_Purchases]]+Table1[[#This Row],[Web_Purchases]]+Table1[[#This Row],[Deal_Purchases]])</f>
        <v>11</v>
      </c>
      <c r="V869">
        <v>8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f>SUM(Table1[[#This Row],[Accepted_Campaign_2]]+Table1[[#This Row],[Accepted_Campaign_1]]+Table1[[#This Row],[Accepted_Campaign_5]]+Table1[[#This Row],[Accepted_Campaign_4]]+Table1[[#This Row],[Accepted_Campaign_3]])</f>
        <v>0</v>
      </c>
      <c r="AC869">
        <v>0</v>
      </c>
      <c r="AD869">
        <v>0</v>
      </c>
    </row>
    <row r="870" spans="1:30" x14ac:dyDescent="0.25">
      <c r="A870">
        <v>41526</v>
      </c>
      <c r="B870">
        <v>10858</v>
      </c>
      <c r="C870">
        <v>1975</v>
      </c>
      <c r="D870" t="s">
        <v>8</v>
      </c>
      <c r="E870" t="s">
        <v>6</v>
      </c>
      <c r="F870" t="s">
        <v>12</v>
      </c>
      <c r="G870">
        <v>76532</v>
      </c>
      <c r="H870">
        <v>2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f>SUM(Table1[[#This Row],[Gold Spending]]+Table1[[#This Row],[Sweet Spending]]+Table1[[#This Row],[Fish Spending]]+Table1[[#This Row],[Meat Spending]]+Table1[[#This Row],[Fruits Spending]]+Table1[[#This Row],[Wine Spending ]])</f>
        <v>820</v>
      </c>
      <c r="Q870">
        <v>4</v>
      </c>
      <c r="R870">
        <v>9</v>
      </c>
      <c r="S870">
        <v>5</v>
      </c>
      <c r="T870">
        <v>7</v>
      </c>
      <c r="U870">
        <f>SUM(Table1[[#This Row],[Store_Purchases]]+Table1[[#This Row],[Catalog_Purchases]]+Table1[[#This Row],[Web_Purchases]]+Table1[[#This Row],[Deal_Purchases]])</f>
        <v>25</v>
      </c>
      <c r="V870">
        <v>5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f>SUM(Table1[[#This Row],[Accepted_Campaign_2]]+Table1[[#This Row],[Accepted_Campaign_1]]+Table1[[#This Row],[Accepted_Campaign_5]]+Table1[[#This Row],[Accepted_Campaign_4]]+Table1[[#This Row],[Accepted_Campaign_3]])</f>
        <v>0</v>
      </c>
      <c r="AC870">
        <v>0</v>
      </c>
      <c r="AD870">
        <v>0</v>
      </c>
    </row>
    <row r="871" spans="1:30" x14ac:dyDescent="0.25">
      <c r="A871">
        <v>41458</v>
      </c>
      <c r="B871">
        <v>8925</v>
      </c>
      <c r="C871">
        <v>1965</v>
      </c>
      <c r="D871" t="s">
        <v>8</v>
      </c>
      <c r="E871" t="s">
        <v>18</v>
      </c>
      <c r="F871" t="s">
        <v>11</v>
      </c>
      <c r="G871">
        <v>70053</v>
      </c>
      <c r="H871">
        <v>1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f>SUM(Table1[[#This Row],[Gold Spending]]+Table1[[#This Row],[Sweet Spending]]+Table1[[#This Row],[Fish Spending]]+Table1[[#This Row],[Meat Spending]]+Table1[[#This Row],[Fruits Spending]]+Table1[[#This Row],[Wine Spending ]])</f>
        <v>1012</v>
      </c>
      <c r="Q871">
        <v>3</v>
      </c>
      <c r="R871">
        <v>8</v>
      </c>
      <c r="S871">
        <v>5</v>
      </c>
      <c r="T871">
        <v>10</v>
      </c>
      <c r="U871">
        <f>SUM(Table1[[#This Row],[Store_Purchases]]+Table1[[#This Row],[Catalog_Purchases]]+Table1[[#This Row],[Web_Purchases]]+Table1[[#This Row],[Deal_Purchases]])</f>
        <v>26</v>
      </c>
      <c r="V871">
        <v>5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f>SUM(Table1[[#This Row],[Accepted_Campaign_2]]+Table1[[#This Row],[Accepted_Campaign_1]]+Table1[[#This Row],[Accepted_Campaign_5]]+Table1[[#This Row],[Accepted_Campaign_4]]+Table1[[#This Row],[Accepted_Campaign_3]])</f>
        <v>0</v>
      </c>
      <c r="AC871">
        <v>0</v>
      </c>
      <c r="AD871">
        <v>0</v>
      </c>
    </row>
    <row r="872" spans="1:30" x14ac:dyDescent="0.25">
      <c r="A872">
        <v>41400</v>
      </c>
      <c r="B872">
        <v>2499</v>
      </c>
      <c r="C872">
        <v>1958</v>
      </c>
      <c r="D872" t="s">
        <v>8</v>
      </c>
      <c r="E872" t="s">
        <v>15</v>
      </c>
      <c r="F872" t="s">
        <v>9</v>
      </c>
      <c r="G872">
        <v>75342</v>
      </c>
      <c r="H872">
        <v>1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f>SUM(Table1[[#This Row],[Gold Spending]]+Table1[[#This Row],[Sweet Spending]]+Table1[[#This Row],[Fish Spending]]+Table1[[#This Row],[Meat Spending]]+Table1[[#This Row],[Fruits Spending]]+Table1[[#This Row],[Wine Spending ]])</f>
        <v>563</v>
      </c>
      <c r="Q872">
        <v>1</v>
      </c>
      <c r="R872">
        <v>5</v>
      </c>
      <c r="S872">
        <v>2</v>
      </c>
      <c r="T872">
        <v>10</v>
      </c>
      <c r="U872">
        <f>SUM(Table1[[#This Row],[Store_Purchases]]+Table1[[#This Row],[Catalog_Purchases]]+Table1[[#This Row],[Web_Purchases]]+Table1[[#This Row],[Deal_Purchases]])</f>
        <v>18</v>
      </c>
      <c r="V872">
        <v>4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f>SUM(Table1[[#This Row],[Accepted_Campaign_2]]+Table1[[#This Row],[Accepted_Campaign_1]]+Table1[[#This Row],[Accepted_Campaign_5]]+Table1[[#This Row],[Accepted_Campaign_4]]+Table1[[#This Row],[Accepted_Campaign_3]])</f>
        <v>0</v>
      </c>
      <c r="AC872">
        <v>0</v>
      </c>
      <c r="AD872">
        <v>0</v>
      </c>
    </row>
    <row r="873" spans="1:30" x14ac:dyDescent="0.25">
      <c r="A873">
        <v>41387</v>
      </c>
      <c r="B873">
        <v>1109</v>
      </c>
      <c r="C873">
        <v>1982</v>
      </c>
      <c r="D873" t="s">
        <v>8</v>
      </c>
      <c r="E873" t="s">
        <v>18</v>
      </c>
      <c r="F873" t="s">
        <v>12</v>
      </c>
      <c r="G873">
        <v>27590</v>
      </c>
      <c r="H873">
        <v>1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f>SUM(Table1[[#This Row],[Gold Spending]]+Table1[[#This Row],[Sweet Spending]]+Table1[[#This Row],[Fish Spending]]+Table1[[#This Row],[Meat Spending]]+Table1[[#This Row],[Fruits Spending]]+Table1[[#This Row],[Wine Spending ]])</f>
        <v>12</v>
      </c>
      <c r="Q873">
        <v>1</v>
      </c>
      <c r="R873">
        <v>1</v>
      </c>
      <c r="S873">
        <v>0</v>
      </c>
      <c r="T873">
        <v>2</v>
      </c>
      <c r="U873">
        <f>SUM(Table1[[#This Row],[Store_Purchases]]+Table1[[#This Row],[Catalog_Purchases]]+Table1[[#This Row],[Web_Purchases]]+Table1[[#This Row],[Deal_Purchases]])</f>
        <v>4</v>
      </c>
      <c r="V873">
        <v>7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f>SUM(Table1[[#This Row],[Accepted_Campaign_2]]+Table1[[#This Row],[Accepted_Campaign_1]]+Table1[[#This Row],[Accepted_Campaign_5]]+Table1[[#This Row],[Accepted_Campaign_4]]+Table1[[#This Row],[Accepted_Campaign_3]])</f>
        <v>0</v>
      </c>
      <c r="AC873">
        <v>0</v>
      </c>
      <c r="AD873">
        <v>0</v>
      </c>
    </row>
    <row r="874" spans="1:30" x14ac:dyDescent="0.25">
      <c r="A874">
        <v>41323</v>
      </c>
      <c r="B874">
        <v>326</v>
      </c>
      <c r="C874">
        <v>1973</v>
      </c>
      <c r="D874" t="s">
        <v>17</v>
      </c>
      <c r="E874" t="s">
        <v>6</v>
      </c>
      <c r="F874" t="s">
        <v>11</v>
      </c>
      <c r="G874">
        <v>51148</v>
      </c>
      <c r="H874">
        <v>2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f>SUM(Table1[[#This Row],[Gold Spending]]+Table1[[#This Row],[Sweet Spending]]+Table1[[#This Row],[Fish Spending]]+Table1[[#This Row],[Meat Spending]]+Table1[[#This Row],[Fruits Spending]]+Table1[[#This Row],[Wine Spending ]])</f>
        <v>315</v>
      </c>
      <c r="Q874">
        <v>4</v>
      </c>
      <c r="R874">
        <v>5</v>
      </c>
      <c r="S874">
        <v>1</v>
      </c>
      <c r="T874">
        <v>6</v>
      </c>
      <c r="U874">
        <f>SUM(Table1[[#This Row],[Store_Purchases]]+Table1[[#This Row],[Catalog_Purchases]]+Table1[[#This Row],[Web_Purchases]]+Table1[[#This Row],[Deal_Purchases]])</f>
        <v>16</v>
      </c>
      <c r="V874">
        <v>6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f>SUM(Table1[[#This Row],[Accepted_Campaign_2]]+Table1[[#This Row],[Accepted_Campaign_1]]+Table1[[#This Row],[Accepted_Campaign_5]]+Table1[[#This Row],[Accepted_Campaign_4]]+Table1[[#This Row],[Accepted_Campaign_3]])</f>
        <v>0</v>
      </c>
      <c r="AC874">
        <v>0</v>
      </c>
      <c r="AD874">
        <v>0</v>
      </c>
    </row>
    <row r="875" spans="1:30" x14ac:dyDescent="0.25">
      <c r="A875">
        <v>41311</v>
      </c>
      <c r="B875">
        <v>10967</v>
      </c>
      <c r="C875">
        <v>1963</v>
      </c>
      <c r="D875" t="s">
        <v>20</v>
      </c>
      <c r="E875" t="s">
        <v>6</v>
      </c>
      <c r="F875" t="s">
        <v>7</v>
      </c>
      <c r="G875">
        <v>33378</v>
      </c>
      <c r="H875">
        <v>2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f>SUM(Table1[[#This Row],[Gold Spending]]+Table1[[#This Row],[Sweet Spending]]+Table1[[#This Row],[Fish Spending]]+Table1[[#This Row],[Meat Spending]]+Table1[[#This Row],[Fruits Spending]]+Table1[[#This Row],[Wine Spending ]])</f>
        <v>99</v>
      </c>
      <c r="Q875">
        <v>3</v>
      </c>
      <c r="R875">
        <v>2</v>
      </c>
      <c r="S875">
        <v>0</v>
      </c>
      <c r="T875">
        <v>4</v>
      </c>
      <c r="U875">
        <f>SUM(Table1[[#This Row],[Store_Purchases]]+Table1[[#This Row],[Catalog_Purchases]]+Table1[[#This Row],[Web_Purchases]]+Table1[[#This Row],[Deal_Purchases]])</f>
        <v>9</v>
      </c>
      <c r="V875">
        <v>7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f>SUM(Table1[[#This Row],[Accepted_Campaign_2]]+Table1[[#This Row],[Accepted_Campaign_1]]+Table1[[#This Row],[Accepted_Campaign_5]]+Table1[[#This Row],[Accepted_Campaign_4]]+Table1[[#This Row],[Accepted_Campaign_3]])</f>
        <v>0</v>
      </c>
      <c r="AC875">
        <v>0</v>
      </c>
      <c r="AD875">
        <v>0</v>
      </c>
    </row>
    <row r="876" spans="1:30" x14ac:dyDescent="0.25">
      <c r="A876">
        <v>41290</v>
      </c>
      <c r="B876">
        <v>5370</v>
      </c>
      <c r="C876">
        <v>1973</v>
      </c>
      <c r="D876" t="s">
        <v>8</v>
      </c>
      <c r="E876" t="s">
        <v>14</v>
      </c>
      <c r="F876" t="s">
        <v>11</v>
      </c>
      <c r="G876">
        <v>32644</v>
      </c>
      <c r="H876">
        <v>1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f>SUM(Table1[[#This Row],[Gold Spending]]+Table1[[#This Row],[Sweet Spending]]+Table1[[#This Row],[Fish Spending]]+Table1[[#This Row],[Meat Spending]]+Table1[[#This Row],[Fruits Spending]]+Table1[[#This Row],[Wine Spending ]])</f>
        <v>413</v>
      </c>
      <c r="Q876">
        <v>4</v>
      </c>
      <c r="R876">
        <v>7</v>
      </c>
      <c r="S876">
        <v>1</v>
      </c>
      <c r="T876">
        <v>6</v>
      </c>
      <c r="U876">
        <f>SUM(Table1[[#This Row],[Store_Purchases]]+Table1[[#This Row],[Catalog_Purchases]]+Table1[[#This Row],[Web_Purchases]]+Table1[[#This Row],[Deal_Purchases]])</f>
        <v>18</v>
      </c>
      <c r="V876">
        <v>8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f>SUM(Table1[[#This Row],[Accepted_Campaign_2]]+Table1[[#This Row],[Accepted_Campaign_1]]+Table1[[#This Row],[Accepted_Campaign_5]]+Table1[[#This Row],[Accepted_Campaign_4]]+Table1[[#This Row],[Accepted_Campaign_3]])</f>
        <v>1</v>
      </c>
      <c r="AC876">
        <v>0</v>
      </c>
      <c r="AD876">
        <v>0</v>
      </c>
    </row>
    <row r="877" spans="1:30" x14ac:dyDescent="0.25">
      <c r="A877">
        <v>41282</v>
      </c>
      <c r="B877">
        <v>2098</v>
      </c>
      <c r="C877">
        <v>1969</v>
      </c>
      <c r="D877" t="s">
        <v>8</v>
      </c>
      <c r="E877" t="s">
        <v>14</v>
      </c>
      <c r="F877" t="s">
        <v>11</v>
      </c>
      <c r="G877">
        <v>33581</v>
      </c>
      <c r="H877">
        <v>2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f>SUM(Table1[[#This Row],[Gold Spending]]+Table1[[#This Row],[Sweet Spending]]+Table1[[#This Row],[Fish Spending]]+Table1[[#This Row],[Meat Spending]]+Table1[[#This Row],[Fruits Spending]]+Table1[[#This Row],[Wine Spending ]])</f>
        <v>17</v>
      </c>
      <c r="Q877">
        <v>1</v>
      </c>
      <c r="R877">
        <v>1</v>
      </c>
      <c r="S877">
        <v>0</v>
      </c>
      <c r="T877">
        <v>2</v>
      </c>
      <c r="U877">
        <f>SUM(Table1[[#This Row],[Store_Purchases]]+Table1[[#This Row],[Catalog_Purchases]]+Table1[[#This Row],[Web_Purchases]]+Table1[[#This Row],[Deal_Purchases]])</f>
        <v>4</v>
      </c>
      <c r="V877">
        <v>8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f>SUM(Table1[[#This Row],[Accepted_Campaign_2]]+Table1[[#This Row],[Accepted_Campaign_1]]+Table1[[#This Row],[Accepted_Campaign_5]]+Table1[[#This Row],[Accepted_Campaign_4]]+Table1[[#This Row],[Accepted_Campaign_3]])</f>
        <v>0</v>
      </c>
      <c r="AC877">
        <v>0</v>
      </c>
      <c r="AD877">
        <v>0</v>
      </c>
    </row>
    <row r="878" spans="1:30" x14ac:dyDescent="0.25">
      <c r="A878">
        <v>41247</v>
      </c>
      <c r="B878">
        <v>1773</v>
      </c>
      <c r="C878">
        <v>1978</v>
      </c>
      <c r="D878" t="s">
        <v>20</v>
      </c>
      <c r="E878" t="s">
        <v>15</v>
      </c>
      <c r="F878" t="s">
        <v>11</v>
      </c>
      <c r="G878">
        <v>12393</v>
      </c>
      <c r="H878">
        <v>0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878">
        <v>1</v>
      </c>
      <c r="R878">
        <v>2</v>
      </c>
      <c r="S878">
        <v>0</v>
      </c>
      <c r="T878">
        <v>3</v>
      </c>
      <c r="U878">
        <f>SUM(Table1[[#This Row],[Store_Purchases]]+Table1[[#This Row],[Catalog_Purchases]]+Table1[[#This Row],[Web_Purchases]]+Table1[[#This Row],[Deal_Purchases]])</f>
        <v>6</v>
      </c>
      <c r="V878">
        <v>9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f>SUM(Table1[[#This Row],[Accepted_Campaign_2]]+Table1[[#This Row],[Accepted_Campaign_1]]+Table1[[#This Row],[Accepted_Campaign_5]]+Table1[[#This Row],[Accepted_Campaign_4]]+Table1[[#This Row],[Accepted_Campaign_3]])</f>
        <v>0</v>
      </c>
      <c r="AC878">
        <v>0</v>
      </c>
      <c r="AD878">
        <v>0</v>
      </c>
    </row>
    <row r="879" spans="1:30" x14ac:dyDescent="0.25">
      <c r="A879">
        <v>41241</v>
      </c>
      <c r="B879">
        <v>5036</v>
      </c>
      <c r="C879">
        <v>1984</v>
      </c>
      <c r="D879" t="s">
        <v>8</v>
      </c>
      <c r="E879" t="s">
        <v>14</v>
      </c>
      <c r="F879" t="s">
        <v>9</v>
      </c>
      <c r="G879">
        <v>42710</v>
      </c>
      <c r="H879">
        <v>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f>SUM(Table1[[#This Row],[Gold Spending]]+Table1[[#This Row],[Sweet Spending]]+Table1[[#This Row],[Fish Spending]]+Table1[[#This Row],[Meat Spending]]+Table1[[#This Row],[Fruits Spending]]+Table1[[#This Row],[Wine Spending ]])</f>
        <v>406</v>
      </c>
      <c r="Q879">
        <v>2</v>
      </c>
      <c r="R879">
        <v>4</v>
      </c>
      <c r="S879">
        <v>5</v>
      </c>
      <c r="T879">
        <v>3</v>
      </c>
      <c r="U879">
        <f>SUM(Table1[[#This Row],[Store_Purchases]]+Table1[[#This Row],[Catalog_Purchases]]+Table1[[#This Row],[Web_Purchases]]+Table1[[#This Row],[Deal_Purchases]])</f>
        <v>14</v>
      </c>
      <c r="V879">
        <v>6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f>SUM(Table1[[#This Row],[Accepted_Campaign_2]]+Table1[[#This Row],[Accepted_Campaign_1]]+Table1[[#This Row],[Accepted_Campaign_5]]+Table1[[#This Row],[Accepted_Campaign_4]]+Table1[[#This Row],[Accepted_Campaign_3]])</f>
        <v>0</v>
      </c>
      <c r="AC879">
        <v>0</v>
      </c>
      <c r="AD879">
        <v>0</v>
      </c>
    </row>
    <row r="880" spans="1:30" x14ac:dyDescent="0.25">
      <c r="A880">
        <v>41219</v>
      </c>
      <c r="B880">
        <v>4856</v>
      </c>
      <c r="C880">
        <v>1957</v>
      </c>
      <c r="D880" t="s">
        <v>17</v>
      </c>
      <c r="E880" t="s">
        <v>15</v>
      </c>
      <c r="F880" t="s">
        <v>11</v>
      </c>
      <c r="G880">
        <v>82347</v>
      </c>
      <c r="H880">
        <v>0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f>SUM(Table1[[#This Row],[Gold Spending]]+Table1[[#This Row],[Sweet Spending]]+Table1[[#This Row],[Fish Spending]]+Table1[[#This Row],[Meat Spending]]+Table1[[#This Row],[Fruits Spending]]+Table1[[#This Row],[Wine Spending ]])</f>
        <v>1853</v>
      </c>
      <c r="Q880">
        <v>1</v>
      </c>
      <c r="R880">
        <v>7</v>
      </c>
      <c r="S880">
        <v>7</v>
      </c>
      <c r="T880">
        <v>10</v>
      </c>
      <c r="U880">
        <f>SUM(Table1[[#This Row],[Store_Purchases]]+Table1[[#This Row],[Catalog_Purchases]]+Table1[[#This Row],[Web_Purchases]]+Table1[[#This Row],[Deal_Purchases]])</f>
        <v>25</v>
      </c>
      <c r="V880">
        <v>3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f>SUM(Table1[[#This Row],[Accepted_Campaign_2]]+Table1[[#This Row],[Accepted_Campaign_1]]+Table1[[#This Row],[Accepted_Campaign_5]]+Table1[[#This Row],[Accepted_Campaign_4]]+Table1[[#This Row],[Accepted_Campaign_3]])</f>
        <v>2</v>
      </c>
      <c r="AC880">
        <v>0</v>
      </c>
      <c r="AD880">
        <v>0</v>
      </c>
    </row>
    <row r="881" spans="1:30" x14ac:dyDescent="0.25">
      <c r="A881">
        <v>41219</v>
      </c>
      <c r="B881">
        <v>8722</v>
      </c>
      <c r="C881">
        <v>1957</v>
      </c>
      <c r="D881" t="s">
        <v>10</v>
      </c>
      <c r="E881" t="s">
        <v>15</v>
      </c>
      <c r="F881" t="s">
        <v>11</v>
      </c>
      <c r="G881">
        <v>82347</v>
      </c>
      <c r="H881">
        <v>0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f>SUM(Table1[[#This Row],[Gold Spending]]+Table1[[#This Row],[Sweet Spending]]+Table1[[#This Row],[Fish Spending]]+Table1[[#This Row],[Meat Spending]]+Table1[[#This Row],[Fruits Spending]]+Table1[[#This Row],[Wine Spending ]])</f>
        <v>1853</v>
      </c>
      <c r="Q881">
        <v>1</v>
      </c>
      <c r="R881">
        <v>7</v>
      </c>
      <c r="S881">
        <v>7</v>
      </c>
      <c r="T881">
        <v>10</v>
      </c>
      <c r="U881">
        <f>SUM(Table1[[#This Row],[Store_Purchases]]+Table1[[#This Row],[Catalog_Purchases]]+Table1[[#This Row],[Web_Purchases]]+Table1[[#This Row],[Deal_Purchases]])</f>
        <v>25</v>
      </c>
      <c r="V881">
        <v>3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f>SUM(Table1[[#This Row],[Accepted_Campaign_2]]+Table1[[#This Row],[Accepted_Campaign_1]]+Table1[[#This Row],[Accepted_Campaign_5]]+Table1[[#This Row],[Accepted_Campaign_4]]+Table1[[#This Row],[Accepted_Campaign_3]])</f>
        <v>2</v>
      </c>
      <c r="AC881">
        <v>1</v>
      </c>
      <c r="AD881">
        <v>0</v>
      </c>
    </row>
    <row r="882" spans="1:30" x14ac:dyDescent="0.25">
      <c r="A882">
        <v>41216</v>
      </c>
      <c r="B882">
        <v>2156</v>
      </c>
      <c r="C882">
        <v>1955</v>
      </c>
      <c r="D882" t="s">
        <v>8</v>
      </c>
      <c r="E882" t="s">
        <v>14</v>
      </c>
      <c r="F882" t="s">
        <v>11</v>
      </c>
      <c r="G882">
        <v>22554</v>
      </c>
      <c r="H882">
        <v>2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f>SUM(Table1[[#This Row],[Gold Spending]]+Table1[[#This Row],[Sweet Spending]]+Table1[[#This Row],[Fish Spending]]+Table1[[#This Row],[Meat Spending]]+Table1[[#This Row],[Fruits Spending]]+Table1[[#This Row],[Wine Spending ]])</f>
        <v>41</v>
      </c>
      <c r="Q882">
        <v>4</v>
      </c>
      <c r="R882">
        <v>2</v>
      </c>
      <c r="S882">
        <v>0</v>
      </c>
      <c r="T882">
        <v>4</v>
      </c>
      <c r="U882">
        <f>SUM(Table1[[#This Row],[Store_Purchases]]+Table1[[#This Row],[Catalog_Purchases]]+Table1[[#This Row],[Web_Purchases]]+Table1[[#This Row],[Deal_Purchases]])</f>
        <v>10</v>
      </c>
      <c r="V882">
        <v>5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f>SUM(Table1[[#This Row],[Accepted_Campaign_2]]+Table1[[#This Row],[Accepted_Campaign_1]]+Table1[[#This Row],[Accepted_Campaign_5]]+Table1[[#This Row],[Accepted_Campaign_4]]+Table1[[#This Row],[Accepted_Campaign_3]])</f>
        <v>0</v>
      </c>
      <c r="AC882">
        <v>0</v>
      </c>
      <c r="AD882">
        <v>0</v>
      </c>
    </row>
    <row r="883" spans="1:30" x14ac:dyDescent="0.25">
      <c r="A883">
        <v>41192</v>
      </c>
      <c r="B883">
        <v>2569</v>
      </c>
      <c r="C883">
        <v>1987</v>
      </c>
      <c r="D883" t="s">
        <v>63</v>
      </c>
      <c r="E883" t="s">
        <v>6</v>
      </c>
      <c r="F883" t="s">
        <v>11</v>
      </c>
      <c r="G883">
        <v>17323</v>
      </c>
      <c r="H883">
        <v>0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883">
        <v>1</v>
      </c>
      <c r="R883">
        <v>1</v>
      </c>
      <c r="S883">
        <v>0</v>
      </c>
      <c r="T883">
        <v>3</v>
      </c>
      <c r="U883">
        <f>SUM(Table1[[#This Row],[Store_Purchases]]+Table1[[#This Row],[Catalog_Purchases]]+Table1[[#This Row],[Web_Purchases]]+Table1[[#This Row],[Deal_Purchases]])</f>
        <v>5</v>
      </c>
      <c r="V883">
        <v>8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f>SUM(Table1[[#This Row],[Accepted_Campaign_2]]+Table1[[#This Row],[Accepted_Campaign_1]]+Table1[[#This Row],[Accepted_Campaign_5]]+Table1[[#This Row],[Accepted_Campaign_4]]+Table1[[#This Row],[Accepted_Campaign_3]])</f>
        <v>0</v>
      </c>
      <c r="AC883">
        <v>0</v>
      </c>
      <c r="AD883">
        <v>0</v>
      </c>
    </row>
    <row r="884" spans="1:30" x14ac:dyDescent="0.25">
      <c r="A884">
        <v>41164</v>
      </c>
      <c r="B884">
        <v>10151</v>
      </c>
      <c r="C884">
        <v>1960</v>
      </c>
      <c r="D884" t="s">
        <v>8</v>
      </c>
      <c r="E884" t="s">
        <v>6</v>
      </c>
      <c r="F884" t="s">
        <v>7</v>
      </c>
      <c r="G884">
        <v>62204</v>
      </c>
      <c r="H884">
        <v>2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f>SUM(Table1[[#This Row],[Gold Spending]]+Table1[[#This Row],[Sweet Spending]]+Table1[[#This Row],[Fish Spending]]+Table1[[#This Row],[Meat Spending]]+Table1[[#This Row],[Fruits Spending]]+Table1[[#This Row],[Wine Spending ]])</f>
        <v>946</v>
      </c>
      <c r="Q884">
        <v>1</v>
      </c>
      <c r="R884">
        <v>4</v>
      </c>
      <c r="S884">
        <v>5</v>
      </c>
      <c r="T884">
        <v>12</v>
      </c>
      <c r="U884">
        <f>SUM(Table1[[#This Row],[Store_Purchases]]+Table1[[#This Row],[Catalog_Purchases]]+Table1[[#This Row],[Web_Purchases]]+Table1[[#This Row],[Deal_Purchases]])</f>
        <v>22</v>
      </c>
      <c r="V884">
        <v>3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f>SUM(Table1[[#This Row],[Accepted_Campaign_2]]+Table1[[#This Row],[Accepted_Campaign_1]]+Table1[[#This Row],[Accepted_Campaign_5]]+Table1[[#This Row],[Accepted_Campaign_4]]+Table1[[#This Row],[Accepted_Campaign_3]])</f>
        <v>0</v>
      </c>
      <c r="AC884">
        <v>0</v>
      </c>
      <c r="AD884">
        <v>0</v>
      </c>
    </row>
    <row r="885" spans="1:30" x14ac:dyDescent="0.25">
      <c r="A885">
        <v>41162</v>
      </c>
      <c r="B885">
        <v>10473</v>
      </c>
      <c r="C885">
        <v>1956</v>
      </c>
      <c r="D885" t="s">
        <v>8</v>
      </c>
      <c r="E885" t="s">
        <v>14</v>
      </c>
      <c r="F885" t="s">
        <v>19</v>
      </c>
      <c r="G885">
        <v>78028</v>
      </c>
      <c r="H885">
        <v>1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f>SUM(Table1[[#This Row],[Gold Spending]]+Table1[[#This Row],[Sweet Spending]]+Table1[[#This Row],[Fish Spending]]+Table1[[#This Row],[Meat Spending]]+Table1[[#This Row],[Fruits Spending]]+Table1[[#This Row],[Wine Spending ]])</f>
        <v>528</v>
      </c>
      <c r="Q885">
        <v>1</v>
      </c>
      <c r="R885">
        <v>6</v>
      </c>
      <c r="S885">
        <v>4</v>
      </c>
      <c r="T885">
        <v>9</v>
      </c>
      <c r="U885">
        <f>SUM(Table1[[#This Row],[Store_Purchases]]+Table1[[#This Row],[Catalog_Purchases]]+Table1[[#This Row],[Web_Purchases]]+Table1[[#This Row],[Deal_Purchases]])</f>
        <v>20</v>
      </c>
      <c r="V885">
        <v>7</v>
      </c>
      <c r="W885">
        <v>0</v>
      </c>
      <c r="X885">
        <v>1</v>
      </c>
      <c r="Y885">
        <v>1</v>
      </c>
      <c r="Z885">
        <v>0</v>
      </c>
      <c r="AA885">
        <v>0</v>
      </c>
      <c r="AB885">
        <f>SUM(Table1[[#This Row],[Accepted_Campaign_2]]+Table1[[#This Row],[Accepted_Campaign_1]]+Table1[[#This Row],[Accepted_Campaign_5]]+Table1[[#This Row],[Accepted_Campaign_4]]+Table1[[#This Row],[Accepted_Campaign_3]])</f>
        <v>2</v>
      </c>
      <c r="AC885">
        <v>1</v>
      </c>
      <c r="AD885">
        <v>0</v>
      </c>
    </row>
    <row r="886" spans="1:30" x14ac:dyDescent="0.25">
      <c r="A886">
        <v>41160</v>
      </c>
      <c r="B886">
        <v>7079</v>
      </c>
      <c r="C886">
        <v>1962</v>
      </c>
      <c r="D886" t="s">
        <v>20</v>
      </c>
      <c r="E886" t="s">
        <v>6</v>
      </c>
      <c r="F886" t="s">
        <v>7</v>
      </c>
      <c r="G886">
        <v>63887</v>
      </c>
      <c r="H886">
        <v>1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f>SUM(Table1[[#This Row],[Gold Spending]]+Table1[[#This Row],[Sweet Spending]]+Table1[[#This Row],[Fish Spending]]+Table1[[#This Row],[Meat Spending]]+Table1[[#This Row],[Fruits Spending]]+Table1[[#This Row],[Wine Spending ]])</f>
        <v>1245</v>
      </c>
      <c r="Q886">
        <v>5</v>
      </c>
      <c r="R886">
        <v>9</v>
      </c>
      <c r="S886">
        <v>6</v>
      </c>
      <c r="T886">
        <v>12</v>
      </c>
      <c r="U886">
        <f>SUM(Table1[[#This Row],[Store_Purchases]]+Table1[[#This Row],[Catalog_Purchases]]+Table1[[#This Row],[Web_Purchases]]+Table1[[#This Row],[Deal_Purchases]])</f>
        <v>32</v>
      </c>
      <c r="V886">
        <v>6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f>SUM(Table1[[#This Row],[Accepted_Campaign_2]]+Table1[[#This Row],[Accepted_Campaign_1]]+Table1[[#This Row],[Accepted_Campaign_5]]+Table1[[#This Row],[Accepted_Campaign_4]]+Table1[[#This Row],[Accepted_Campaign_3]])</f>
        <v>0</v>
      </c>
      <c r="AC886">
        <v>0</v>
      </c>
      <c r="AD886">
        <v>0</v>
      </c>
    </row>
    <row r="887" spans="1:30" x14ac:dyDescent="0.25">
      <c r="A887">
        <v>41149</v>
      </c>
      <c r="B887">
        <v>6875</v>
      </c>
      <c r="C887">
        <v>1965</v>
      </c>
      <c r="D887" t="s">
        <v>10</v>
      </c>
      <c r="E887" t="s">
        <v>14</v>
      </c>
      <c r="F887" t="s">
        <v>12</v>
      </c>
      <c r="G887">
        <v>32727</v>
      </c>
      <c r="H887">
        <v>0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f>SUM(Table1[[#This Row],[Gold Spending]]+Table1[[#This Row],[Sweet Spending]]+Table1[[#This Row],[Fish Spending]]+Table1[[#This Row],[Meat Spending]]+Table1[[#This Row],[Fruits Spending]]+Table1[[#This Row],[Wine Spending ]])</f>
        <v>529</v>
      </c>
      <c r="Q887">
        <v>2</v>
      </c>
      <c r="R887">
        <v>7</v>
      </c>
      <c r="S887">
        <v>3</v>
      </c>
      <c r="T887">
        <v>5</v>
      </c>
      <c r="U887">
        <f>SUM(Table1[[#This Row],[Store_Purchases]]+Table1[[#This Row],[Catalog_Purchases]]+Table1[[#This Row],[Web_Purchases]]+Table1[[#This Row],[Deal_Purchases]])</f>
        <v>17</v>
      </c>
      <c r="V887">
        <v>8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f>SUM(Table1[[#This Row],[Accepted_Campaign_2]]+Table1[[#This Row],[Accepted_Campaign_1]]+Table1[[#This Row],[Accepted_Campaign_5]]+Table1[[#This Row],[Accepted_Campaign_4]]+Table1[[#This Row],[Accepted_Campaign_3]])</f>
        <v>0</v>
      </c>
      <c r="AC887">
        <v>0</v>
      </c>
      <c r="AD887">
        <v>0</v>
      </c>
    </row>
    <row r="888" spans="1:30" x14ac:dyDescent="0.25">
      <c r="A888">
        <v>41148</v>
      </c>
      <c r="B888">
        <v>6728</v>
      </c>
      <c r="C888">
        <v>1985</v>
      </c>
      <c r="D888" t="s">
        <v>8</v>
      </c>
      <c r="E888" t="s">
        <v>6</v>
      </c>
      <c r="F888" t="s">
        <v>12</v>
      </c>
      <c r="G888">
        <v>29103</v>
      </c>
      <c r="H888">
        <v>1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f>SUM(Table1[[#This Row],[Gold Spending]]+Table1[[#This Row],[Sweet Spending]]+Table1[[#This Row],[Fish Spending]]+Table1[[#This Row],[Meat Spending]]+Table1[[#This Row],[Fruits Spending]]+Table1[[#This Row],[Wine Spending ]])</f>
        <v>48</v>
      </c>
      <c r="Q888">
        <v>2</v>
      </c>
      <c r="R888">
        <v>1</v>
      </c>
      <c r="S888">
        <v>0</v>
      </c>
      <c r="T888">
        <v>3</v>
      </c>
      <c r="U888">
        <f>SUM(Table1[[#This Row],[Store_Purchases]]+Table1[[#This Row],[Catalog_Purchases]]+Table1[[#This Row],[Web_Purchases]]+Table1[[#This Row],[Deal_Purchases]])</f>
        <v>6</v>
      </c>
      <c r="V888">
        <v>9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f>SUM(Table1[[#This Row],[Accepted_Campaign_2]]+Table1[[#This Row],[Accepted_Campaign_1]]+Table1[[#This Row],[Accepted_Campaign_5]]+Table1[[#This Row],[Accepted_Campaign_4]]+Table1[[#This Row],[Accepted_Campaign_3]])</f>
        <v>0</v>
      </c>
      <c r="AC888">
        <v>0</v>
      </c>
      <c r="AD888">
        <v>0</v>
      </c>
    </row>
    <row r="889" spans="1:30" x14ac:dyDescent="0.25">
      <c r="A889">
        <v>41817</v>
      </c>
      <c r="B889">
        <v>2471</v>
      </c>
      <c r="C889">
        <v>1965</v>
      </c>
      <c r="D889" t="s">
        <v>20</v>
      </c>
      <c r="E889" t="s">
        <v>6</v>
      </c>
      <c r="F889" t="s">
        <v>11</v>
      </c>
      <c r="G889">
        <v>61482</v>
      </c>
      <c r="H889">
        <v>0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f>SUM(Table1[[#This Row],[Gold Spending]]+Table1[[#This Row],[Sweet Spending]]+Table1[[#This Row],[Fish Spending]]+Table1[[#This Row],[Meat Spending]]+Table1[[#This Row],[Fruits Spending]]+Table1[[#This Row],[Wine Spending ]])</f>
        <v>299</v>
      </c>
      <c r="Q889">
        <v>1</v>
      </c>
      <c r="R889">
        <v>3</v>
      </c>
      <c r="S889">
        <v>2</v>
      </c>
      <c r="T889">
        <v>6</v>
      </c>
      <c r="U889">
        <f>SUM(Table1[[#This Row],[Store_Purchases]]+Table1[[#This Row],[Catalog_Purchases]]+Table1[[#This Row],[Web_Purchases]]+Table1[[#This Row],[Deal_Purchases]])</f>
        <v>12</v>
      </c>
      <c r="V889">
        <v>2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f>SUM(Table1[[#This Row],[Accepted_Campaign_2]]+Table1[[#This Row],[Accepted_Campaign_1]]+Table1[[#This Row],[Accepted_Campaign_5]]+Table1[[#This Row],[Accepted_Campaign_4]]+Table1[[#This Row],[Accepted_Campaign_3]])</f>
        <v>0</v>
      </c>
      <c r="AC889">
        <v>0</v>
      </c>
      <c r="AD889">
        <v>0</v>
      </c>
    </row>
    <row r="890" spans="1:30" x14ac:dyDescent="0.25">
      <c r="A890">
        <v>41770</v>
      </c>
      <c r="B890">
        <v>49</v>
      </c>
      <c r="C890">
        <v>1970</v>
      </c>
      <c r="D890" t="s">
        <v>10</v>
      </c>
      <c r="E890" t="s">
        <v>6</v>
      </c>
      <c r="F890" t="s">
        <v>9</v>
      </c>
      <c r="G890">
        <v>20587</v>
      </c>
      <c r="H890">
        <v>1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f>SUM(Table1[[#This Row],[Gold Spending]]+Table1[[#This Row],[Sweet Spending]]+Table1[[#This Row],[Fish Spending]]+Table1[[#This Row],[Meat Spending]]+Table1[[#This Row],[Fruits Spending]]+Table1[[#This Row],[Wine Spending ]])</f>
        <v>25</v>
      </c>
      <c r="Q890">
        <v>1</v>
      </c>
      <c r="R890">
        <v>1</v>
      </c>
      <c r="S890">
        <v>1</v>
      </c>
      <c r="T890">
        <v>2</v>
      </c>
      <c r="U890">
        <f>SUM(Table1[[#This Row],[Store_Purchases]]+Table1[[#This Row],[Catalog_Purchases]]+Table1[[#This Row],[Web_Purchases]]+Table1[[#This Row],[Deal_Purchases]])</f>
        <v>5</v>
      </c>
      <c r="V890">
        <v>7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f>SUM(Table1[[#This Row],[Accepted_Campaign_2]]+Table1[[#This Row],[Accepted_Campaign_1]]+Table1[[#This Row],[Accepted_Campaign_5]]+Table1[[#This Row],[Accepted_Campaign_4]]+Table1[[#This Row],[Accepted_Campaign_3]])</f>
        <v>0</v>
      </c>
      <c r="AC890">
        <v>0</v>
      </c>
      <c r="AD890">
        <v>0</v>
      </c>
    </row>
    <row r="891" spans="1:30" x14ac:dyDescent="0.25">
      <c r="A891">
        <v>41770</v>
      </c>
      <c r="B891">
        <v>4973</v>
      </c>
      <c r="C891">
        <v>1970</v>
      </c>
      <c r="D891" t="s">
        <v>10</v>
      </c>
      <c r="E891" t="s">
        <v>6</v>
      </c>
      <c r="F891" t="s">
        <v>9</v>
      </c>
      <c r="G891">
        <v>20587</v>
      </c>
      <c r="H891">
        <v>1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f>SUM(Table1[[#This Row],[Gold Spending]]+Table1[[#This Row],[Sweet Spending]]+Table1[[#This Row],[Fish Spending]]+Table1[[#This Row],[Meat Spending]]+Table1[[#This Row],[Fruits Spending]]+Table1[[#This Row],[Wine Spending ]])</f>
        <v>25</v>
      </c>
      <c r="Q891">
        <v>1</v>
      </c>
      <c r="R891">
        <v>1</v>
      </c>
      <c r="S891">
        <v>1</v>
      </c>
      <c r="T891">
        <v>2</v>
      </c>
      <c r="U891">
        <f>SUM(Table1[[#This Row],[Store_Purchases]]+Table1[[#This Row],[Catalog_Purchases]]+Table1[[#This Row],[Web_Purchases]]+Table1[[#This Row],[Deal_Purchases]])</f>
        <v>5</v>
      </c>
      <c r="V891">
        <v>7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f>SUM(Table1[[#This Row],[Accepted_Campaign_2]]+Table1[[#This Row],[Accepted_Campaign_1]]+Table1[[#This Row],[Accepted_Campaign_5]]+Table1[[#This Row],[Accepted_Campaign_4]]+Table1[[#This Row],[Accepted_Campaign_3]])</f>
        <v>0</v>
      </c>
      <c r="AC891">
        <v>0</v>
      </c>
      <c r="AD891">
        <v>0</v>
      </c>
    </row>
    <row r="892" spans="1:30" x14ac:dyDescent="0.25">
      <c r="A892">
        <v>41767</v>
      </c>
      <c r="B892">
        <v>6387</v>
      </c>
      <c r="C892">
        <v>1976</v>
      </c>
      <c r="D892" t="s">
        <v>20</v>
      </c>
      <c r="E892" t="s">
        <v>14</v>
      </c>
      <c r="F892" t="s">
        <v>12</v>
      </c>
      <c r="G892">
        <v>52190</v>
      </c>
      <c r="H892">
        <v>2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f>SUM(Table1[[#This Row],[Gold Spending]]+Table1[[#This Row],[Sweet Spending]]+Table1[[#This Row],[Fish Spending]]+Table1[[#This Row],[Meat Spending]]+Table1[[#This Row],[Fruits Spending]]+Table1[[#This Row],[Wine Spending ]])</f>
        <v>77</v>
      </c>
      <c r="Q892">
        <v>3</v>
      </c>
      <c r="R892">
        <v>2</v>
      </c>
      <c r="S892">
        <v>1</v>
      </c>
      <c r="T892">
        <v>3</v>
      </c>
      <c r="U892">
        <f>SUM(Table1[[#This Row],[Store_Purchases]]+Table1[[#This Row],[Catalog_Purchases]]+Table1[[#This Row],[Web_Purchases]]+Table1[[#This Row],[Deal_Purchases]])</f>
        <v>9</v>
      </c>
      <c r="V892">
        <v>5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f>SUM(Table1[[#This Row],[Accepted_Campaign_2]]+Table1[[#This Row],[Accepted_Campaign_1]]+Table1[[#This Row],[Accepted_Campaign_5]]+Table1[[#This Row],[Accepted_Campaign_4]]+Table1[[#This Row],[Accepted_Campaign_3]])</f>
        <v>1</v>
      </c>
      <c r="AC892">
        <v>0</v>
      </c>
      <c r="AD892">
        <v>0</v>
      </c>
    </row>
    <row r="893" spans="1:30" x14ac:dyDescent="0.25">
      <c r="A893">
        <v>41718</v>
      </c>
      <c r="B893">
        <v>5866</v>
      </c>
      <c r="C893">
        <v>1974</v>
      </c>
      <c r="D893" t="s">
        <v>8</v>
      </c>
      <c r="E893" t="s">
        <v>6</v>
      </c>
      <c r="F893" t="s">
        <v>12</v>
      </c>
      <c r="G893">
        <v>48186</v>
      </c>
      <c r="H893">
        <v>1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f>SUM(Table1[[#This Row],[Gold Spending]]+Table1[[#This Row],[Sweet Spending]]+Table1[[#This Row],[Fish Spending]]+Table1[[#This Row],[Meat Spending]]+Table1[[#This Row],[Fruits Spending]]+Table1[[#This Row],[Wine Spending ]])</f>
        <v>219</v>
      </c>
      <c r="Q893">
        <v>3</v>
      </c>
      <c r="R893">
        <v>4</v>
      </c>
      <c r="S893">
        <v>1</v>
      </c>
      <c r="T893">
        <v>4</v>
      </c>
      <c r="U893">
        <f>SUM(Table1[[#This Row],[Store_Purchases]]+Table1[[#This Row],[Catalog_Purchases]]+Table1[[#This Row],[Web_Purchases]]+Table1[[#This Row],[Deal_Purchases]])</f>
        <v>12</v>
      </c>
      <c r="V893">
        <v>7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f>SUM(Table1[[#This Row],[Accepted_Campaign_2]]+Table1[[#This Row],[Accepted_Campaign_1]]+Table1[[#This Row],[Accepted_Campaign_5]]+Table1[[#This Row],[Accepted_Campaign_4]]+Table1[[#This Row],[Accepted_Campaign_3]])</f>
        <v>0</v>
      </c>
      <c r="AC893">
        <v>0</v>
      </c>
      <c r="AD893">
        <v>0</v>
      </c>
    </row>
    <row r="894" spans="1:30" x14ac:dyDescent="0.25">
      <c r="A894">
        <v>41622</v>
      </c>
      <c r="B894">
        <v>8523</v>
      </c>
      <c r="C894">
        <v>1968</v>
      </c>
      <c r="D894" t="s">
        <v>10</v>
      </c>
      <c r="E894" t="s">
        <v>6</v>
      </c>
      <c r="F894" t="s">
        <v>11</v>
      </c>
      <c r="G894">
        <v>19329</v>
      </c>
      <c r="H894">
        <v>1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f>SUM(Table1[[#This Row],[Gold Spending]]+Table1[[#This Row],[Sweet Spending]]+Table1[[#This Row],[Fish Spending]]+Table1[[#This Row],[Meat Spending]]+Table1[[#This Row],[Fruits Spending]]+Table1[[#This Row],[Wine Spending ]])</f>
        <v>60</v>
      </c>
      <c r="Q894">
        <v>3</v>
      </c>
      <c r="R894">
        <v>4</v>
      </c>
      <c r="S894">
        <v>0</v>
      </c>
      <c r="T894">
        <v>3</v>
      </c>
      <c r="U894">
        <f>SUM(Table1[[#This Row],[Store_Purchases]]+Table1[[#This Row],[Catalog_Purchases]]+Table1[[#This Row],[Web_Purchases]]+Table1[[#This Row],[Deal_Purchases]])</f>
        <v>10</v>
      </c>
      <c r="V894">
        <v>8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f>SUM(Table1[[#This Row],[Accepted_Campaign_2]]+Table1[[#This Row],[Accepted_Campaign_1]]+Table1[[#This Row],[Accepted_Campaign_5]]+Table1[[#This Row],[Accepted_Campaign_4]]+Table1[[#This Row],[Accepted_Campaign_3]])</f>
        <v>0</v>
      </c>
      <c r="AC894">
        <v>0</v>
      </c>
      <c r="AD894">
        <v>0</v>
      </c>
    </row>
    <row r="895" spans="1:30" x14ac:dyDescent="0.25">
      <c r="A895">
        <v>41584</v>
      </c>
      <c r="B895">
        <v>7901</v>
      </c>
      <c r="C895">
        <v>1971</v>
      </c>
      <c r="D895" t="s">
        <v>13</v>
      </c>
      <c r="E895" t="s">
        <v>18</v>
      </c>
      <c r="F895" t="s">
        <v>11</v>
      </c>
      <c r="G895">
        <v>34109</v>
      </c>
      <c r="H895">
        <v>1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895">
        <v>1</v>
      </c>
      <c r="R895">
        <v>0</v>
      </c>
      <c r="S895">
        <v>0</v>
      </c>
      <c r="T895">
        <v>3</v>
      </c>
      <c r="U895">
        <f>SUM(Table1[[#This Row],[Store_Purchases]]+Table1[[#This Row],[Catalog_Purchases]]+Table1[[#This Row],[Web_Purchases]]+Table1[[#This Row],[Deal_Purchases]])</f>
        <v>4</v>
      </c>
      <c r="V895">
        <v>4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f>SUM(Table1[[#This Row],[Accepted_Campaign_2]]+Table1[[#This Row],[Accepted_Campaign_1]]+Table1[[#This Row],[Accepted_Campaign_5]]+Table1[[#This Row],[Accepted_Campaign_4]]+Table1[[#This Row],[Accepted_Campaign_3]])</f>
        <v>0</v>
      </c>
      <c r="AC895">
        <v>0</v>
      </c>
      <c r="AD895">
        <v>0</v>
      </c>
    </row>
    <row r="896" spans="1:30" x14ac:dyDescent="0.25">
      <c r="A896">
        <v>41568</v>
      </c>
      <c r="B896">
        <v>898</v>
      </c>
      <c r="C896">
        <v>1986</v>
      </c>
      <c r="D896" t="s">
        <v>8</v>
      </c>
      <c r="E896" t="s">
        <v>6</v>
      </c>
      <c r="F896" t="s">
        <v>11</v>
      </c>
      <c r="G896">
        <v>23477</v>
      </c>
      <c r="H896">
        <v>1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f>SUM(Table1[[#This Row],[Gold Spending]]+Table1[[#This Row],[Sweet Spending]]+Table1[[#This Row],[Fish Spending]]+Table1[[#This Row],[Meat Spending]]+Table1[[#This Row],[Fruits Spending]]+Table1[[#This Row],[Wine Spending ]])</f>
        <v>147</v>
      </c>
      <c r="Q896">
        <v>3</v>
      </c>
      <c r="R896">
        <v>3</v>
      </c>
      <c r="S896">
        <v>0</v>
      </c>
      <c r="T896">
        <v>4</v>
      </c>
      <c r="U896">
        <f>SUM(Table1[[#This Row],[Store_Purchases]]+Table1[[#This Row],[Catalog_Purchases]]+Table1[[#This Row],[Web_Purchases]]+Table1[[#This Row],[Deal_Purchases]])</f>
        <v>10</v>
      </c>
      <c r="V896">
        <v>8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f>SUM(Table1[[#This Row],[Accepted_Campaign_2]]+Table1[[#This Row],[Accepted_Campaign_1]]+Table1[[#This Row],[Accepted_Campaign_5]]+Table1[[#This Row],[Accepted_Campaign_4]]+Table1[[#This Row],[Accepted_Campaign_3]])</f>
        <v>0</v>
      </c>
      <c r="AC896">
        <v>0</v>
      </c>
      <c r="AD896">
        <v>0</v>
      </c>
    </row>
    <row r="897" spans="1:30" x14ac:dyDescent="0.25">
      <c r="A897">
        <v>41533</v>
      </c>
      <c r="B897">
        <v>10242</v>
      </c>
      <c r="C897">
        <v>1966</v>
      </c>
      <c r="D897" t="s">
        <v>8</v>
      </c>
      <c r="E897" t="s">
        <v>14</v>
      </c>
      <c r="F897" t="s">
        <v>12</v>
      </c>
      <c r="G897">
        <v>47472</v>
      </c>
      <c r="H897">
        <v>2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f>SUM(Table1[[#This Row],[Gold Spending]]+Table1[[#This Row],[Sweet Spending]]+Table1[[#This Row],[Fish Spending]]+Table1[[#This Row],[Meat Spending]]+Table1[[#This Row],[Fruits Spending]]+Table1[[#This Row],[Wine Spending ]])</f>
        <v>75</v>
      </c>
      <c r="Q897">
        <v>2</v>
      </c>
      <c r="R897">
        <v>2</v>
      </c>
      <c r="S897">
        <v>0</v>
      </c>
      <c r="T897">
        <v>4</v>
      </c>
      <c r="U897">
        <f>SUM(Table1[[#This Row],[Store_Purchases]]+Table1[[#This Row],[Catalog_Purchases]]+Table1[[#This Row],[Web_Purchases]]+Table1[[#This Row],[Deal_Purchases]])</f>
        <v>8</v>
      </c>
      <c r="V897">
        <v>5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f>SUM(Table1[[#This Row],[Accepted_Campaign_2]]+Table1[[#This Row],[Accepted_Campaign_1]]+Table1[[#This Row],[Accepted_Campaign_5]]+Table1[[#This Row],[Accepted_Campaign_4]]+Table1[[#This Row],[Accepted_Campaign_3]])</f>
        <v>0</v>
      </c>
      <c r="AC897">
        <v>0</v>
      </c>
      <c r="AD897">
        <v>0</v>
      </c>
    </row>
    <row r="898" spans="1:30" x14ac:dyDescent="0.25">
      <c r="A898">
        <v>41457</v>
      </c>
      <c r="B898">
        <v>5835</v>
      </c>
      <c r="C898">
        <v>1976</v>
      </c>
      <c r="D898" t="s">
        <v>8</v>
      </c>
      <c r="E898" t="s">
        <v>14</v>
      </c>
      <c r="F898" t="s">
        <v>7</v>
      </c>
      <c r="G898">
        <v>14849</v>
      </c>
      <c r="H898">
        <v>1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f>SUM(Table1[[#This Row],[Gold Spending]]+Table1[[#This Row],[Sweet Spending]]+Table1[[#This Row],[Fish Spending]]+Table1[[#This Row],[Meat Spending]]+Table1[[#This Row],[Fruits Spending]]+Table1[[#This Row],[Wine Spending ]])</f>
        <v>65</v>
      </c>
      <c r="Q898">
        <v>3</v>
      </c>
      <c r="R898">
        <v>2</v>
      </c>
      <c r="S898">
        <v>0</v>
      </c>
      <c r="T898">
        <v>4</v>
      </c>
      <c r="U898">
        <f>SUM(Table1[[#This Row],[Store_Purchases]]+Table1[[#This Row],[Catalog_Purchases]]+Table1[[#This Row],[Web_Purchases]]+Table1[[#This Row],[Deal_Purchases]])</f>
        <v>9</v>
      </c>
      <c r="V898">
        <v>8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f>SUM(Table1[[#This Row],[Accepted_Campaign_2]]+Table1[[#This Row],[Accepted_Campaign_1]]+Table1[[#This Row],[Accepted_Campaign_5]]+Table1[[#This Row],[Accepted_Campaign_4]]+Table1[[#This Row],[Accepted_Campaign_3]])</f>
        <v>0</v>
      </c>
      <c r="AC898">
        <v>0</v>
      </c>
      <c r="AD898">
        <v>0</v>
      </c>
    </row>
    <row r="899" spans="1:30" x14ac:dyDescent="0.25">
      <c r="A899">
        <v>41429</v>
      </c>
      <c r="B899">
        <v>6919</v>
      </c>
      <c r="C899">
        <v>1978</v>
      </c>
      <c r="D899" t="s">
        <v>8</v>
      </c>
      <c r="E899" t="s">
        <v>15</v>
      </c>
      <c r="F899" t="s">
        <v>11</v>
      </c>
      <c r="G899">
        <v>26224</v>
      </c>
      <c r="H899">
        <v>1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f>SUM(Table1[[#This Row],[Gold Spending]]+Table1[[#This Row],[Sweet Spending]]+Table1[[#This Row],[Fish Spending]]+Table1[[#This Row],[Meat Spending]]+Table1[[#This Row],[Fruits Spending]]+Table1[[#This Row],[Wine Spending ]])</f>
        <v>63</v>
      </c>
      <c r="Q899">
        <v>3</v>
      </c>
      <c r="R899">
        <v>2</v>
      </c>
      <c r="S899">
        <v>1</v>
      </c>
      <c r="T899">
        <v>3</v>
      </c>
      <c r="U899">
        <f>SUM(Table1[[#This Row],[Store_Purchases]]+Table1[[#This Row],[Catalog_Purchases]]+Table1[[#This Row],[Web_Purchases]]+Table1[[#This Row],[Deal_Purchases]])</f>
        <v>9</v>
      </c>
      <c r="V899">
        <v>6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f>SUM(Table1[[#This Row],[Accepted_Campaign_2]]+Table1[[#This Row],[Accepted_Campaign_1]]+Table1[[#This Row],[Accepted_Campaign_5]]+Table1[[#This Row],[Accepted_Campaign_4]]+Table1[[#This Row],[Accepted_Campaign_3]])</f>
        <v>0</v>
      </c>
      <c r="AC899">
        <v>0</v>
      </c>
      <c r="AD899">
        <v>0</v>
      </c>
    </row>
    <row r="900" spans="1:30" x14ac:dyDescent="0.25">
      <c r="A900">
        <v>41384</v>
      </c>
      <c r="B900">
        <v>6197</v>
      </c>
      <c r="C900">
        <v>1962</v>
      </c>
      <c r="D900" t="s">
        <v>8</v>
      </c>
      <c r="E900" t="s">
        <v>14</v>
      </c>
      <c r="F900" t="s">
        <v>9</v>
      </c>
      <c r="G900">
        <v>27238</v>
      </c>
      <c r="H900">
        <v>2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900">
        <v>3</v>
      </c>
      <c r="R900">
        <v>3</v>
      </c>
      <c r="S900">
        <v>0</v>
      </c>
      <c r="T900">
        <v>3</v>
      </c>
      <c r="U900">
        <f>SUM(Table1[[#This Row],[Store_Purchases]]+Table1[[#This Row],[Catalog_Purchases]]+Table1[[#This Row],[Web_Purchases]]+Table1[[#This Row],[Deal_Purchases]])</f>
        <v>9</v>
      </c>
      <c r="V900">
        <v>9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f>SUM(Table1[[#This Row],[Accepted_Campaign_2]]+Table1[[#This Row],[Accepted_Campaign_1]]+Table1[[#This Row],[Accepted_Campaign_5]]+Table1[[#This Row],[Accepted_Campaign_4]]+Table1[[#This Row],[Accepted_Campaign_3]])</f>
        <v>0</v>
      </c>
      <c r="AC900">
        <v>0</v>
      </c>
      <c r="AD900">
        <v>0</v>
      </c>
    </row>
    <row r="901" spans="1:30" x14ac:dyDescent="0.25">
      <c r="A901">
        <v>41365</v>
      </c>
      <c r="B901">
        <v>10475</v>
      </c>
      <c r="C901">
        <v>1970</v>
      </c>
      <c r="D901" t="s">
        <v>63</v>
      </c>
      <c r="E901" t="s">
        <v>18</v>
      </c>
      <c r="F901" t="s">
        <v>12</v>
      </c>
      <c r="G901">
        <v>53790.45</v>
      </c>
      <c r="H901">
        <v>1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f>SUM(Table1[[#This Row],[Gold Spending]]+Table1[[#This Row],[Sweet Spending]]+Table1[[#This Row],[Fish Spending]]+Table1[[#This Row],[Meat Spending]]+Table1[[#This Row],[Fruits Spending]]+Table1[[#This Row],[Wine Spending ]])</f>
        <v>317</v>
      </c>
      <c r="Q901">
        <v>2</v>
      </c>
      <c r="R901">
        <v>4</v>
      </c>
      <c r="S901">
        <v>2</v>
      </c>
      <c r="T901">
        <v>6</v>
      </c>
      <c r="U901">
        <f>SUM(Table1[[#This Row],[Store_Purchases]]+Table1[[#This Row],[Catalog_Purchases]]+Table1[[#This Row],[Web_Purchases]]+Table1[[#This Row],[Deal_Purchases]])</f>
        <v>14</v>
      </c>
      <c r="V901">
        <v>5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f>SUM(Table1[[#This Row],[Accepted_Campaign_2]]+Table1[[#This Row],[Accepted_Campaign_1]]+Table1[[#This Row],[Accepted_Campaign_5]]+Table1[[#This Row],[Accepted_Campaign_4]]+Table1[[#This Row],[Accepted_Campaign_3]])</f>
        <v>0</v>
      </c>
      <c r="AC901">
        <v>0</v>
      </c>
      <c r="AD901">
        <v>0</v>
      </c>
    </row>
    <row r="902" spans="1:30" x14ac:dyDescent="0.25">
      <c r="A902">
        <v>41336</v>
      </c>
      <c r="B902">
        <v>4201</v>
      </c>
      <c r="C902">
        <v>1962</v>
      </c>
      <c r="D902" t="s">
        <v>17</v>
      </c>
      <c r="E902" t="s">
        <v>6</v>
      </c>
      <c r="F902" t="s">
        <v>9</v>
      </c>
      <c r="G902">
        <v>57967</v>
      </c>
      <c r="H902">
        <v>1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f>SUM(Table1[[#This Row],[Gold Spending]]+Table1[[#This Row],[Sweet Spending]]+Table1[[#This Row],[Fish Spending]]+Table1[[#This Row],[Meat Spending]]+Table1[[#This Row],[Fruits Spending]]+Table1[[#This Row],[Wine Spending ]])</f>
        <v>468</v>
      </c>
      <c r="Q902">
        <v>5</v>
      </c>
      <c r="R902">
        <v>4</v>
      </c>
      <c r="S902">
        <v>2</v>
      </c>
      <c r="T902">
        <v>8</v>
      </c>
      <c r="U902">
        <f>SUM(Table1[[#This Row],[Store_Purchases]]+Table1[[#This Row],[Catalog_Purchases]]+Table1[[#This Row],[Web_Purchases]]+Table1[[#This Row],[Deal_Purchases]])</f>
        <v>19</v>
      </c>
      <c r="V902">
        <v>5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f>SUM(Table1[[#This Row],[Accepted_Campaign_2]]+Table1[[#This Row],[Accepted_Campaign_1]]+Table1[[#This Row],[Accepted_Campaign_5]]+Table1[[#This Row],[Accepted_Campaign_4]]+Table1[[#This Row],[Accepted_Campaign_3]])</f>
        <v>0</v>
      </c>
      <c r="AC902">
        <v>0</v>
      </c>
      <c r="AD902">
        <v>0</v>
      </c>
    </row>
    <row r="903" spans="1:30" x14ac:dyDescent="0.25">
      <c r="A903">
        <v>41317</v>
      </c>
      <c r="B903">
        <v>5092</v>
      </c>
      <c r="C903">
        <v>1949</v>
      </c>
      <c r="D903" t="s">
        <v>8</v>
      </c>
      <c r="E903" t="s">
        <v>14</v>
      </c>
      <c r="F903" t="s">
        <v>19</v>
      </c>
      <c r="G903">
        <v>51569</v>
      </c>
      <c r="H903">
        <v>1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f>SUM(Table1[[#This Row],[Gold Spending]]+Table1[[#This Row],[Sweet Spending]]+Table1[[#This Row],[Fish Spending]]+Table1[[#This Row],[Meat Spending]]+Table1[[#This Row],[Fruits Spending]]+Table1[[#This Row],[Wine Spending ]])</f>
        <v>467</v>
      </c>
      <c r="Q903">
        <v>4</v>
      </c>
      <c r="R903">
        <v>7</v>
      </c>
      <c r="S903">
        <v>1</v>
      </c>
      <c r="T903">
        <v>7</v>
      </c>
      <c r="U903">
        <f>SUM(Table1[[#This Row],[Store_Purchases]]+Table1[[#This Row],[Catalog_Purchases]]+Table1[[#This Row],[Web_Purchases]]+Table1[[#This Row],[Deal_Purchases]])</f>
        <v>19</v>
      </c>
      <c r="V903">
        <v>8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f>SUM(Table1[[#This Row],[Accepted_Campaign_2]]+Table1[[#This Row],[Accepted_Campaign_1]]+Table1[[#This Row],[Accepted_Campaign_5]]+Table1[[#This Row],[Accepted_Campaign_4]]+Table1[[#This Row],[Accepted_Campaign_3]])</f>
        <v>1</v>
      </c>
      <c r="AC903">
        <v>1</v>
      </c>
      <c r="AD903">
        <v>0</v>
      </c>
    </row>
    <row r="904" spans="1:30" x14ac:dyDescent="0.25">
      <c r="A904">
        <v>41221</v>
      </c>
      <c r="B904">
        <v>6566</v>
      </c>
      <c r="C904">
        <v>1954</v>
      </c>
      <c r="D904" t="s">
        <v>13</v>
      </c>
      <c r="E904" t="s">
        <v>14</v>
      </c>
      <c r="F904" t="s">
        <v>11</v>
      </c>
      <c r="G904">
        <v>72550</v>
      </c>
      <c r="H904">
        <v>2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f>SUM(Table1[[#This Row],[Gold Spending]]+Table1[[#This Row],[Sweet Spending]]+Table1[[#This Row],[Fish Spending]]+Table1[[#This Row],[Meat Spending]]+Table1[[#This Row],[Fruits Spending]]+Table1[[#This Row],[Wine Spending ]])</f>
        <v>1319</v>
      </c>
      <c r="Q904">
        <v>9</v>
      </c>
      <c r="R904">
        <v>5</v>
      </c>
      <c r="S904">
        <v>2</v>
      </c>
      <c r="T904">
        <v>12</v>
      </c>
      <c r="U904">
        <f>SUM(Table1[[#This Row],[Store_Purchases]]+Table1[[#This Row],[Catalog_Purchases]]+Table1[[#This Row],[Web_Purchases]]+Table1[[#This Row],[Deal_Purchases]])</f>
        <v>28</v>
      </c>
      <c r="V904">
        <v>8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f>SUM(Table1[[#This Row],[Accepted_Campaign_2]]+Table1[[#This Row],[Accepted_Campaign_1]]+Table1[[#This Row],[Accepted_Campaign_5]]+Table1[[#This Row],[Accepted_Campaign_4]]+Table1[[#This Row],[Accepted_Campaign_3]])</f>
        <v>0</v>
      </c>
      <c r="AC904">
        <v>0</v>
      </c>
      <c r="AD904">
        <v>0</v>
      </c>
    </row>
    <row r="905" spans="1:30" x14ac:dyDescent="0.25">
      <c r="A905">
        <v>41194</v>
      </c>
      <c r="B905">
        <v>6613</v>
      </c>
      <c r="C905">
        <v>1970</v>
      </c>
      <c r="D905" t="s">
        <v>13</v>
      </c>
      <c r="E905" t="s">
        <v>18</v>
      </c>
      <c r="F905" t="s">
        <v>11</v>
      </c>
      <c r="G905">
        <v>44511</v>
      </c>
      <c r="H905">
        <v>1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f>SUM(Table1[[#This Row],[Gold Spending]]+Table1[[#This Row],[Sweet Spending]]+Table1[[#This Row],[Fish Spending]]+Table1[[#This Row],[Meat Spending]]+Table1[[#This Row],[Fruits Spending]]+Table1[[#This Row],[Wine Spending ]])</f>
        <v>727</v>
      </c>
      <c r="Q905">
        <v>6</v>
      </c>
      <c r="R905">
        <v>8</v>
      </c>
      <c r="S905">
        <v>4</v>
      </c>
      <c r="T905">
        <v>8</v>
      </c>
      <c r="U905">
        <f>SUM(Table1[[#This Row],[Store_Purchases]]+Table1[[#This Row],[Catalog_Purchases]]+Table1[[#This Row],[Web_Purchases]]+Table1[[#This Row],[Deal_Purchases]])</f>
        <v>26</v>
      </c>
      <c r="V905">
        <v>8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f>SUM(Table1[[#This Row],[Accepted_Campaign_2]]+Table1[[#This Row],[Accepted_Campaign_1]]+Table1[[#This Row],[Accepted_Campaign_5]]+Table1[[#This Row],[Accepted_Campaign_4]]+Table1[[#This Row],[Accepted_Campaign_3]])</f>
        <v>0</v>
      </c>
      <c r="AC905">
        <v>0</v>
      </c>
      <c r="AD905">
        <v>0</v>
      </c>
    </row>
    <row r="906" spans="1:30" x14ac:dyDescent="0.25">
      <c r="A906">
        <v>41124</v>
      </c>
      <c r="B906">
        <v>9094</v>
      </c>
      <c r="C906">
        <v>1955</v>
      </c>
      <c r="D906" t="s">
        <v>8</v>
      </c>
      <c r="E906" t="s">
        <v>15</v>
      </c>
      <c r="F906" t="s">
        <v>11</v>
      </c>
      <c r="G906">
        <v>62972</v>
      </c>
      <c r="H906">
        <v>1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f>SUM(Table1[[#This Row],[Gold Spending]]+Table1[[#This Row],[Sweet Spending]]+Table1[[#This Row],[Fish Spending]]+Table1[[#This Row],[Meat Spending]]+Table1[[#This Row],[Fruits Spending]]+Table1[[#This Row],[Wine Spending ]])</f>
        <v>587</v>
      </c>
      <c r="Q906">
        <v>2</v>
      </c>
      <c r="R906">
        <v>7</v>
      </c>
      <c r="S906">
        <v>4</v>
      </c>
      <c r="T906">
        <v>3</v>
      </c>
      <c r="U906">
        <f>SUM(Table1[[#This Row],[Store_Purchases]]+Table1[[#This Row],[Catalog_Purchases]]+Table1[[#This Row],[Web_Purchases]]+Table1[[#This Row],[Deal_Purchases]])</f>
        <v>16</v>
      </c>
      <c r="V906">
        <v>6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f>SUM(Table1[[#This Row],[Accepted_Campaign_2]]+Table1[[#This Row],[Accepted_Campaign_1]]+Table1[[#This Row],[Accepted_Campaign_5]]+Table1[[#This Row],[Accepted_Campaign_4]]+Table1[[#This Row],[Accepted_Campaign_3]])</f>
        <v>0</v>
      </c>
      <c r="AC906">
        <v>1</v>
      </c>
      <c r="AD906">
        <v>0</v>
      </c>
    </row>
    <row r="907" spans="1:30" x14ac:dyDescent="0.25">
      <c r="A907">
        <v>41124</v>
      </c>
      <c r="B907">
        <v>9847</v>
      </c>
      <c r="C907">
        <v>1955</v>
      </c>
      <c r="D907" t="s">
        <v>8</v>
      </c>
      <c r="E907" t="s">
        <v>15</v>
      </c>
      <c r="F907" t="s">
        <v>11</v>
      </c>
      <c r="G907">
        <v>62972</v>
      </c>
      <c r="H907">
        <v>1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f>SUM(Table1[[#This Row],[Gold Spending]]+Table1[[#This Row],[Sweet Spending]]+Table1[[#This Row],[Fish Spending]]+Table1[[#This Row],[Meat Spending]]+Table1[[#This Row],[Fruits Spending]]+Table1[[#This Row],[Wine Spending ]])</f>
        <v>587</v>
      </c>
      <c r="Q907">
        <v>2</v>
      </c>
      <c r="R907">
        <v>7</v>
      </c>
      <c r="S907">
        <v>4</v>
      </c>
      <c r="T907">
        <v>3</v>
      </c>
      <c r="U907">
        <f>SUM(Table1[[#This Row],[Store_Purchases]]+Table1[[#This Row],[Catalog_Purchases]]+Table1[[#This Row],[Web_Purchases]]+Table1[[#This Row],[Deal_Purchases]])</f>
        <v>16</v>
      </c>
      <c r="V907">
        <v>6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f>SUM(Table1[[#This Row],[Accepted_Campaign_2]]+Table1[[#This Row],[Accepted_Campaign_1]]+Table1[[#This Row],[Accepted_Campaign_5]]+Table1[[#This Row],[Accepted_Campaign_4]]+Table1[[#This Row],[Accepted_Campaign_3]])</f>
        <v>0</v>
      </c>
      <c r="AC907">
        <v>0</v>
      </c>
      <c r="AD907">
        <v>0</v>
      </c>
    </row>
    <row r="908" spans="1:30" x14ac:dyDescent="0.25">
      <c r="A908">
        <v>41775</v>
      </c>
      <c r="B908">
        <v>10767</v>
      </c>
      <c r="C908">
        <v>1989</v>
      </c>
      <c r="D908" t="s">
        <v>63</v>
      </c>
      <c r="E908" t="s">
        <v>14</v>
      </c>
      <c r="F908" t="s">
        <v>12</v>
      </c>
      <c r="G908">
        <v>77845</v>
      </c>
      <c r="H908">
        <v>0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f>SUM(Table1[[#This Row],[Gold Spending]]+Table1[[#This Row],[Sweet Spending]]+Table1[[#This Row],[Fish Spending]]+Table1[[#This Row],[Meat Spending]]+Table1[[#This Row],[Fruits Spending]]+Table1[[#This Row],[Wine Spending ]])</f>
        <v>1346</v>
      </c>
      <c r="Q908">
        <v>1</v>
      </c>
      <c r="R908">
        <v>3</v>
      </c>
      <c r="S908">
        <v>5</v>
      </c>
      <c r="T908">
        <v>12</v>
      </c>
      <c r="U908">
        <f>SUM(Table1[[#This Row],[Store_Purchases]]+Table1[[#This Row],[Catalog_Purchases]]+Table1[[#This Row],[Web_Purchases]]+Table1[[#This Row],[Deal_Purchases]])</f>
        <v>21</v>
      </c>
      <c r="V908">
        <v>1</v>
      </c>
      <c r="W908">
        <v>0</v>
      </c>
      <c r="X908">
        <v>0</v>
      </c>
      <c r="Y908">
        <v>1</v>
      </c>
      <c r="Z908">
        <v>1</v>
      </c>
      <c r="AA908">
        <v>0</v>
      </c>
      <c r="AB908">
        <f>SUM(Table1[[#This Row],[Accepted_Campaign_2]]+Table1[[#This Row],[Accepted_Campaign_1]]+Table1[[#This Row],[Accepted_Campaign_5]]+Table1[[#This Row],[Accepted_Campaign_4]]+Table1[[#This Row],[Accepted_Campaign_3]])</f>
        <v>2</v>
      </c>
      <c r="AC908">
        <v>0</v>
      </c>
      <c r="AD908">
        <v>0</v>
      </c>
    </row>
    <row r="909" spans="1:30" x14ac:dyDescent="0.25">
      <c r="A909">
        <v>41754</v>
      </c>
      <c r="B909">
        <v>7943</v>
      </c>
      <c r="C909">
        <v>1975</v>
      </c>
      <c r="D909" t="s">
        <v>20</v>
      </c>
      <c r="E909" t="s">
        <v>14</v>
      </c>
      <c r="F909" t="s">
        <v>11</v>
      </c>
      <c r="G909">
        <v>36663</v>
      </c>
      <c r="H909">
        <v>1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f>SUM(Table1[[#This Row],[Gold Spending]]+Table1[[#This Row],[Sweet Spending]]+Table1[[#This Row],[Fish Spending]]+Table1[[#This Row],[Meat Spending]]+Table1[[#This Row],[Fruits Spending]]+Table1[[#This Row],[Wine Spending ]])</f>
        <v>35</v>
      </c>
      <c r="Q909">
        <v>1</v>
      </c>
      <c r="R909">
        <v>1</v>
      </c>
      <c r="S909">
        <v>1</v>
      </c>
      <c r="T909">
        <v>3</v>
      </c>
      <c r="U909">
        <f>SUM(Table1[[#This Row],[Store_Purchases]]+Table1[[#This Row],[Catalog_Purchases]]+Table1[[#This Row],[Web_Purchases]]+Table1[[#This Row],[Deal_Purchases]])</f>
        <v>6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f>SUM(Table1[[#This Row],[Accepted_Campaign_2]]+Table1[[#This Row],[Accepted_Campaign_1]]+Table1[[#This Row],[Accepted_Campaign_5]]+Table1[[#This Row],[Accepted_Campaign_4]]+Table1[[#This Row],[Accepted_Campaign_3]])</f>
        <v>0</v>
      </c>
      <c r="AC909">
        <v>0</v>
      </c>
      <c r="AD909">
        <v>0</v>
      </c>
    </row>
    <row r="910" spans="1:30" x14ac:dyDescent="0.25">
      <c r="A910">
        <v>41718</v>
      </c>
      <c r="B910">
        <v>1055</v>
      </c>
      <c r="C910">
        <v>1976</v>
      </c>
      <c r="D910" t="s">
        <v>16</v>
      </c>
      <c r="E910" t="s">
        <v>18</v>
      </c>
      <c r="F910" t="s">
        <v>11</v>
      </c>
      <c r="G910">
        <v>53204</v>
      </c>
      <c r="H910">
        <v>2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f>SUM(Table1[[#This Row],[Gold Spending]]+Table1[[#This Row],[Sweet Spending]]+Table1[[#This Row],[Fish Spending]]+Table1[[#This Row],[Meat Spending]]+Table1[[#This Row],[Fruits Spending]]+Table1[[#This Row],[Wine Spending ]])</f>
        <v>45</v>
      </c>
      <c r="Q910">
        <v>1</v>
      </c>
      <c r="R910">
        <v>1</v>
      </c>
      <c r="S910">
        <v>0</v>
      </c>
      <c r="T910">
        <v>3</v>
      </c>
      <c r="U910">
        <f>SUM(Table1[[#This Row],[Store_Purchases]]+Table1[[#This Row],[Catalog_Purchases]]+Table1[[#This Row],[Web_Purchases]]+Table1[[#This Row],[Deal_Purchases]])</f>
        <v>5</v>
      </c>
      <c r="V910">
        <v>4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f>SUM(Table1[[#This Row],[Accepted_Campaign_2]]+Table1[[#This Row],[Accepted_Campaign_1]]+Table1[[#This Row],[Accepted_Campaign_5]]+Table1[[#This Row],[Accepted_Campaign_4]]+Table1[[#This Row],[Accepted_Campaign_3]])</f>
        <v>0</v>
      </c>
      <c r="AC910">
        <v>0</v>
      </c>
      <c r="AD910">
        <v>0</v>
      </c>
    </row>
    <row r="911" spans="1:30" x14ac:dyDescent="0.25">
      <c r="A911">
        <v>41646</v>
      </c>
      <c r="B911">
        <v>1458</v>
      </c>
      <c r="C911">
        <v>1982</v>
      </c>
      <c r="D911" t="s">
        <v>8</v>
      </c>
      <c r="E911" t="s">
        <v>18</v>
      </c>
      <c r="F911" t="s">
        <v>11</v>
      </c>
      <c r="G911">
        <v>21059</v>
      </c>
      <c r="H911">
        <v>1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911">
        <v>3</v>
      </c>
      <c r="R911">
        <v>3</v>
      </c>
      <c r="S911">
        <v>0</v>
      </c>
      <c r="T911">
        <v>3</v>
      </c>
      <c r="U911">
        <f>SUM(Table1[[#This Row],[Store_Purchases]]+Table1[[#This Row],[Catalog_Purchases]]+Table1[[#This Row],[Web_Purchases]]+Table1[[#This Row],[Deal_Purchases]])</f>
        <v>9</v>
      </c>
      <c r="V911">
        <v>6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f>SUM(Table1[[#This Row],[Accepted_Campaign_2]]+Table1[[#This Row],[Accepted_Campaign_1]]+Table1[[#This Row],[Accepted_Campaign_5]]+Table1[[#This Row],[Accepted_Campaign_4]]+Table1[[#This Row],[Accepted_Campaign_3]])</f>
        <v>0</v>
      </c>
      <c r="AC911">
        <v>0</v>
      </c>
      <c r="AD911">
        <v>0</v>
      </c>
    </row>
    <row r="912" spans="1:30" x14ac:dyDescent="0.25">
      <c r="A912">
        <v>41625</v>
      </c>
      <c r="B912">
        <v>8402</v>
      </c>
      <c r="C912">
        <v>1953</v>
      </c>
      <c r="D912" t="s">
        <v>13</v>
      </c>
      <c r="E912" t="s">
        <v>18</v>
      </c>
      <c r="F912" t="s">
        <v>11</v>
      </c>
      <c r="G912">
        <v>67087</v>
      </c>
      <c r="H912">
        <v>1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f>SUM(Table1[[#This Row],[Gold Spending]]+Table1[[#This Row],[Sweet Spending]]+Table1[[#This Row],[Fish Spending]]+Table1[[#This Row],[Meat Spending]]+Table1[[#This Row],[Fruits Spending]]+Table1[[#This Row],[Wine Spending ]])</f>
        <v>794</v>
      </c>
      <c r="Q912">
        <v>2</v>
      </c>
      <c r="R912">
        <v>7</v>
      </c>
      <c r="S912">
        <v>5</v>
      </c>
      <c r="T912">
        <v>8</v>
      </c>
      <c r="U912">
        <f>SUM(Table1[[#This Row],[Store_Purchases]]+Table1[[#This Row],[Catalog_Purchases]]+Table1[[#This Row],[Web_Purchases]]+Table1[[#This Row],[Deal_Purchases]])</f>
        <v>22</v>
      </c>
      <c r="V912">
        <v>4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f>SUM(Table1[[#This Row],[Accepted_Campaign_2]]+Table1[[#This Row],[Accepted_Campaign_1]]+Table1[[#This Row],[Accepted_Campaign_5]]+Table1[[#This Row],[Accepted_Campaign_4]]+Table1[[#This Row],[Accepted_Campaign_3]])</f>
        <v>0</v>
      </c>
      <c r="AC912">
        <v>0</v>
      </c>
      <c r="AD912">
        <v>0</v>
      </c>
    </row>
    <row r="913" spans="1:30" x14ac:dyDescent="0.25">
      <c r="A913">
        <v>41591</v>
      </c>
      <c r="B913">
        <v>6246</v>
      </c>
      <c r="C913">
        <v>1953</v>
      </c>
      <c r="D913" t="s">
        <v>10</v>
      </c>
      <c r="E913" t="s">
        <v>6</v>
      </c>
      <c r="F913" t="s">
        <v>9</v>
      </c>
      <c r="G913">
        <v>73892</v>
      </c>
      <c r="H913">
        <v>0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f>SUM(Table1[[#This Row],[Gold Spending]]+Table1[[#This Row],[Sweet Spending]]+Table1[[#This Row],[Fish Spending]]+Table1[[#This Row],[Meat Spending]]+Table1[[#This Row],[Fruits Spending]]+Table1[[#This Row],[Wine Spending ]])</f>
        <v>1507</v>
      </c>
      <c r="Q913">
        <v>1</v>
      </c>
      <c r="R913">
        <v>3</v>
      </c>
      <c r="S913">
        <v>11</v>
      </c>
      <c r="T913">
        <v>8</v>
      </c>
      <c r="U913">
        <f>SUM(Table1[[#This Row],[Store_Purchases]]+Table1[[#This Row],[Catalog_Purchases]]+Table1[[#This Row],[Web_Purchases]]+Table1[[#This Row],[Deal_Purchases]])</f>
        <v>23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f>SUM(Table1[[#This Row],[Accepted_Campaign_2]]+Table1[[#This Row],[Accepted_Campaign_1]]+Table1[[#This Row],[Accepted_Campaign_5]]+Table1[[#This Row],[Accepted_Campaign_4]]+Table1[[#This Row],[Accepted_Campaign_3]])</f>
        <v>0</v>
      </c>
      <c r="AC913">
        <v>1</v>
      </c>
      <c r="AD913">
        <v>0</v>
      </c>
    </row>
    <row r="914" spans="1:30" x14ac:dyDescent="0.25">
      <c r="A914">
        <v>41585</v>
      </c>
      <c r="B914">
        <v>4654</v>
      </c>
      <c r="C914">
        <v>1992</v>
      </c>
      <c r="D914" t="s">
        <v>20</v>
      </c>
      <c r="E914" t="s">
        <v>6</v>
      </c>
      <c r="F914" t="s">
        <v>12</v>
      </c>
      <c r="G914">
        <v>75114</v>
      </c>
      <c r="H914">
        <v>0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f>SUM(Table1[[#This Row],[Gold Spending]]+Table1[[#This Row],[Sweet Spending]]+Table1[[#This Row],[Fish Spending]]+Table1[[#This Row],[Meat Spending]]+Table1[[#This Row],[Fruits Spending]]+Table1[[#This Row],[Wine Spending ]])</f>
        <v>1253</v>
      </c>
      <c r="Q914">
        <v>1</v>
      </c>
      <c r="R914">
        <v>3</v>
      </c>
      <c r="S914">
        <v>10</v>
      </c>
      <c r="T914">
        <v>5</v>
      </c>
      <c r="U914">
        <f>SUM(Table1[[#This Row],[Store_Purchases]]+Table1[[#This Row],[Catalog_Purchases]]+Table1[[#This Row],[Web_Purchases]]+Table1[[#This Row],[Deal_Purchases]])</f>
        <v>19</v>
      </c>
      <c r="V914">
        <v>2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f>SUM(Table1[[#This Row],[Accepted_Campaign_2]]+Table1[[#This Row],[Accepted_Campaign_1]]+Table1[[#This Row],[Accepted_Campaign_5]]+Table1[[#This Row],[Accepted_Campaign_4]]+Table1[[#This Row],[Accepted_Campaign_3]])</f>
        <v>0</v>
      </c>
      <c r="AC914">
        <v>0</v>
      </c>
      <c r="AD914">
        <v>0</v>
      </c>
    </row>
    <row r="915" spans="1:30" x14ac:dyDescent="0.25">
      <c r="A915">
        <v>41523</v>
      </c>
      <c r="B915">
        <v>6103</v>
      </c>
      <c r="C915">
        <v>1948</v>
      </c>
      <c r="D915" t="s">
        <v>13</v>
      </c>
      <c r="E915" t="s">
        <v>6</v>
      </c>
      <c r="F915" t="s">
        <v>11</v>
      </c>
      <c r="G915">
        <v>42192</v>
      </c>
      <c r="H915">
        <v>0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f>SUM(Table1[[#This Row],[Gold Spending]]+Table1[[#This Row],[Sweet Spending]]+Table1[[#This Row],[Fish Spending]]+Table1[[#This Row],[Meat Spending]]+Table1[[#This Row],[Fruits Spending]]+Table1[[#This Row],[Wine Spending ]])</f>
        <v>100</v>
      </c>
      <c r="Q915">
        <v>1</v>
      </c>
      <c r="R915">
        <v>2</v>
      </c>
      <c r="S915">
        <v>1</v>
      </c>
      <c r="T915">
        <v>3</v>
      </c>
      <c r="U915">
        <f>SUM(Table1[[#This Row],[Store_Purchases]]+Table1[[#This Row],[Catalog_Purchases]]+Table1[[#This Row],[Web_Purchases]]+Table1[[#This Row],[Deal_Purchases]])</f>
        <v>7</v>
      </c>
      <c r="V915">
        <v>4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f>SUM(Table1[[#This Row],[Accepted_Campaign_2]]+Table1[[#This Row],[Accepted_Campaign_1]]+Table1[[#This Row],[Accepted_Campaign_5]]+Table1[[#This Row],[Accepted_Campaign_4]]+Table1[[#This Row],[Accepted_Campaign_3]])</f>
        <v>0</v>
      </c>
      <c r="AC915">
        <v>0</v>
      </c>
      <c r="AD915">
        <v>0</v>
      </c>
    </row>
    <row r="916" spans="1:30" x14ac:dyDescent="0.25">
      <c r="A916">
        <v>41461</v>
      </c>
      <c r="B916">
        <v>8147</v>
      </c>
      <c r="C916">
        <v>1960</v>
      </c>
      <c r="D916" t="s">
        <v>8</v>
      </c>
      <c r="E916" t="s">
        <v>6</v>
      </c>
      <c r="F916" t="s">
        <v>11</v>
      </c>
      <c r="G916">
        <v>31454</v>
      </c>
      <c r="H916">
        <v>2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f>SUM(Table1[[#This Row],[Gold Spending]]+Table1[[#This Row],[Sweet Spending]]+Table1[[#This Row],[Fish Spending]]+Table1[[#This Row],[Meat Spending]]+Table1[[#This Row],[Fruits Spending]]+Table1[[#This Row],[Wine Spending ]])</f>
        <v>48</v>
      </c>
      <c r="Q916">
        <v>3</v>
      </c>
      <c r="R916">
        <v>2</v>
      </c>
      <c r="S916">
        <v>0</v>
      </c>
      <c r="T916">
        <v>3</v>
      </c>
      <c r="U916">
        <f>SUM(Table1[[#This Row],[Store_Purchases]]+Table1[[#This Row],[Catalog_Purchases]]+Table1[[#This Row],[Web_Purchases]]+Table1[[#This Row],[Deal_Purchases]])</f>
        <v>8</v>
      </c>
      <c r="V916">
        <v>8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f>SUM(Table1[[#This Row],[Accepted_Campaign_2]]+Table1[[#This Row],[Accepted_Campaign_1]]+Table1[[#This Row],[Accepted_Campaign_5]]+Table1[[#This Row],[Accepted_Campaign_4]]+Table1[[#This Row],[Accepted_Campaign_3]])</f>
        <v>0</v>
      </c>
      <c r="AC916">
        <v>0</v>
      </c>
      <c r="AD916">
        <v>0</v>
      </c>
    </row>
    <row r="917" spans="1:30" x14ac:dyDescent="0.25">
      <c r="A917">
        <v>41444</v>
      </c>
      <c r="B917">
        <v>10207</v>
      </c>
      <c r="C917">
        <v>1978</v>
      </c>
      <c r="D917" t="s">
        <v>20</v>
      </c>
      <c r="E917" t="s">
        <v>6</v>
      </c>
      <c r="F917" t="s">
        <v>12</v>
      </c>
      <c r="G917">
        <v>22775</v>
      </c>
      <c r="H917">
        <v>1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f>SUM(Table1[[#This Row],[Gold Spending]]+Table1[[#This Row],[Sweet Spending]]+Table1[[#This Row],[Fish Spending]]+Table1[[#This Row],[Meat Spending]]+Table1[[#This Row],[Fruits Spending]]+Table1[[#This Row],[Wine Spending ]])</f>
        <v>15</v>
      </c>
      <c r="Q917">
        <v>1</v>
      </c>
      <c r="R917">
        <v>1</v>
      </c>
      <c r="S917">
        <v>0</v>
      </c>
      <c r="T917">
        <v>2</v>
      </c>
      <c r="U917">
        <f>SUM(Table1[[#This Row],[Store_Purchases]]+Table1[[#This Row],[Catalog_Purchases]]+Table1[[#This Row],[Web_Purchases]]+Table1[[#This Row],[Deal_Purchases]])</f>
        <v>4</v>
      </c>
      <c r="V917">
        <v>8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f>SUM(Table1[[#This Row],[Accepted_Campaign_2]]+Table1[[#This Row],[Accepted_Campaign_1]]+Table1[[#This Row],[Accepted_Campaign_5]]+Table1[[#This Row],[Accepted_Campaign_4]]+Table1[[#This Row],[Accepted_Campaign_3]])</f>
        <v>0</v>
      </c>
      <c r="AC917">
        <v>0</v>
      </c>
      <c r="AD917">
        <v>0</v>
      </c>
    </row>
    <row r="918" spans="1:30" x14ac:dyDescent="0.25">
      <c r="A918">
        <v>41444</v>
      </c>
      <c r="B918">
        <v>4838</v>
      </c>
      <c r="C918">
        <v>1978</v>
      </c>
      <c r="D918" t="s">
        <v>17</v>
      </c>
      <c r="E918" t="s">
        <v>6</v>
      </c>
      <c r="F918" t="s">
        <v>12</v>
      </c>
      <c r="G918">
        <v>22775</v>
      </c>
      <c r="H918">
        <v>1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f>SUM(Table1[[#This Row],[Gold Spending]]+Table1[[#This Row],[Sweet Spending]]+Table1[[#This Row],[Fish Spending]]+Table1[[#This Row],[Meat Spending]]+Table1[[#This Row],[Fruits Spending]]+Table1[[#This Row],[Wine Spending ]])</f>
        <v>15</v>
      </c>
      <c r="Q918">
        <v>1</v>
      </c>
      <c r="R918">
        <v>1</v>
      </c>
      <c r="S918">
        <v>0</v>
      </c>
      <c r="T918">
        <v>2</v>
      </c>
      <c r="U918">
        <f>SUM(Table1[[#This Row],[Store_Purchases]]+Table1[[#This Row],[Catalog_Purchases]]+Table1[[#This Row],[Web_Purchases]]+Table1[[#This Row],[Deal_Purchases]])</f>
        <v>4</v>
      </c>
      <c r="V918">
        <v>8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f>SUM(Table1[[#This Row],[Accepted_Campaign_2]]+Table1[[#This Row],[Accepted_Campaign_1]]+Table1[[#This Row],[Accepted_Campaign_5]]+Table1[[#This Row],[Accepted_Campaign_4]]+Table1[[#This Row],[Accepted_Campaign_3]])</f>
        <v>0</v>
      </c>
      <c r="AC918">
        <v>0</v>
      </c>
      <c r="AD918">
        <v>0</v>
      </c>
    </row>
    <row r="919" spans="1:30" x14ac:dyDescent="0.25">
      <c r="A919">
        <v>41443</v>
      </c>
      <c r="B919">
        <v>10219</v>
      </c>
      <c r="C919">
        <v>1972</v>
      </c>
      <c r="D919" t="s">
        <v>10</v>
      </c>
      <c r="E919" t="s">
        <v>6</v>
      </c>
      <c r="F919" t="s">
        <v>12</v>
      </c>
      <c r="G919">
        <v>31590</v>
      </c>
      <c r="H919">
        <v>1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f>SUM(Table1[[#This Row],[Gold Spending]]+Table1[[#This Row],[Sweet Spending]]+Table1[[#This Row],[Fish Spending]]+Table1[[#This Row],[Meat Spending]]+Table1[[#This Row],[Fruits Spending]]+Table1[[#This Row],[Wine Spending ]])</f>
        <v>38</v>
      </c>
      <c r="Q919">
        <v>1</v>
      </c>
      <c r="R919">
        <v>1</v>
      </c>
      <c r="S919">
        <v>0</v>
      </c>
      <c r="T919">
        <v>3</v>
      </c>
      <c r="U919">
        <f>SUM(Table1[[#This Row],[Store_Purchases]]+Table1[[#This Row],[Catalog_Purchases]]+Table1[[#This Row],[Web_Purchases]]+Table1[[#This Row],[Deal_Purchases]])</f>
        <v>5</v>
      </c>
      <c r="V919">
        <v>8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f>SUM(Table1[[#This Row],[Accepted_Campaign_2]]+Table1[[#This Row],[Accepted_Campaign_1]]+Table1[[#This Row],[Accepted_Campaign_5]]+Table1[[#This Row],[Accepted_Campaign_4]]+Table1[[#This Row],[Accepted_Campaign_3]])</f>
        <v>0</v>
      </c>
      <c r="AC919">
        <v>0</v>
      </c>
      <c r="AD919">
        <v>0</v>
      </c>
    </row>
    <row r="920" spans="1:30" x14ac:dyDescent="0.25">
      <c r="A920">
        <v>41414</v>
      </c>
      <c r="B920">
        <v>2176</v>
      </c>
      <c r="C920">
        <v>1972</v>
      </c>
      <c r="D920" t="s">
        <v>20</v>
      </c>
      <c r="E920" t="s">
        <v>6</v>
      </c>
      <c r="F920" t="s">
        <v>11</v>
      </c>
      <c r="G920">
        <v>80134</v>
      </c>
      <c r="H920">
        <v>1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f>SUM(Table1[[#This Row],[Gold Spending]]+Table1[[#This Row],[Sweet Spending]]+Table1[[#This Row],[Fish Spending]]+Table1[[#This Row],[Meat Spending]]+Table1[[#This Row],[Fruits Spending]]+Table1[[#This Row],[Wine Spending ]])</f>
        <v>1690</v>
      </c>
      <c r="Q920">
        <v>2</v>
      </c>
      <c r="R920">
        <v>5</v>
      </c>
      <c r="S920">
        <v>3</v>
      </c>
      <c r="T920">
        <v>6</v>
      </c>
      <c r="U920">
        <f>SUM(Table1[[#This Row],[Store_Purchases]]+Table1[[#This Row],[Catalog_Purchases]]+Table1[[#This Row],[Web_Purchases]]+Table1[[#This Row],[Deal_Purchases]])</f>
        <v>16</v>
      </c>
      <c r="V920">
        <v>6</v>
      </c>
      <c r="W920">
        <v>0</v>
      </c>
      <c r="X920">
        <v>1</v>
      </c>
      <c r="Y920">
        <v>1</v>
      </c>
      <c r="Z920">
        <v>1</v>
      </c>
      <c r="AA920">
        <v>0</v>
      </c>
      <c r="AB920">
        <f>SUM(Table1[[#This Row],[Accepted_Campaign_2]]+Table1[[#This Row],[Accepted_Campaign_1]]+Table1[[#This Row],[Accepted_Campaign_5]]+Table1[[#This Row],[Accepted_Campaign_4]]+Table1[[#This Row],[Accepted_Campaign_3]])</f>
        <v>3</v>
      </c>
      <c r="AC920">
        <v>1</v>
      </c>
      <c r="AD920">
        <v>0</v>
      </c>
    </row>
    <row r="921" spans="1:30" x14ac:dyDescent="0.25">
      <c r="A921">
        <v>41414</v>
      </c>
      <c r="B921">
        <v>9121</v>
      </c>
      <c r="C921">
        <v>1972</v>
      </c>
      <c r="D921" t="s">
        <v>13</v>
      </c>
      <c r="E921" t="s">
        <v>6</v>
      </c>
      <c r="F921" t="s">
        <v>11</v>
      </c>
      <c r="G921">
        <v>80134</v>
      </c>
      <c r="H921">
        <v>1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f>SUM(Table1[[#This Row],[Gold Spending]]+Table1[[#This Row],[Sweet Spending]]+Table1[[#This Row],[Fish Spending]]+Table1[[#This Row],[Meat Spending]]+Table1[[#This Row],[Fruits Spending]]+Table1[[#This Row],[Wine Spending ]])</f>
        <v>1690</v>
      </c>
      <c r="Q921">
        <v>2</v>
      </c>
      <c r="R921">
        <v>5</v>
      </c>
      <c r="S921">
        <v>3</v>
      </c>
      <c r="T921">
        <v>6</v>
      </c>
      <c r="U921">
        <f>SUM(Table1[[#This Row],[Store_Purchases]]+Table1[[#This Row],[Catalog_Purchases]]+Table1[[#This Row],[Web_Purchases]]+Table1[[#This Row],[Deal_Purchases]])</f>
        <v>16</v>
      </c>
      <c r="V921">
        <v>6</v>
      </c>
      <c r="W921">
        <v>0</v>
      </c>
      <c r="X921">
        <v>1</v>
      </c>
      <c r="Y921">
        <v>1</v>
      </c>
      <c r="Z921">
        <v>1</v>
      </c>
      <c r="AA921">
        <v>0</v>
      </c>
      <c r="AB921">
        <f>SUM(Table1[[#This Row],[Accepted_Campaign_2]]+Table1[[#This Row],[Accepted_Campaign_1]]+Table1[[#This Row],[Accepted_Campaign_5]]+Table1[[#This Row],[Accepted_Campaign_4]]+Table1[[#This Row],[Accepted_Campaign_3]])</f>
        <v>3</v>
      </c>
      <c r="AC921">
        <v>1</v>
      </c>
      <c r="AD921">
        <v>0</v>
      </c>
    </row>
    <row r="922" spans="1:30" x14ac:dyDescent="0.25">
      <c r="A922">
        <v>41333</v>
      </c>
      <c r="B922">
        <v>5802</v>
      </c>
      <c r="C922">
        <v>1972</v>
      </c>
      <c r="D922" t="s">
        <v>16</v>
      </c>
      <c r="E922" t="s">
        <v>21</v>
      </c>
      <c r="F922" t="s">
        <v>11</v>
      </c>
      <c r="G922">
        <v>14188</v>
      </c>
      <c r="H922">
        <v>0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f>SUM(Table1[[#This Row],[Gold Spending]]+Table1[[#This Row],[Sweet Spending]]+Table1[[#This Row],[Fish Spending]]+Table1[[#This Row],[Meat Spending]]+Table1[[#This Row],[Fruits Spending]]+Table1[[#This Row],[Wine Spending ]])</f>
        <v>75</v>
      </c>
      <c r="Q922">
        <v>1</v>
      </c>
      <c r="R922">
        <v>2</v>
      </c>
      <c r="S922">
        <v>0</v>
      </c>
      <c r="T922">
        <v>4</v>
      </c>
      <c r="U922">
        <f>SUM(Table1[[#This Row],[Store_Purchases]]+Table1[[#This Row],[Catalog_Purchases]]+Table1[[#This Row],[Web_Purchases]]+Table1[[#This Row],[Deal_Purchases]])</f>
        <v>7</v>
      </c>
      <c r="V922">
        <v>6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f>SUM(Table1[[#This Row],[Accepted_Campaign_2]]+Table1[[#This Row],[Accepted_Campaign_1]]+Table1[[#This Row],[Accepted_Campaign_5]]+Table1[[#This Row],[Accepted_Campaign_4]]+Table1[[#This Row],[Accepted_Campaign_3]])</f>
        <v>0</v>
      </c>
      <c r="AC922">
        <v>0</v>
      </c>
      <c r="AD922">
        <v>0</v>
      </c>
    </row>
    <row r="923" spans="1:30" x14ac:dyDescent="0.25">
      <c r="A923">
        <v>41324</v>
      </c>
      <c r="B923">
        <v>10790</v>
      </c>
      <c r="C923">
        <v>1985</v>
      </c>
      <c r="D923" t="s">
        <v>8</v>
      </c>
      <c r="E923" t="s">
        <v>14</v>
      </c>
      <c r="F923" t="s">
        <v>11</v>
      </c>
      <c r="G923">
        <v>18169</v>
      </c>
      <c r="H923">
        <v>1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f>SUM(Table1[[#This Row],[Gold Spending]]+Table1[[#This Row],[Sweet Spending]]+Table1[[#This Row],[Fish Spending]]+Table1[[#This Row],[Meat Spending]]+Table1[[#This Row],[Fruits Spending]]+Table1[[#This Row],[Wine Spending ]])</f>
        <v>21</v>
      </c>
      <c r="Q923">
        <v>1</v>
      </c>
      <c r="R923">
        <v>1</v>
      </c>
      <c r="S923">
        <v>0</v>
      </c>
      <c r="T923">
        <v>2</v>
      </c>
      <c r="U923">
        <f>SUM(Table1[[#This Row],[Store_Purchases]]+Table1[[#This Row],[Catalog_Purchases]]+Table1[[#This Row],[Web_Purchases]]+Table1[[#This Row],[Deal_Purchases]])</f>
        <v>4</v>
      </c>
      <c r="V923">
        <v>8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f>SUM(Table1[[#This Row],[Accepted_Campaign_2]]+Table1[[#This Row],[Accepted_Campaign_1]]+Table1[[#This Row],[Accepted_Campaign_5]]+Table1[[#This Row],[Accepted_Campaign_4]]+Table1[[#This Row],[Accepted_Campaign_3]])</f>
        <v>0</v>
      </c>
      <c r="AC923">
        <v>0</v>
      </c>
      <c r="AD923">
        <v>0</v>
      </c>
    </row>
    <row r="924" spans="1:30" x14ac:dyDescent="0.25">
      <c r="A924">
        <v>41323</v>
      </c>
      <c r="B924">
        <v>178</v>
      </c>
      <c r="C924">
        <v>1956</v>
      </c>
      <c r="D924" t="s">
        <v>8</v>
      </c>
      <c r="E924" t="s">
        <v>6</v>
      </c>
      <c r="F924" t="s">
        <v>11</v>
      </c>
      <c r="G924">
        <v>62503</v>
      </c>
      <c r="H924">
        <v>1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f>SUM(Table1[[#This Row],[Gold Spending]]+Table1[[#This Row],[Sweet Spending]]+Table1[[#This Row],[Fish Spending]]+Table1[[#This Row],[Meat Spending]]+Table1[[#This Row],[Fruits Spending]]+Table1[[#This Row],[Wine Spending ]])</f>
        <v>973</v>
      </c>
      <c r="Q924">
        <v>4</v>
      </c>
      <c r="R924">
        <v>8</v>
      </c>
      <c r="S924">
        <v>3</v>
      </c>
      <c r="T924">
        <v>11</v>
      </c>
      <c r="U924">
        <f>SUM(Table1[[#This Row],[Store_Purchases]]+Table1[[#This Row],[Catalog_Purchases]]+Table1[[#This Row],[Web_Purchases]]+Table1[[#This Row],[Deal_Purchases]])</f>
        <v>26</v>
      </c>
      <c r="V924">
        <v>5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f>SUM(Table1[[#This Row],[Accepted_Campaign_2]]+Table1[[#This Row],[Accepted_Campaign_1]]+Table1[[#This Row],[Accepted_Campaign_5]]+Table1[[#This Row],[Accepted_Campaign_4]]+Table1[[#This Row],[Accepted_Campaign_3]])</f>
        <v>0</v>
      </c>
      <c r="AC924">
        <v>0</v>
      </c>
      <c r="AD924">
        <v>0</v>
      </c>
    </row>
    <row r="925" spans="1:30" x14ac:dyDescent="0.25">
      <c r="A925">
        <v>41231</v>
      </c>
      <c r="B925">
        <v>2308</v>
      </c>
      <c r="C925">
        <v>1954</v>
      </c>
      <c r="D925" t="s">
        <v>8</v>
      </c>
      <c r="E925" t="s">
        <v>6</v>
      </c>
      <c r="F925" t="s">
        <v>11</v>
      </c>
      <c r="G925">
        <v>46734</v>
      </c>
      <c r="H925">
        <v>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f>SUM(Table1[[#This Row],[Gold Spending]]+Table1[[#This Row],[Sweet Spending]]+Table1[[#This Row],[Fish Spending]]+Table1[[#This Row],[Meat Spending]]+Table1[[#This Row],[Fruits Spending]]+Table1[[#This Row],[Wine Spending ]])</f>
        <v>330</v>
      </c>
      <c r="Q925">
        <v>2</v>
      </c>
      <c r="R925">
        <v>6</v>
      </c>
      <c r="S925">
        <v>1</v>
      </c>
      <c r="T925">
        <v>5</v>
      </c>
      <c r="U925">
        <f>SUM(Table1[[#This Row],[Store_Purchases]]+Table1[[#This Row],[Catalog_Purchases]]+Table1[[#This Row],[Web_Purchases]]+Table1[[#This Row],[Deal_Purchases]])</f>
        <v>14</v>
      </c>
      <c r="V925">
        <v>7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f>SUM(Table1[[#This Row],[Accepted_Campaign_2]]+Table1[[#This Row],[Accepted_Campaign_1]]+Table1[[#This Row],[Accepted_Campaign_5]]+Table1[[#This Row],[Accepted_Campaign_4]]+Table1[[#This Row],[Accepted_Campaign_3]])</f>
        <v>0</v>
      </c>
      <c r="AC925">
        <v>0</v>
      </c>
      <c r="AD925">
        <v>0</v>
      </c>
    </row>
    <row r="926" spans="1:30" x14ac:dyDescent="0.25">
      <c r="A926">
        <v>41223</v>
      </c>
      <c r="B926">
        <v>7431</v>
      </c>
      <c r="C926">
        <v>1991</v>
      </c>
      <c r="D926" t="s">
        <v>10</v>
      </c>
      <c r="E926" t="s">
        <v>14</v>
      </c>
      <c r="F926" t="s">
        <v>9</v>
      </c>
      <c r="G926">
        <v>68126</v>
      </c>
      <c r="H926">
        <v>0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f>SUM(Table1[[#This Row],[Gold Spending]]+Table1[[#This Row],[Sweet Spending]]+Table1[[#This Row],[Fish Spending]]+Table1[[#This Row],[Meat Spending]]+Table1[[#This Row],[Fruits Spending]]+Table1[[#This Row],[Wine Spending ]])</f>
        <v>1820</v>
      </c>
      <c r="Q926">
        <v>1</v>
      </c>
      <c r="R926">
        <v>7</v>
      </c>
      <c r="S926">
        <v>4</v>
      </c>
      <c r="T926">
        <v>5</v>
      </c>
      <c r="U926">
        <f>SUM(Table1[[#This Row],[Store_Purchases]]+Table1[[#This Row],[Catalog_Purchases]]+Table1[[#This Row],[Web_Purchases]]+Table1[[#This Row],[Deal_Purchases]])</f>
        <v>17</v>
      </c>
      <c r="V926">
        <v>9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f>SUM(Table1[[#This Row],[Accepted_Campaign_2]]+Table1[[#This Row],[Accepted_Campaign_1]]+Table1[[#This Row],[Accepted_Campaign_5]]+Table1[[#This Row],[Accepted_Campaign_4]]+Table1[[#This Row],[Accepted_Campaign_3]])</f>
        <v>1</v>
      </c>
      <c r="AC926">
        <v>1</v>
      </c>
      <c r="AD926">
        <v>0</v>
      </c>
    </row>
    <row r="927" spans="1:30" x14ac:dyDescent="0.25">
      <c r="A927">
        <v>41197</v>
      </c>
      <c r="B927">
        <v>9405</v>
      </c>
      <c r="C927">
        <v>1954</v>
      </c>
      <c r="D927" t="s">
        <v>20</v>
      </c>
      <c r="E927" t="s">
        <v>14</v>
      </c>
      <c r="F927" t="s">
        <v>11</v>
      </c>
      <c r="G927">
        <v>52869</v>
      </c>
      <c r="H927">
        <v>2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f>SUM(Table1[[#This Row],[Gold Spending]]+Table1[[#This Row],[Sweet Spending]]+Table1[[#This Row],[Fish Spending]]+Table1[[#This Row],[Meat Spending]]+Table1[[#This Row],[Fruits Spending]]+Table1[[#This Row],[Wine Spending ]])</f>
        <v>172</v>
      </c>
      <c r="Q927">
        <v>3</v>
      </c>
      <c r="R927">
        <v>3</v>
      </c>
      <c r="S927">
        <v>1</v>
      </c>
      <c r="T927">
        <v>4</v>
      </c>
      <c r="U927">
        <f>SUM(Table1[[#This Row],[Store_Purchases]]+Table1[[#This Row],[Catalog_Purchases]]+Table1[[#This Row],[Web_Purchases]]+Table1[[#This Row],[Deal_Purchases]])</f>
        <v>11</v>
      </c>
      <c r="V927">
        <v>7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f>SUM(Table1[[#This Row],[Accepted_Campaign_2]]+Table1[[#This Row],[Accepted_Campaign_1]]+Table1[[#This Row],[Accepted_Campaign_5]]+Table1[[#This Row],[Accepted_Campaign_4]]+Table1[[#This Row],[Accepted_Campaign_3]])</f>
        <v>0</v>
      </c>
      <c r="AC927">
        <v>1</v>
      </c>
      <c r="AD927">
        <v>0</v>
      </c>
    </row>
    <row r="928" spans="1:30" x14ac:dyDescent="0.25">
      <c r="A928">
        <v>41195</v>
      </c>
      <c r="B928">
        <v>10525</v>
      </c>
      <c r="C928">
        <v>1986</v>
      </c>
      <c r="D928" t="s">
        <v>8</v>
      </c>
      <c r="E928" t="s">
        <v>6</v>
      </c>
      <c r="F928" t="s">
        <v>9</v>
      </c>
      <c r="G928">
        <v>26576</v>
      </c>
      <c r="H928">
        <v>1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f>SUM(Table1[[#This Row],[Gold Spending]]+Table1[[#This Row],[Sweet Spending]]+Table1[[#This Row],[Fish Spending]]+Table1[[#This Row],[Meat Spending]]+Table1[[#This Row],[Fruits Spending]]+Table1[[#This Row],[Wine Spending ]])</f>
        <v>27</v>
      </c>
      <c r="Q928">
        <v>1</v>
      </c>
      <c r="R928">
        <v>1</v>
      </c>
      <c r="S928">
        <v>0</v>
      </c>
      <c r="T928">
        <v>2</v>
      </c>
      <c r="U928">
        <f>SUM(Table1[[#This Row],[Store_Purchases]]+Table1[[#This Row],[Catalog_Purchases]]+Table1[[#This Row],[Web_Purchases]]+Table1[[#This Row],[Deal_Purchases]])</f>
        <v>4</v>
      </c>
      <c r="V928">
        <v>9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f>SUM(Table1[[#This Row],[Accepted_Campaign_2]]+Table1[[#This Row],[Accepted_Campaign_1]]+Table1[[#This Row],[Accepted_Campaign_5]]+Table1[[#This Row],[Accepted_Campaign_4]]+Table1[[#This Row],[Accepted_Campaign_3]])</f>
        <v>1</v>
      </c>
      <c r="AC928">
        <v>1</v>
      </c>
      <c r="AD928">
        <v>0</v>
      </c>
    </row>
    <row r="929" spans="1:30" x14ac:dyDescent="0.25">
      <c r="A929">
        <v>41194</v>
      </c>
      <c r="B929">
        <v>7503</v>
      </c>
      <c r="C929">
        <v>1976</v>
      </c>
      <c r="D929" t="s">
        <v>16</v>
      </c>
      <c r="E929" t="s">
        <v>6</v>
      </c>
      <c r="F929" t="s">
        <v>9</v>
      </c>
      <c r="G929">
        <v>75825</v>
      </c>
      <c r="H929">
        <v>0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f>SUM(Table1[[#This Row],[Gold Spending]]+Table1[[#This Row],[Sweet Spending]]+Table1[[#This Row],[Fish Spending]]+Table1[[#This Row],[Meat Spending]]+Table1[[#This Row],[Fruits Spending]]+Table1[[#This Row],[Wine Spending ]])</f>
        <v>2209</v>
      </c>
      <c r="Q929">
        <v>0</v>
      </c>
      <c r="R929">
        <v>5</v>
      </c>
      <c r="S929">
        <v>8</v>
      </c>
      <c r="T929">
        <v>9</v>
      </c>
      <c r="U929">
        <f>SUM(Table1[[#This Row],[Store_Purchases]]+Table1[[#This Row],[Catalog_Purchases]]+Table1[[#This Row],[Web_Purchases]]+Table1[[#This Row],[Deal_Purchases]])</f>
        <v>22</v>
      </c>
      <c r="V929">
        <v>4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f>SUM(Table1[[#This Row],[Accepted_Campaign_2]]+Table1[[#This Row],[Accepted_Campaign_1]]+Table1[[#This Row],[Accepted_Campaign_5]]+Table1[[#This Row],[Accepted_Campaign_4]]+Table1[[#This Row],[Accepted_Campaign_3]])</f>
        <v>1</v>
      </c>
      <c r="AC929">
        <v>1</v>
      </c>
      <c r="AD929">
        <v>0</v>
      </c>
    </row>
    <row r="930" spans="1:30" x14ac:dyDescent="0.25">
      <c r="A930">
        <v>41160</v>
      </c>
      <c r="B930">
        <v>8783</v>
      </c>
      <c r="C930">
        <v>1950</v>
      </c>
      <c r="D930" t="s">
        <v>13</v>
      </c>
      <c r="E930" t="s">
        <v>6</v>
      </c>
      <c r="F930" t="s">
        <v>11</v>
      </c>
      <c r="G930">
        <v>57045</v>
      </c>
      <c r="H930">
        <v>1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f>SUM(Table1[[#This Row],[Gold Spending]]+Table1[[#This Row],[Sweet Spending]]+Table1[[#This Row],[Fish Spending]]+Table1[[#This Row],[Meat Spending]]+Table1[[#This Row],[Fruits Spending]]+Table1[[#This Row],[Wine Spending ]])</f>
        <v>454</v>
      </c>
      <c r="Q930">
        <v>3</v>
      </c>
      <c r="R930">
        <v>4</v>
      </c>
      <c r="S930">
        <v>2</v>
      </c>
      <c r="T930">
        <v>9</v>
      </c>
      <c r="U930">
        <f>SUM(Table1[[#This Row],[Store_Purchases]]+Table1[[#This Row],[Catalog_Purchases]]+Table1[[#This Row],[Web_Purchases]]+Table1[[#This Row],[Deal_Purchases]])</f>
        <v>18</v>
      </c>
      <c r="V930">
        <v>3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f>SUM(Table1[[#This Row],[Accepted_Campaign_2]]+Table1[[#This Row],[Accepted_Campaign_1]]+Table1[[#This Row],[Accepted_Campaign_5]]+Table1[[#This Row],[Accepted_Campaign_4]]+Table1[[#This Row],[Accepted_Campaign_3]])</f>
        <v>0</v>
      </c>
      <c r="AC930">
        <v>0</v>
      </c>
      <c r="AD930">
        <v>0</v>
      </c>
    </row>
    <row r="931" spans="1:30" x14ac:dyDescent="0.25">
      <c r="A931">
        <v>41158</v>
      </c>
      <c r="B931">
        <v>1403</v>
      </c>
      <c r="C931">
        <v>1975</v>
      </c>
      <c r="D931" t="s">
        <v>8</v>
      </c>
      <c r="E931" t="s">
        <v>15</v>
      </c>
      <c r="F931" t="s">
        <v>12</v>
      </c>
      <c r="G931">
        <v>34984</v>
      </c>
      <c r="H931">
        <v>2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f>SUM(Table1[[#This Row],[Gold Spending]]+Table1[[#This Row],[Sweet Spending]]+Table1[[#This Row],[Fish Spending]]+Table1[[#This Row],[Meat Spending]]+Table1[[#This Row],[Fruits Spending]]+Table1[[#This Row],[Wine Spending ]])</f>
        <v>38</v>
      </c>
      <c r="Q931">
        <v>2</v>
      </c>
      <c r="R931">
        <v>1</v>
      </c>
      <c r="S931">
        <v>0</v>
      </c>
      <c r="T931">
        <v>3</v>
      </c>
      <c r="U931">
        <f>SUM(Table1[[#This Row],[Store_Purchases]]+Table1[[#This Row],[Catalog_Purchases]]+Table1[[#This Row],[Web_Purchases]]+Table1[[#This Row],[Deal_Purchases]])</f>
        <v>6</v>
      </c>
      <c r="V931">
        <v>7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f>SUM(Table1[[#This Row],[Accepted_Campaign_2]]+Table1[[#This Row],[Accepted_Campaign_1]]+Table1[[#This Row],[Accepted_Campaign_5]]+Table1[[#This Row],[Accepted_Campaign_4]]+Table1[[#This Row],[Accepted_Campaign_3]])</f>
        <v>0</v>
      </c>
      <c r="AC931">
        <v>0</v>
      </c>
      <c r="AD931">
        <v>0</v>
      </c>
    </row>
    <row r="932" spans="1:30" x14ac:dyDescent="0.25">
      <c r="A932">
        <v>41147</v>
      </c>
      <c r="B932">
        <v>4643</v>
      </c>
      <c r="C932">
        <v>1973</v>
      </c>
      <c r="D932" t="s">
        <v>13</v>
      </c>
      <c r="E932" t="s">
        <v>6</v>
      </c>
      <c r="F932" t="s">
        <v>11</v>
      </c>
      <c r="G932">
        <v>27803</v>
      </c>
      <c r="H932">
        <v>1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f>SUM(Table1[[#This Row],[Gold Spending]]+Table1[[#This Row],[Sweet Spending]]+Table1[[#This Row],[Fish Spending]]+Table1[[#This Row],[Meat Spending]]+Table1[[#This Row],[Fruits Spending]]+Table1[[#This Row],[Wine Spending ]])</f>
        <v>176</v>
      </c>
      <c r="Q932">
        <v>2</v>
      </c>
      <c r="R932">
        <v>3</v>
      </c>
      <c r="S932">
        <v>0</v>
      </c>
      <c r="T932">
        <v>4</v>
      </c>
      <c r="U932">
        <f>SUM(Table1[[#This Row],[Store_Purchases]]+Table1[[#This Row],[Catalog_Purchases]]+Table1[[#This Row],[Web_Purchases]]+Table1[[#This Row],[Deal_Purchases]])</f>
        <v>9</v>
      </c>
      <c r="V932">
        <v>8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f>SUM(Table1[[#This Row],[Accepted_Campaign_2]]+Table1[[#This Row],[Accepted_Campaign_1]]+Table1[[#This Row],[Accepted_Campaign_5]]+Table1[[#This Row],[Accepted_Campaign_4]]+Table1[[#This Row],[Accepted_Campaign_3]])</f>
        <v>0</v>
      </c>
      <c r="AC932">
        <v>0</v>
      </c>
      <c r="AD932">
        <v>0</v>
      </c>
    </row>
    <row r="933" spans="1:30" x14ac:dyDescent="0.25">
      <c r="A933">
        <v>41804</v>
      </c>
      <c r="B933">
        <v>3463</v>
      </c>
      <c r="C933">
        <v>1975</v>
      </c>
      <c r="D933" t="s">
        <v>17</v>
      </c>
      <c r="E933" t="s">
        <v>14</v>
      </c>
      <c r="F933" t="s">
        <v>11</v>
      </c>
      <c r="G933">
        <v>69283</v>
      </c>
      <c r="H933">
        <v>1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f>SUM(Table1[[#This Row],[Gold Spending]]+Table1[[#This Row],[Sweet Spending]]+Table1[[#This Row],[Fish Spending]]+Table1[[#This Row],[Meat Spending]]+Table1[[#This Row],[Fruits Spending]]+Table1[[#This Row],[Wine Spending ]])</f>
        <v>904</v>
      </c>
      <c r="Q933">
        <v>4</v>
      </c>
      <c r="R933">
        <v>7</v>
      </c>
      <c r="S933">
        <v>3</v>
      </c>
      <c r="T933">
        <v>13</v>
      </c>
      <c r="U933">
        <f>SUM(Table1[[#This Row],[Store_Purchases]]+Table1[[#This Row],[Catalog_Purchases]]+Table1[[#This Row],[Web_Purchases]]+Table1[[#This Row],[Deal_Purchases]])</f>
        <v>27</v>
      </c>
      <c r="V933">
        <v>5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f>SUM(Table1[[#This Row],[Accepted_Campaign_2]]+Table1[[#This Row],[Accepted_Campaign_1]]+Table1[[#This Row],[Accepted_Campaign_5]]+Table1[[#This Row],[Accepted_Campaign_4]]+Table1[[#This Row],[Accepted_Campaign_3]])</f>
        <v>0</v>
      </c>
      <c r="AC933">
        <v>0</v>
      </c>
      <c r="AD933">
        <v>0</v>
      </c>
    </row>
    <row r="934" spans="1:30" x14ac:dyDescent="0.25">
      <c r="A934">
        <v>41788</v>
      </c>
      <c r="B934">
        <v>4055</v>
      </c>
      <c r="C934">
        <v>1992</v>
      </c>
      <c r="D934" t="s">
        <v>8</v>
      </c>
      <c r="E934" t="s">
        <v>21</v>
      </c>
      <c r="F934" t="s">
        <v>9</v>
      </c>
      <c r="G934">
        <v>18746</v>
      </c>
      <c r="H934">
        <v>1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f>SUM(Table1[[#This Row],[Gold Spending]]+Table1[[#This Row],[Sweet Spending]]+Table1[[#This Row],[Fish Spending]]+Table1[[#This Row],[Meat Spending]]+Table1[[#This Row],[Fruits Spending]]+Table1[[#This Row],[Wine Spending ]])</f>
        <v>64</v>
      </c>
      <c r="Q934">
        <v>2</v>
      </c>
      <c r="R934">
        <v>3</v>
      </c>
      <c r="S934">
        <v>0</v>
      </c>
      <c r="T934">
        <v>3</v>
      </c>
      <c r="U934">
        <f>SUM(Table1[[#This Row],[Store_Purchases]]+Table1[[#This Row],[Catalog_Purchases]]+Table1[[#This Row],[Web_Purchases]]+Table1[[#This Row],[Deal_Purchases]])</f>
        <v>8</v>
      </c>
      <c r="V934">
        <v>6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f>SUM(Table1[[#This Row],[Accepted_Campaign_2]]+Table1[[#This Row],[Accepted_Campaign_1]]+Table1[[#This Row],[Accepted_Campaign_5]]+Table1[[#This Row],[Accepted_Campaign_4]]+Table1[[#This Row],[Accepted_Campaign_3]])</f>
        <v>0</v>
      </c>
      <c r="AC934">
        <v>0</v>
      </c>
      <c r="AD934">
        <v>0</v>
      </c>
    </row>
    <row r="935" spans="1:30" x14ac:dyDescent="0.25">
      <c r="A935">
        <v>41736</v>
      </c>
      <c r="B935">
        <v>7010</v>
      </c>
      <c r="C935">
        <v>1965</v>
      </c>
      <c r="D935" t="s">
        <v>8</v>
      </c>
      <c r="E935" t="s">
        <v>15</v>
      </c>
      <c r="F935" t="s">
        <v>11</v>
      </c>
      <c r="G935">
        <v>70924</v>
      </c>
      <c r="H935">
        <v>0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f>SUM(Table1[[#This Row],[Gold Spending]]+Table1[[#This Row],[Sweet Spending]]+Table1[[#This Row],[Fish Spending]]+Table1[[#This Row],[Meat Spending]]+Table1[[#This Row],[Fruits Spending]]+Table1[[#This Row],[Wine Spending ]])</f>
        <v>1363</v>
      </c>
      <c r="Q935">
        <v>1</v>
      </c>
      <c r="R935">
        <v>6</v>
      </c>
      <c r="S935">
        <v>6</v>
      </c>
      <c r="T935">
        <v>7</v>
      </c>
      <c r="U935">
        <f>SUM(Table1[[#This Row],[Store_Purchases]]+Table1[[#This Row],[Catalog_Purchases]]+Table1[[#This Row],[Web_Purchases]]+Table1[[#This Row],[Deal_Purchases]])</f>
        <v>20</v>
      </c>
      <c r="V935">
        <v>3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f>SUM(Table1[[#This Row],[Accepted_Campaign_2]]+Table1[[#This Row],[Accepted_Campaign_1]]+Table1[[#This Row],[Accepted_Campaign_5]]+Table1[[#This Row],[Accepted_Campaign_4]]+Table1[[#This Row],[Accepted_Campaign_3]])</f>
        <v>1</v>
      </c>
      <c r="AC935">
        <v>0</v>
      </c>
      <c r="AD935">
        <v>0</v>
      </c>
    </row>
    <row r="936" spans="1:30" x14ac:dyDescent="0.25">
      <c r="A936">
        <v>41736</v>
      </c>
      <c r="B936">
        <v>4767</v>
      </c>
      <c r="C936">
        <v>1965</v>
      </c>
      <c r="D936" t="s">
        <v>8</v>
      </c>
      <c r="E936" t="s">
        <v>15</v>
      </c>
      <c r="F936" t="s">
        <v>11</v>
      </c>
      <c r="G936">
        <v>70924</v>
      </c>
      <c r="H936">
        <v>0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f>SUM(Table1[[#This Row],[Gold Spending]]+Table1[[#This Row],[Sweet Spending]]+Table1[[#This Row],[Fish Spending]]+Table1[[#This Row],[Meat Spending]]+Table1[[#This Row],[Fruits Spending]]+Table1[[#This Row],[Wine Spending ]])</f>
        <v>1363</v>
      </c>
      <c r="Q936">
        <v>1</v>
      </c>
      <c r="R936">
        <v>6</v>
      </c>
      <c r="S936">
        <v>6</v>
      </c>
      <c r="T936">
        <v>7</v>
      </c>
      <c r="U936">
        <f>SUM(Table1[[#This Row],[Store_Purchases]]+Table1[[#This Row],[Catalog_Purchases]]+Table1[[#This Row],[Web_Purchases]]+Table1[[#This Row],[Deal_Purchases]])</f>
        <v>20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f>SUM(Table1[[#This Row],[Accepted_Campaign_2]]+Table1[[#This Row],[Accepted_Campaign_1]]+Table1[[#This Row],[Accepted_Campaign_5]]+Table1[[#This Row],[Accepted_Campaign_4]]+Table1[[#This Row],[Accepted_Campaign_3]])</f>
        <v>1</v>
      </c>
      <c r="AC936">
        <v>0</v>
      </c>
      <c r="AD936">
        <v>0</v>
      </c>
    </row>
    <row r="937" spans="1:30" x14ac:dyDescent="0.25">
      <c r="A937">
        <v>41721</v>
      </c>
      <c r="B937">
        <v>1927</v>
      </c>
      <c r="C937">
        <v>1973</v>
      </c>
      <c r="D937" t="s">
        <v>16</v>
      </c>
      <c r="E937" t="s">
        <v>15</v>
      </c>
      <c r="F937" t="s">
        <v>12</v>
      </c>
      <c r="G937">
        <v>69401</v>
      </c>
      <c r="H937">
        <v>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f>SUM(Table1[[#This Row],[Gold Spending]]+Table1[[#This Row],[Sweet Spending]]+Table1[[#This Row],[Fish Spending]]+Table1[[#This Row],[Meat Spending]]+Table1[[#This Row],[Fruits Spending]]+Table1[[#This Row],[Wine Spending ]])</f>
        <v>690</v>
      </c>
      <c r="Q937">
        <v>4</v>
      </c>
      <c r="R937">
        <v>4</v>
      </c>
      <c r="S937">
        <v>4</v>
      </c>
      <c r="T937">
        <v>5</v>
      </c>
      <c r="U937">
        <f>SUM(Table1[[#This Row],[Store_Purchases]]+Table1[[#This Row],[Catalog_Purchases]]+Table1[[#This Row],[Web_Purchases]]+Table1[[#This Row],[Deal_Purchases]])</f>
        <v>17</v>
      </c>
      <c r="V937">
        <v>2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f>SUM(Table1[[#This Row],[Accepted_Campaign_2]]+Table1[[#This Row],[Accepted_Campaign_1]]+Table1[[#This Row],[Accepted_Campaign_5]]+Table1[[#This Row],[Accepted_Campaign_4]]+Table1[[#This Row],[Accepted_Campaign_3]])</f>
        <v>0</v>
      </c>
      <c r="AC937">
        <v>0</v>
      </c>
      <c r="AD937">
        <v>0</v>
      </c>
    </row>
    <row r="938" spans="1:30" x14ac:dyDescent="0.25">
      <c r="A938">
        <v>41664</v>
      </c>
      <c r="B938">
        <v>437</v>
      </c>
      <c r="C938">
        <v>1976</v>
      </c>
      <c r="D938" t="s">
        <v>13</v>
      </c>
      <c r="E938" t="s">
        <v>18</v>
      </c>
      <c r="F938" t="s">
        <v>7</v>
      </c>
      <c r="G938">
        <v>75012</v>
      </c>
      <c r="H938">
        <v>0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f>SUM(Table1[[#This Row],[Gold Spending]]+Table1[[#This Row],[Sweet Spending]]+Table1[[#This Row],[Fish Spending]]+Table1[[#This Row],[Meat Spending]]+Table1[[#This Row],[Fruits Spending]]+Table1[[#This Row],[Wine Spending ]])</f>
        <v>1027</v>
      </c>
      <c r="Q938">
        <v>1</v>
      </c>
      <c r="R938">
        <v>3</v>
      </c>
      <c r="S938">
        <v>8</v>
      </c>
      <c r="T938">
        <v>11</v>
      </c>
      <c r="U938">
        <f>SUM(Table1[[#This Row],[Store_Purchases]]+Table1[[#This Row],[Catalog_Purchases]]+Table1[[#This Row],[Web_Purchases]]+Table1[[#This Row],[Deal_Purchases]])</f>
        <v>23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f>SUM(Table1[[#This Row],[Accepted_Campaign_2]]+Table1[[#This Row],[Accepted_Campaign_1]]+Table1[[#This Row],[Accepted_Campaign_5]]+Table1[[#This Row],[Accepted_Campaign_4]]+Table1[[#This Row],[Accepted_Campaign_3]])</f>
        <v>0</v>
      </c>
      <c r="AC938">
        <v>0</v>
      </c>
      <c r="AD938">
        <v>0</v>
      </c>
    </row>
    <row r="939" spans="1:30" x14ac:dyDescent="0.25">
      <c r="A939">
        <v>41662</v>
      </c>
      <c r="B939">
        <v>4331</v>
      </c>
      <c r="C939">
        <v>1978</v>
      </c>
      <c r="D939" t="s">
        <v>8</v>
      </c>
      <c r="E939" t="s">
        <v>18</v>
      </c>
      <c r="F939" t="s">
        <v>12</v>
      </c>
      <c r="G939">
        <v>85738</v>
      </c>
      <c r="H939">
        <v>0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f>SUM(Table1[[#This Row],[Gold Spending]]+Table1[[#This Row],[Sweet Spending]]+Table1[[#This Row],[Fish Spending]]+Table1[[#This Row],[Meat Spending]]+Table1[[#This Row],[Fruits Spending]]+Table1[[#This Row],[Wine Spending ]])</f>
        <v>1371</v>
      </c>
      <c r="Q939">
        <v>1</v>
      </c>
      <c r="R939">
        <v>3</v>
      </c>
      <c r="S939">
        <v>6</v>
      </c>
      <c r="T939">
        <v>11</v>
      </c>
      <c r="U939">
        <f>SUM(Table1[[#This Row],[Store_Purchases]]+Table1[[#This Row],[Catalog_Purchases]]+Table1[[#This Row],[Web_Purchases]]+Table1[[#This Row],[Deal_Purchases]])</f>
        <v>21</v>
      </c>
      <c r="V939">
        <v>1</v>
      </c>
      <c r="W939">
        <v>0</v>
      </c>
      <c r="X939">
        <v>1</v>
      </c>
      <c r="Y939">
        <v>1</v>
      </c>
      <c r="Z939">
        <v>0</v>
      </c>
      <c r="AA939">
        <v>0</v>
      </c>
      <c r="AB939">
        <f>SUM(Table1[[#This Row],[Accepted_Campaign_2]]+Table1[[#This Row],[Accepted_Campaign_1]]+Table1[[#This Row],[Accepted_Campaign_5]]+Table1[[#This Row],[Accepted_Campaign_4]]+Table1[[#This Row],[Accepted_Campaign_3]])</f>
        <v>2</v>
      </c>
      <c r="AC939">
        <v>0</v>
      </c>
      <c r="AD939">
        <v>0</v>
      </c>
    </row>
    <row r="940" spans="1:30" x14ac:dyDescent="0.25">
      <c r="A940">
        <v>41656</v>
      </c>
      <c r="B940">
        <v>4084</v>
      </c>
      <c r="C940">
        <v>1975</v>
      </c>
      <c r="D940" t="s">
        <v>10</v>
      </c>
      <c r="E940" t="s">
        <v>6</v>
      </c>
      <c r="F940" t="s">
        <v>12</v>
      </c>
      <c r="G940">
        <v>60934</v>
      </c>
      <c r="H940">
        <v>1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f>SUM(Table1[[#This Row],[Gold Spending]]+Table1[[#This Row],[Sweet Spending]]+Table1[[#This Row],[Fish Spending]]+Table1[[#This Row],[Meat Spending]]+Table1[[#This Row],[Fruits Spending]]+Table1[[#This Row],[Wine Spending ]])</f>
        <v>873</v>
      </c>
      <c r="Q940">
        <v>2</v>
      </c>
      <c r="R940">
        <v>6</v>
      </c>
      <c r="S940">
        <v>4</v>
      </c>
      <c r="T940">
        <v>11</v>
      </c>
      <c r="U940">
        <f>SUM(Table1[[#This Row],[Store_Purchases]]+Table1[[#This Row],[Catalog_Purchases]]+Table1[[#This Row],[Web_Purchases]]+Table1[[#This Row],[Deal_Purchases]])</f>
        <v>23</v>
      </c>
      <c r="V940">
        <v>4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f>SUM(Table1[[#This Row],[Accepted_Campaign_2]]+Table1[[#This Row],[Accepted_Campaign_1]]+Table1[[#This Row],[Accepted_Campaign_5]]+Table1[[#This Row],[Accepted_Campaign_4]]+Table1[[#This Row],[Accepted_Campaign_3]])</f>
        <v>0</v>
      </c>
      <c r="AC940">
        <v>0</v>
      </c>
      <c r="AD940">
        <v>0</v>
      </c>
    </row>
    <row r="941" spans="1:30" x14ac:dyDescent="0.25">
      <c r="A941">
        <v>41575</v>
      </c>
      <c r="B941">
        <v>8135</v>
      </c>
      <c r="C941">
        <v>1986</v>
      </c>
      <c r="D941" t="s">
        <v>20</v>
      </c>
      <c r="E941" t="s">
        <v>18</v>
      </c>
      <c r="F941" t="s">
        <v>11</v>
      </c>
      <c r="G941">
        <v>27161</v>
      </c>
      <c r="H941">
        <v>1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f>SUM(Table1[[#This Row],[Gold Spending]]+Table1[[#This Row],[Sweet Spending]]+Table1[[#This Row],[Fish Spending]]+Table1[[#This Row],[Meat Spending]]+Table1[[#This Row],[Fruits Spending]]+Table1[[#This Row],[Wine Spending ]])</f>
        <v>52</v>
      </c>
      <c r="Q941">
        <v>1</v>
      </c>
      <c r="R941">
        <v>1</v>
      </c>
      <c r="S941">
        <v>0</v>
      </c>
      <c r="T941">
        <v>3</v>
      </c>
      <c r="U941">
        <f>SUM(Table1[[#This Row],[Store_Purchases]]+Table1[[#This Row],[Catalog_Purchases]]+Table1[[#This Row],[Web_Purchases]]+Table1[[#This Row],[Deal_Purchases]])</f>
        <v>5</v>
      </c>
      <c r="V941">
        <v>7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f>SUM(Table1[[#This Row],[Accepted_Campaign_2]]+Table1[[#This Row],[Accepted_Campaign_1]]+Table1[[#This Row],[Accepted_Campaign_5]]+Table1[[#This Row],[Accepted_Campaign_4]]+Table1[[#This Row],[Accepted_Campaign_3]])</f>
        <v>0</v>
      </c>
      <c r="AC941">
        <v>0</v>
      </c>
      <c r="AD941">
        <v>0</v>
      </c>
    </row>
    <row r="942" spans="1:30" x14ac:dyDescent="0.25">
      <c r="A942">
        <v>41312</v>
      </c>
      <c r="B942">
        <v>9750</v>
      </c>
      <c r="C942">
        <v>1961</v>
      </c>
      <c r="D942" t="s">
        <v>8</v>
      </c>
      <c r="E942" t="s">
        <v>14</v>
      </c>
      <c r="F942" t="s">
        <v>7</v>
      </c>
      <c r="G942">
        <v>64325</v>
      </c>
      <c r="H942">
        <v>1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f>SUM(Table1[[#This Row],[Gold Spending]]+Table1[[#This Row],[Sweet Spending]]+Table1[[#This Row],[Fish Spending]]+Table1[[#This Row],[Meat Spending]]+Table1[[#This Row],[Fruits Spending]]+Table1[[#This Row],[Wine Spending ]])</f>
        <v>1307</v>
      </c>
      <c r="Q942">
        <v>5</v>
      </c>
      <c r="R942">
        <v>10</v>
      </c>
      <c r="S942">
        <v>3</v>
      </c>
      <c r="T942">
        <v>5</v>
      </c>
      <c r="U942">
        <f>SUM(Table1[[#This Row],[Store_Purchases]]+Table1[[#This Row],[Catalog_Purchases]]+Table1[[#This Row],[Web_Purchases]]+Table1[[#This Row],[Deal_Purchases]])</f>
        <v>23</v>
      </c>
      <c r="V942">
        <v>7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f>SUM(Table1[[#This Row],[Accepted_Campaign_2]]+Table1[[#This Row],[Accepted_Campaign_1]]+Table1[[#This Row],[Accepted_Campaign_5]]+Table1[[#This Row],[Accepted_Campaign_4]]+Table1[[#This Row],[Accepted_Campaign_3]])</f>
        <v>0</v>
      </c>
      <c r="AC942">
        <v>0</v>
      </c>
      <c r="AD942">
        <v>0</v>
      </c>
    </row>
    <row r="943" spans="1:30" x14ac:dyDescent="0.25">
      <c r="A943">
        <v>41254</v>
      </c>
      <c r="B943">
        <v>6682</v>
      </c>
      <c r="C943">
        <v>1973</v>
      </c>
      <c r="D943" t="s">
        <v>8</v>
      </c>
      <c r="E943" t="s">
        <v>21</v>
      </c>
      <c r="F943" t="s">
        <v>11</v>
      </c>
      <c r="G943">
        <v>18978</v>
      </c>
      <c r="H943">
        <v>1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f>SUM(Table1[[#This Row],[Gold Spending]]+Table1[[#This Row],[Sweet Spending]]+Table1[[#This Row],[Fish Spending]]+Table1[[#This Row],[Meat Spending]]+Table1[[#This Row],[Fruits Spending]]+Table1[[#This Row],[Wine Spending ]])</f>
        <v>37</v>
      </c>
      <c r="Q943">
        <v>1</v>
      </c>
      <c r="R943">
        <v>1</v>
      </c>
      <c r="S943">
        <v>0</v>
      </c>
      <c r="T943">
        <v>3</v>
      </c>
      <c r="U943">
        <f>SUM(Table1[[#This Row],[Store_Purchases]]+Table1[[#This Row],[Catalog_Purchases]]+Table1[[#This Row],[Web_Purchases]]+Table1[[#This Row],[Deal_Purchases]])</f>
        <v>5</v>
      </c>
      <c r="V943">
        <v>8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f>SUM(Table1[[#This Row],[Accepted_Campaign_2]]+Table1[[#This Row],[Accepted_Campaign_1]]+Table1[[#This Row],[Accepted_Campaign_5]]+Table1[[#This Row],[Accepted_Campaign_4]]+Table1[[#This Row],[Accepted_Campaign_3]])</f>
        <v>0</v>
      </c>
      <c r="AC943">
        <v>0</v>
      </c>
      <c r="AD943">
        <v>0</v>
      </c>
    </row>
    <row r="944" spans="1:30" x14ac:dyDescent="0.25">
      <c r="A944">
        <v>41213</v>
      </c>
      <c r="B944">
        <v>10581</v>
      </c>
      <c r="C944">
        <v>1977</v>
      </c>
      <c r="D944" t="s">
        <v>8</v>
      </c>
      <c r="E944" t="s">
        <v>6</v>
      </c>
      <c r="F944" t="s">
        <v>11</v>
      </c>
      <c r="G944">
        <v>41124</v>
      </c>
      <c r="H944">
        <v>1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f>SUM(Table1[[#This Row],[Gold Spending]]+Table1[[#This Row],[Sweet Spending]]+Table1[[#This Row],[Fish Spending]]+Table1[[#This Row],[Meat Spending]]+Table1[[#This Row],[Fruits Spending]]+Table1[[#This Row],[Wine Spending ]])</f>
        <v>506</v>
      </c>
      <c r="Q944">
        <v>7</v>
      </c>
      <c r="R944">
        <v>7</v>
      </c>
      <c r="S944">
        <v>3</v>
      </c>
      <c r="T944">
        <v>4</v>
      </c>
      <c r="U944">
        <f>SUM(Table1[[#This Row],[Store_Purchases]]+Table1[[#This Row],[Catalog_Purchases]]+Table1[[#This Row],[Web_Purchases]]+Table1[[#This Row],[Deal_Purchases]])</f>
        <v>21</v>
      </c>
      <c r="V944">
        <v>8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f>SUM(Table1[[#This Row],[Accepted_Campaign_2]]+Table1[[#This Row],[Accepted_Campaign_1]]+Table1[[#This Row],[Accepted_Campaign_5]]+Table1[[#This Row],[Accepted_Campaign_4]]+Table1[[#This Row],[Accepted_Campaign_3]])</f>
        <v>0</v>
      </c>
      <c r="AC944">
        <v>0</v>
      </c>
      <c r="AD944">
        <v>0</v>
      </c>
    </row>
    <row r="945" spans="1:30" x14ac:dyDescent="0.25">
      <c r="A945">
        <v>41194</v>
      </c>
      <c r="B945">
        <v>3710</v>
      </c>
      <c r="C945">
        <v>1984</v>
      </c>
      <c r="D945" t="s">
        <v>8</v>
      </c>
      <c r="E945" t="s">
        <v>14</v>
      </c>
      <c r="F945" t="s">
        <v>9</v>
      </c>
      <c r="G945">
        <v>39684</v>
      </c>
      <c r="H945">
        <v>1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f>SUM(Table1[[#This Row],[Gold Spending]]+Table1[[#This Row],[Sweet Spending]]+Table1[[#This Row],[Fish Spending]]+Table1[[#This Row],[Meat Spending]]+Table1[[#This Row],[Fruits Spending]]+Table1[[#This Row],[Wine Spending ]])</f>
        <v>81</v>
      </c>
      <c r="Q945">
        <v>2</v>
      </c>
      <c r="R945">
        <v>2</v>
      </c>
      <c r="S945">
        <v>1</v>
      </c>
      <c r="T945">
        <v>2</v>
      </c>
      <c r="U945">
        <f>SUM(Table1[[#This Row],[Store_Purchases]]+Table1[[#This Row],[Catalog_Purchases]]+Table1[[#This Row],[Web_Purchases]]+Table1[[#This Row],[Deal_Purchases]])</f>
        <v>7</v>
      </c>
      <c r="V945">
        <v>7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f>SUM(Table1[[#This Row],[Accepted_Campaign_2]]+Table1[[#This Row],[Accepted_Campaign_1]]+Table1[[#This Row],[Accepted_Campaign_5]]+Table1[[#This Row],[Accepted_Campaign_4]]+Table1[[#This Row],[Accepted_Campaign_3]])</f>
        <v>0</v>
      </c>
      <c r="AC945">
        <v>1</v>
      </c>
      <c r="AD945">
        <v>1</v>
      </c>
    </row>
    <row r="946" spans="1:30" x14ac:dyDescent="0.25">
      <c r="A946">
        <v>41176</v>
      </c>
      <c r="B946">
        <v>5207</v>
      </c>
      <c r="C946">
        <v>1963</v>
      </c>
      <c r="D946" t="s">
        <v>8</v>
      </c>
      <c r="E946" t="s">
        <v>14</v>
      </c>
      <c r="F946" t="s">
        <v>11</v>
      </c>
      <c r="G946">
        <v>53378</v>
      </c>
      <c r="H946">
        <v>2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f>SUM(Table1[[#This Row],[Gold Spending]]+Table1[[#This Row],[Sweet Spending]]+Table1[[#This Row],[Fish Spending]]+Table1[[#This Row],[Meat Spending]]+Table1[[#This Row],[Fruits Spending]]+Table1[[#This Row],[Wine Spending ]])</f>
        <v>793</v>
      </c>
      <c r="Q946">
        <v>10</v>
      </c>
      <c r="R946">
        <v>9</v>
      </c>
      <c r="S946">
        <v>4</v>
      </c>
      <c r="T946">
        <v>6</v>
      </c>
      <c r="U946">
        <f>SUM(Table1[[#This Row],[Store_Purchases]]+Table1[[#This Row],[Catalog_Purchases]]+Table1[[#This Row],[Web_Purchases]]+Table1[[#This Row],[Deal_Purchases]])</f>
        <v>29</v>
      </c>
      <c r="V946">
        <v>8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f>SUM(Table1[[#This Row],[Accepted_Campaign_2]]+Table1[[#This Row],[Accepted_Campaign_1]]+Table1[[#This Row],[Accepted_Campaign_5]]+Table1[[#This Row],[Accepted_Campaign_4]]+Table1[[#This Row],[Accepted_Campaign_3]])</f>
        <v>0</v>
      </c>
      <c r="AC946">
        <v>1</v>
      </c>
      <c r="AD946">
        <v>0</v>
      </c>
    </row>
    <row r="947" spans="1:30" x14ac:dyDescent="0.25">
      <c r="A947">
        <v>41129</v>
      </c>
      <c r="B947">
        <v>9360</v>
      </c>
      <c r="C947">
        <v>1982</v>
      </c>
      <c r="D947" t="s">
        <v>63</v>
      </c>
      <c r="E947" t="s">
        <v>6</v>
      </c>
      <c r="F947" t="s">
        <v>11</v>
      </c>
      <c r="G947">
        <v>37040</v>
      </c>
      <c r="H947">
        <v>0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f>SUM(Table1[[#This Row],[Gold Spending]]+Table1[[#This Row],[Sweet Spending]]+Table1[[#This Row],[Fish Spending]]+Table1[[#This Row],[Meat Spending]]+Table1[[#This Row],[Fruits Spending]]+Table1[[#This Row],[Wine Spending ]])</f>
        <v>316</v>
      </c>
      <c r="Q947">
        <v>1</v>
      </c>
      <c r="R947">
        <v>4</v>
      </c>
      <c r="S947">
        <v>2</v>
      </c>
      <c r="T947">
        <v>5</v>
      </c>
      <c r="U947">
        <f>SUM(Table1[[#This Row],[Store_Purchases]]+Table1[[#This Row],[Catalog_Purchases]]+Table1[[#This Row],[Web_Purchases]]+Table1[[#This Row],[Deal_Purchases]])</f>
        <v>12</v>
      </c>
      <c r="V947">
        <v>8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f>SUM(Table1[[#This Row],[Accepted_Campaign_2]]+Table1[[#This Row],[Accepted_Campaign_1]]+Table1[[#This Row],[Accepted_Campaign_5]]+Table1[[#This Row],[Accepted_Campaign_4]]+Table1[[#This Row],[Accepted_Campaign_3]])</f>
        <v>0</v>
      </c>
      <c r="AC947">
        <v>0</v>
      </c>
      <c r="AD947">
        <v>0</v>
      </c>
    </row>
    <row r="948" spans="1:30" x14ac:dyDescent="0.25">
      <c r="A948">
        <v>41782</v>
      </c>
      <c r="B948">
        <v>4679</v>
      </c>
      <c r="C948">
        <v>1977</v>
      </c>
      <c r="D948" t="s">
        <v>8</v>
      </c>
      <c r="E948" t="s">
        <v>18</v>
      </c>
      <c r="F948" t="s">
        <v>11</v>
      </c>
      <c r="G948">
        <v>78710</v>
      </c>
      <c r="H948">
        <v>1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f>SUM(Table1[[#This Row],[Gold Spending]]+Table1[[#This Row],[Sweet Spending]]+Table1[[#This Row],[Fish Spending]]+Table1[[#This Row],[Meat Spending]]+Table1[[#This Row],[Fruits Spending]]+Table1[[#This Row],[Wine Spending ]])</f>
        <v>1092</v>
      </c>
      <c r="Q948">
        <v>3</v>
      </c>
      <c r="R948">
        <v>7</v>
      </c>
      <c r="S948">
        <v>6</v>
      </c>
      <c r="T948">
        <v>12</v>
      </c>
      <c r="U948">
        <f>SUM(Table1[[#This Row],[Store_Purchases]]+Table1[[#This Row],[Catalog_Purchases]]+Table1[[#This Row],[Web_Purchases]]+Table1[[#This Row],[Deal_Purchases]])</f>
        <v>28</v>
      </c>
      <c r="V948">
        <v>4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f>SUM(Table1[[#This Row],[Accepted_Campaign_2]]+Table1[[#This Row],[Accepted_Campaign_1]]+Table1[[#This Row],[Accepted_Campaign_5]]+Table1[[#This Row],[Accepted_Campaign_4]]+Table1[[#This Row],[Accepted_Campaign_3]])</f>
        <v>0</v>
      </c>
      <c r="AC948">
        <v>0</v>
      </c>
      <c r="AD948">
        <v>0</v>
      </c>
    </row>
    <row r="949" spans="1:30" x14ac:dyDescent="0.25">
      <c r="A949">
        <v>41753</v>
      </c>
      <c r="B949">
        <v>1340</v>
      </c>
      <c r="C949">
        <v>1986</v>
      </c>
      <c r="D949" t="s">
        <v>8</v>
      </c>
      <c r="E949" t="s">
        <v>6</v>
      </c>
      <c r="F949" t="s">
        <v>11</v>
      </c>
      <c r="G949">
        <v>92910</v>
      </c>
      <c r="H949">
        <v>0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f>SUM(Table1[[#This Row],[Gold Spending]]+Table1[[#This Row],[Sweet Spending]]+Table1[[#This Row],[Fish Spending]]+Table1[[#This Row],[Meat Spending]]+Table1[[#This Row],[Fruits Spending]]+Table1[[#This Row],[Wine Spending ]])</f>
        <v>1795</v>
      </c>
      <c r="Q949">
        <v>1</v>
      </c>
      <c r="R949">
        <v>6</v>
      </c>
      <c r="S949">
        <v>7</v>
      </c>
      <c r="T949">
        <v>13</v>
      </c>
      <c r="U949">
        <f>SUM(Table1[[#This Row],[Store_Purchases]]+Table1[[#This Row],[Catalog_Purchases]]+Table1[[#This Row],[Web_Purchases]]+Table1[[#This Row],[Deal_Purchases]])</f>
        <v>27</v>
      </c>
      <c r="V949">
        <v>1</v>
      </c>
      <c r="W949">
        <v>0</v>
      </c>
      <c r="X949">
        <v>1</v>
      </c>
      <c r="Y949">
        <v>1</v>
      </c>
      <c r="Z949">
        <v>1</v>
      </c>
      <c r="AA949">
        <v>0</v>
      </c>
      <c r="AB949">
        <f>SUM(Table1[[#This Row],[Accepted_Campaign_2]]+Table1[[#This Row],[Accepted_Campaign_1]]+Table1[[#This Row],[Accepted_Campaign_5]]+Table1[[#This Row],[Accepted_Campaign_4]]+Table1[[#This Row],[Accepted_Campaign_3]])</f>
        <v>3</v>
      </c>
      <c r="AC949">
        <v>0</v>
      </c>
      <c r="AD949">
        <v>0</v>
      </c>
    </row>
    <row r="950" spans="1:30" x14ac:dyDescent="0.25">
      <c r="A950">
        <v>41743</v>
      </c>
      <c r="B950">
        <v>10839</v>
      </c>
      <c r="C950">
        <v>1976</v>
      </c>
      <c r="D950" t="s">
        <v>10</v>
      </c>
      <c r="E950" t="s">
        <v>6</v>
      </c>
      <c r="F950" t="s">
        <v>12</v>
      </c>
      <c r="G950">
        <v>36283</v>
      </c>
      <c r="H950">
        <v>2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f>SUM(Table1[[#This Row],[Gold Spending]]+Table1[[#This Row],[Sweet Spending]]+Table1[[#This Row],[Fish Spending]]+Table1[[#This Row],[Meat Spending]]+Table1[[#This Row],[Fruits Spending]]+Table1[[#This Row],[Wine Spending ]])</f>
        <v>29</v>
      </c>
      <c r="Q950">
        <v>2</v>
      </c>
      <c r="R950">
        <v>1</v>
      </c>
      <c r="S950">
        <v>0</v>
      </c>
      <c r="T950">
        <v>3</v>
      </c>
      <c r="U950">
        <f>SUM(Table1[[#This Row],[Store_Purchases]]+Table1[[#This Row],[Catalog_Purchases]]+Table1[[#This Row],[Web_Purchases]]+Table1[[#This Row],[Deal_Purchases]])</f>
        <v>6</v>
      </c>
      <c r="V950">
        <v>4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f>SUM(Table1[[#This Row],[Accepted_Campaign_2]]+Table1[[#This Row],[Accepted_Campaign_1]]+Table1[[#This Row],[Accepted_Campaign_5]]+Table1[[#This Row],[Accepted_Campaign_4]]+Table1[[#This Row],[Accepted_Campaign_3]])</f>
        <v>0</v>
      </c>
      <c r="AC950">
        <v>0</v>
      </c>
      <c r="AD950">
        <v>0</v>
      </c>
    </row>
    <row r="951" spans="1:30" x14ac:dyDescent="0.25">
      <c r="A951">
        <v>41737</v>
      </c>
      <c r="B951">
        <v>5303</v>
      </c>
      <c r="C951">
        <v>1974</v>
      </c>
      <c r="D951" t="s">
        <v>20</v>
      </c>
      <c r="E951" t="s">
        <v>14</v>
      </c>
      <c r="F951" t="s">
        <v>12</v>
      </c>
      <c r="G951">
        <v>79632</v>
      </c>
      <c r="H951">
        <v>0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f>SUM(Table1[[#This Row],[Gold Spending]]+Table1[[#This Row],[Sweet Spending]]+Table1[[#This Row],[Fish Spending]]+Table1[[#This Row],[Meat Spending]]+Table1[[#This Row],[Fruits Spending]]+Table1[[#This Row],[Wine Spending ]])</f>
        <v>1113</v>
      </c>
      <c r="Q951">
        <v>1</v>
      </c>
      <c r="R951">
        <v>6</v>
      </c>
      <c r="S951">
        <v>4</v>
      </c>
      <c r="T951">
        <v>9</v>
      </c>
      <c r="U951">
        <f>SUM(Table1[[#This Row],[Store_Purchases]]+Table1[[#This Row],[Catalog_Purchases]]+Table1[[#This Row],[Web_Purchases]]+Table1[[#This Row],[Deal_Purchases]])</f>
        <v>20</v>
      </c>
      <c r="V951">
        <v>2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f>SUM(Table1[[#This Row],[Accepted_Campaign_2]]+Table1[[#This Row],[Accepted_Campaign_1]]+Table1[[#This Row],[Accepted_Campaign_5]]+Table1[[#This Row],[Accepted_Campaign_4]]+Table1[[#This Row],[Accepted_Campaign_3]])</f>
        <v>0</v>
      </c>
      <c r="AC951">
        <v>0</v>
      </c>
      <c r="AD951">
        <v>0</v>
      </c>
    </row>
    <row r="952" spans="1:30" x14ac:dyDescent="0.25">
      <c r="A952">
        <v>41682</v>
      </c>
      <c r="B952">
        <v>9829</v>
      </c>
      <c r="C952">
        <v>1978</v>
      </c>
      <c r="D952" t="s">
        <v>8</v>
      </c>
      <c r="E952" t="s">
        <v>6</v>
      </c>
      <c r="F952" t="s">
        <v>12</v>
      </c>
      <c r="G952">
        <v>28587</v>
      </c>
      <c r="H952">
        <v>1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f>SUM(Table1[[#This Row],[Gold Spending]]+Table1[[#This Row],[Sweet Spending]]+Table1[[#This Row],[Fish Spending]]+Table1[[#This Row],[Meat Spending]]+Table1[[#This Row],[Fruits Spending]]+Table1[[#This Row],[Wine Spending ]])</f>
        <v>78</v>
      </c>
      <c r="Q952">
        <v>3</v>
      </c>
      <c r="R952">
        <v>2</v>
      </c>
      <c r="S952">
        <v>0</v>
      </c>
      <c r="T952">
        <v>4</v>
      </c>
      <c r="U952">
        <f>SUM(Table1[[#This Row],[Store_Purchases]]+Table1[[#This Row],[Catalog_Purchases]]+Table1[[#This Row],[Web_Purchases]]+Table1[[#This Row],[Deal_Purchases]])</f>
        <v>9</v>
      </c>
      <c r="V952">
        <v>6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f>SUM(Table1[[#This Row],[Accepted_Campaign_2]]+Table1[[#This Row],[Accepted_Campaign_1]]+Table1[[#This Row],[Accepted_Campaign_5]]+Table1[[#This Row],[Accepted_Campaign_4]]+Table1[[#This Row],[Accepted_Campaign_3]])</f>
        <v>0</v>
      </c>
      <c r="AC952">
        <v>0</v>
      </c>
      <c r="AD952">
        <v>0</v>
      </c>
    </row>
    <row r="953" spans="1:30" x14ac:dyDescent="0.25">
      <c r="A953">
        <v>41675</v>
      </c>
      <c r="B953">
        <v>10469</v>
      </c>
      <c r="C953">
        <v>1981</v>
      </c>
      <c r="D953" t="s">
        <v>17</v>
      </c>
      <c r="E953" t="s">
        <v>6</v>
      </c>
      <c r="F953" t="s">
        <v>12</v>
      </c>
      <c r="G953">
        <v>88325</v>
      </c>
      <c r="H953">
        <v>0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f>SUM(Table1[[#This Row],[Gold Spending]]+Table1[[#This Row],[Sweet Spending]]+Table1[[#This Row],[Fish Spending]]+Table1[[#This Row],[Meat Spending]]+Table1[[#This Row],[Fruits Spending]]+Table1[[#This Row],[Wine Spending ]])</f>
        <v>1623</v>
      </c>
      <c r="Q953">
        <v>1</v>
      </c>
      <c r="R953">
        <v>6</v>
      </c>
      <c r="S953">
        <v>2</v>
      </c>
      <c r="T953">
        <v>9</v>
      </c>
      <c r="U953">
        <f>SUM(Table1[[#This Row],[Store_Purchases]]+Table1[[#This Row],[Catalog_Purchases]]+Table1[[#This Row],[Web_Purchases]]+Table1[[#This Row],[Deal_Purchases]])</f>
        <v>18</v>
      </c>
      <c r="V953">
        <v>2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f>SUM(Table1[[#This Row],[Accepted_Campaign_2]]+Table1[[#This Row],[Accepted_Campaign_1]]+Table1[[#This Row],[Accepted_Campaign_5]]+Table1[[#This Row],[Accepted_Campaign_4]]+Table1[[#This Row],[Accepted_Campaign_3]])</f>
        <v>0</v>
      </c>
      <c r="AC953">
        <v>0</v>
      </c>
      <c r="AD953">
        <v>0</v>
      </c>
    </row>
    <row r="954" spans="1:30" x14ac:dyDescent="0.25">
      <c r="A954">
        <v>41639</v>
      </c>
      <c r="B954">
        <v>3602</v>
      </c>
      <c r="C954">
        <v>1958</v>
      </c>
      <c r="D954" t="s">
        <v>8</v>
      </c>
      <c r="E954" t="s">
        <v>18</v>
      </c>
      <c r="F954" t="s">
        <v>11</v>
      </c>
      <c r="G954">
        <v>51412</v>
      </c>
      <c r="H954">
        <v>1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f>SUM(Table1[[#This Row],[Gold Spending]]+Table1[[#This Row],[Sweet Spending]]+Table1[[#This Row],[Fish Spending]]+Table1[[#This Row],[Meat Spending]]+Table1[[#This Row],[Fruits Spending]]+Table1[[#This Row],[Wine Spending ]])</f>
        <v>195</v>
      </c>
      <c r="Q954">
        <v>2</v>
      </c>
      <c r="R954">
        <v>3</v>
      </c>
      <c r="S954">
        <v>2</v>
      </c>
      <c r="T954">
        <v>4</v>
      </c>
      <c r="U954">
        <f>SUM(Table1[[#This Row],[Store_Purchases]]+Table1[[#This Row],[Catalog_Purchases]]+Table1[[#This Row],[Web_Purchases]]+Table1[[#This Row],[Deal_Purchases]])</f>
        <v>11</v>
      </c>
      <c r="V954">
        <v>4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f>SUM(Table1[[#This Row],[Accepted_Campaign_2]]+Table1[[#This Row],[Accepted_Campaign_1]]+Table1[[#This Row],[Accepted_Campaign_5]]+Table1[[#This Row],[Accepted_Campaign_4]]+Table1[[#This Row],[Accepted_Campaign_3]])</f>
        <v>0</v>
      </c>
      <c r="AC954">
        <v>0</v>
      </c>
      <c r="AD954">
        <v>0</v>
      </c>
    </row>
    <row r="955" spans="1:30" x14ac:dyDescent="0.25">
      <c r="A955">
        <v>41628</v>
      </c>
      <c r="B955">
        <v>4756</v>
      </c>
      <c r="C955">
        <v>1952</v>
      </c>
      <c r="D955" t="s">
        <v>8</v>
      </c>
      <c r="E955" t="s">
        <v>15</v>
      </c>
      <c r="F955" t="s">
        <v>7</v>
      </c>
      <c r="G955">
        <v>63998</v>
      </c>
      <c r="H955">
        <v>0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f>SUM(Table1[[#This Row],[Gold Spending]]+Table1[[#This Row],[Sweet Spending]]+Table1[[#This Row],[Fish Spending]]+Table1[[#This Row],[Meat Spending]]+Table1[[#This Row],[Fruits Spending]]+Table1[[#This Row],[Wine Spending ]])</f>
        <v>1168</v>
      </c>
      <c r="Q955">
        <v>1</v>
      </c>
      <c r="R955">
        <v>7</v>
      </c>
      <c r="S955">
        <v>6</v>
      </c>
      <c r="T955">
        <v>11</v>
      </c>
      <c r="U955">
        <f>SUM(Table1[[#This Row],[Store_Purchases]]+Table1[[#This Row],[Catalog_Purchases]]+Table1[[#This Row],[Web_Purchases]]+Table1[[#This Row],[Deal_Purchases]])</f>
        <v>25</v>
      </c>
      <c r="V955">
        <v>4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f>SUM(Table1[[#This Row],[Accepted_Campaign_2]]+Table1[[#This Row],[Accepted_Campaign_1]]+Table1[[#This Row],[Accepted_Campaign_5]]+Table1[[#This Row],[Accepted_Campaign_4]]+Table1[[#This Row],[Accepted_Campaign_3]])</f>
        <v>0</v>
      </c>
      <c r="AC955">
        <v>1</v>
      </c>
      <c r="AD955">
        <v>0</v>
      </c>
    </row>
    <row r="956" spans="1:30" x14ac:dyDescent="0.25">
      <c r="A956">
        <v>41530</v>
      </c>
      <c r="B956">
        <v>8181</v>
      </c>
      <c r="C956">
        <v>1978</v>
      </c>
      <c r="D956" t="s">
        <v>8</v>
      </c>
      <c r="E956" t="s">
        <v>15</v>
      </c>
      <c r="F956" t="s">
        <v>9</v>
      </c>
      <c r="G956">
        <v>38593</v>
      </c>
      <c r="H956">
        <v>1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f>SUM(Table1[[#This Row],[Gold Spending]]+Table1[[#This Row],[Sweet Spending]]+Table1[[#This Row],[Fish Spending]]+Table1[[#This Row],[Meat Spending]]+Table1[[#This Row],[Fruits Spending]]+Table1[[#This Row],[Wine Spending ]])</f>
        <v>177</v>
      </c>
      <c r="Q956">
        <v>3</v>
      </c>
      <c r="R956">
        <v>4</v>
      </c>
      <c r="S956">
        <v>1</v>
      </c>
      <c r="T956">
        <v>3</v>
      </c>
      <c r="U956">
        <f>SUM(Table1[[#This Row],[Store_Purchases]]+Table1[[#This Row],[Catalog_Purchases]]+Table1[[#This Row],[Web_Purchases]]+Table1[[#This Row],[Deal_Purchases]])</f>
        <v>11</v>
      </c>
      <c r="V956">
        <v>8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f>SUM(Table1[[#This Row],[Accepted_Campaign_2]]+Table1[[#This Row],[Accepted_Campaign_1]]+Table1[[#This Row],[Accepted_Campaign_5]]+Table1[[#This Row],[Accepted_Campaign_4]]+Table1[[#This Row],[Accepted_Campaign_3]])</f>
        <v>0</v>
      </c>
      <c r="AC956">
        <v>0</v>
      </c>
      <c r="AD956">
        <v>0</v>
      </c>
    </row>
    <row r="957" spans="1:30" x14ac:dyDescent="0.25">
      <c r="A957">
        <v>41460</v>
      </c>
      <c r="B957">
        <v>6958</v>
      </c>
      <c r="C957">
        <v>1977</v>
      </c>
      <c r="D957" t="s">
        <v>13</v>
      </c>
      <c r="E957" t="s">
        <v>18</v>
      </c>
      <c r="F957" t="s">
        <v>11</v>
      </c>
      <c r="G957">
        <v>27889</v>
      </c>
      <c r="H957">
        <v>1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f>SUM(Table1[[#This Row],[Gold Spending]]+Table1[[#This Row],[Sweet Spending]]+Table1[[#This Row],[Fish Spending]]+Table1[[#This Row],[Meat Spending]]+Table1[[#This Row],[Fruits Spending]]+Table1[[#This Row],[Wine Spending ]])</f>
        <v>26</v>
      </c>
      <c r="Q957">
        <v>1</v>
      </c>
      <c r="R957">
        <v>1</v>
      </c>
      <c r="S957">
        <v>1</v>
      </c>
      <c r="T957">
        <v>2</v>
      </c>
      <c r="U957">
        <f>SUM(Table1[[#This Row],[Store_Purchases]]+Table1[[#This Row],[Catalog_Purchases]]+Table1[[#This Row],[Web_Purchases]]+Table1[[#This Row],[Deal_Purchases]])</f>
        <v>5</v>
      </c>
      <c r="V957">
        <v>6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f>SUM(Table1[[#This Row],[Accepted_Campaign_2]]+Table1[[#This Row],[Accepted_Campaign_1]]+Table1[[#This Row],[Accepted_Campaign_5]]+Table1[[#This Row],[Accepted_Campaign_4]]+Table1[[#This Row],[Accepted_Campaign_3]])</f>
        <v>0</v>
      </c>
      <c r="AC957">
        <v>0</v>
      </c>
      <c r="AD957">
        <v>0</v>
      </c>
    </row>
    <row r="958" spans="1:30" x14ac:dyDescent="0.25">
      <c r="A958">
        <v>41457</v>
      </c>
      <c r="B958">
        <v>10856</v>
      </c>
      <c r="C958">
        <v>1980</v>
      </c>
      <c r="D958" t="s">
        <v>10</v>
      </c>
      <c r="E958" t="s">
        <v>15</v>
      </c>
      <c r="F958" t="s">
        <v>9</v>
      </c>
      <c r="G958">
        <v>45889</v>
      </c>
      <c r="H958">
        <v>1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958">
        <v>1</v>
      </c>
      <c r="R958">
        <v>1</v>
      </c>
      <c r="S958">
        <v>0</v>
      </c>
      <c r="T958">
        <v>3</v>
      </c>
      <c r="U958">
        <f>SUM(Table1[[#This Row],[Store_Purchases]]+Table1[[#This Row],[Catalog_Purchases]]+Table1[[#This Row],[Web_Purchases]]+Table1[[#This Row],[Deal_Purchases]])</f>
        <v>5</v>
      </c>
      <c r="V958">
        <v>6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f>SUM(Table1[[#This Row],[Accepted_Campaign_2]]+Table1[[#This Row],[Accepted_Campaign_1]]+Table1[[#This Row],[Accepted_Campaign_5]]+Table1[[#This Row],[Accepted_Campaign_4]]+Table1[[#This Row],[Accepted_Campaign_3]])</f>
        <v>0</v>
      </c>
      <c r="AC958">
        <v>0</v>
      </c>
      <c r="AD958">
        <v>0</v>
      </c>
    </row>
    <row r="959" spans="1:30" x14ac:dyDescent="0.25">
      <c r="A959">
        <v>41399</v>
      </c>
      <c r="B959">
        <v>3321</v>
      </c>
      <c r="C959">
        <v>1967</v>
      </c>
      <c r="D959" t="s">
        <v>10</v>
      </c>
      <c r="E959" t="s">
        <v>14</v>
      </c>
      <c r="F959" t="s">
        <v>12</v>
      </c>
      <c r="G959">
        <v>56575</v>
      </c>
      <c r="H959">
        <v>2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f>SUM(Table1[[#This Row],[Gold Spending]]+Table1[[#This Row],[Sweet Spending]]+Table1[[#This Row],[Fish Spending]]+Table1[[#This Row],[Meat Spending]]+Table1[[#This Row],[Fruits Spending]]+Table1[[#This Row],[Wine Spending ]])</f>
        <v>542</v>
      </c>
      <c r="Q959">
        <v>3</v>
      </c>
      <c r="R959">
        <v>7</v>
      </c>
      <c r="S959">
        <v>3</v>
      </c>
      <c r="T959">
        <v>7</v>
      </c>
      <c r="U959">
        <f>SUM(Table1[[#This Row],[Store_Purchases]]+Table1[[#This Row],[Catalog_Purchases]]+Table1[[#This Row],[Web_Purchases]]+Table1[[#This Row],[Deal_Purchases]])</f>
        <v>20</v>
      </c>
      <c r="V959">
        <v>5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f>SUM(Table1[[#This Row],[Accepted_Campaign_2]]+Table1[[#This Row],[Accepted_Campaign_1]]+Table1[[#This Row],[Accepted_Campaign_5]]+Table1[[#This Row],[Accepted_Campaign_4]]+Table1[[#This Row],[Accepted_Campaign_3]])</f>
        <v>0</v>
      </c>
      <c r="AC959">
        <v>0</v>
      </c>
      <c r="AD959">
        <v>0</v>
      </c>
    </row>
    <row r="960" spans="1:30" x14ac:dyDescent="0.25">
      <c r="A960">
        <v>41350</v>
      </c>
      <c r="B960">
        <v>5394</v>
      </c>
      <c r="C960">
        <v>1979</v>
      </c>
      <c r="D960" t="s">
        <v>8</v>
      </c>
      <c r="E960" t="s">
        <v>21</v>
      </c>
      <c r="F960" t="s">
        <v>9</v>
      </c>
      <c r="G960">
        <v>16014</v>
      </c>
      <c r="H960">
        <v>2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f>SUM(Table1[[#This Row],[Gold Spending]]+Table1[[#This Row],[Sweet Spending]]+Table1[[#This Row],[Fish Spending]]+Table1[[#This Row],[Meat Spending]]+Table1[[#This Row],[Fruits Spending]]+Table1[[#This Row],[Wine Spending ]])</f>
        <v>38</v>
      </c>
      <c r="Q960">
        <v>4</v>
      </c>
      <c r="R960">
        <v>1</v>
      </c>
      <c r="S960">
        <v>1</v>
      </c>
      <c r="T960">
        <v>4</v>
      </c>
      <c r="U960">
        <f>SUM(Table1[[#This Row],[Store_Purchases]]+Table1[[#This Row],[Catalog_Purchases]]+Table1[[#This Row],[Web_Purchases]]+Table1[[#This Row],[Deal_Purchases]])</f>
        <v>10</v>
      </c>
      <c r="V960">
        <v>3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f>SUM(Table1[[#This Row],[Accepted_Campaign_2]]+Table1[[#This Row],[Accepted_Campaign_1]]+Table1[[#This Row],[Accepted_Campaign_5]]+Table1[[#This Row],[Accepted_Campaign_4]]+Table1[[#This Row],[Accepted_Campaign_3]])</f>
        <v>0</v>
      </c>
      <c r="AC960">
        <v>0</v>
      </c>
      <c r="AD960">
        <v>0</v>
      </c>
    </row>
    <row r="961" spans="1:30" x14ac:dyDescent="0.25">
      <c r="A961">
        <v>41343</v>
      </c>
      <c r="B961">
        <v>433</v>
      </c>
      <c r="C961">
        <v>1958</v>
      </c>
      <c r="D961" t="s">
        <v>10</v>
      </c>
      <c r="E961" t="s">
        <v>18</v>
      </c>
      <c r="F961" t="s">
        <v>9</v>
      </c>
      <c r="G961">
        <v>61331</v>
      </c>
      <c r="H961">
        <v>2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f>SUM(Table1[[#This Row],[Gold Spending]]+Table1[[#This Row],[Sweet Spending]]+Table1[[#This Row],[Fish Spending]]+Table1[[#This Row],[Meat Spending]]+Table1[[#This Row],[Fruits Spending]]+Table1[[#This Row],[Wine Spending ]])</f>
        <v>632</v>
      </c>
      <c r="Q961">
        <v>5</v>
      </c>
      <c r="R961">
        <v>11</v>
      </c>
      <c r="S961">
        <v>1</v>
      </c>
      <c r="T961">
        <v>6</v>
      </c>
      <c r="U961">
        <f>SUM(Table1[[#This Row],[Store_Purchases]]+Table1[[#This Row],[Catalog_Purchases]]+Table1[[#This Row],[Web_Purchases]]+Table1[[#This Row],[Deal_Purchases]])</f>
        <v>23</v>
      </c>
      <c r="V961">
        <v>8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f>SUM(Table1[[#This Row],[Accepted_Campaign_2]]+Table1[[#This Row],[Accepted_Campaign_1]]+Table1[[#This Row],[Accepted_Campaign_5]]+Table1[[#This Row],[Accepted_Campaign_4]]+Table1[[#This Row],[Accepted_Campaign_3]])</f>
        <v>0</v>
      </c>
      <c r="AC961">
        <v>0</v>
      </c>
      <c r="AD961">
        <v>0</v>
      </c>
    </row>
    <row r="962" spans="1:30" x14ac:dyDescent="0.25">
      <c r="A962">
        <v>41311</v>
      </c>
      <c r="B962">
        <v>6320</v>
      </c>
      <c r="C962">
        <v>1976</v>
      </c>
      <c r="D962" t="s">
        <v>8</v>
      </c>
      <c r="E962" t="s">
        <v>18</v>
      </c>
      <c r="F962" t="s">
        <v>9</v>
      </c>
      <c r="G962">
        <v>70893</v>
      </c>
      <c r="H962">
        <v>0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f>SUM(Table1[[#This Row],[Gold Spending]]+Table1[[#This Row],[Sweet Spending]]+Table1[[#This Row],[Fish Spending]]+Table1[[#This Row],[Meat Spending]]+Table1[[#This Row],[Fruits Spending]]+Table1[[#This Row],[Wine Spending ]])</f>
        <v>1508</v>
      </c>
      <c r="Q962">
        <v>1</v>
      </c>
      <c r="R962">
        <v>6</v>
      </c>
      <c r="S962">
        <v>6</v>
      </c>
      <c r="T962">
        <v>10</v>
      </c>
      <c r="U962">
        <f>SUM(Table1[[#This Row],[Store_Purchases]]+Table1[[#This Row],[Catalog_Purchases]]+Table1[[#This Row],[Web_Purchases]]+Table1[[#This Row],[Deal_Purchases]])</f>
        <v>23</v>
      </c>
      <c r="V962">
        <v>3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f>SUM(Table1[[#This Row],[Accepted_Campaign_2]]+Table1[[#This Row],[Accepted_Campaign_1]]+Table1[[#This Row],[Accepted_Campaign_5]]+Table1[[#This Row],[Accepted_Campaign_4]]+Table1[[#This Row],[Accepted_Campaign_3]])</f>
        <v>0</v>
      </c>
      <c r="AC962">
        <v>0</v>
      </c>
      <c r="AD962">
        <v>0</v>
      </c>
    </row>
    <row r="963" spans="1:30" x14ac:dyDescent="0.25">
      <c r="A963">
        <v>41280</v>
      </c>
      <c r="B963">
        <v>5376</v>
      </c>
      <c r="C963">
        <v>1979</v>
      </c>
      <c r="D963" t="s">
        <v>63</v>
      </c>
      <c r="E963" t="s">
        <v>6</v>
      </c>
      <c r="F963" t="s">
        <v>11</v>
      </c>
      <c r="G963">
        <v>2447</v>
      </c>
      <c r="H963">
        <v>1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f>SUM(Table1[[#This Row],[Gold Spending]]+Table1[[#This Row],[Sweet Spending]]+Table1[[#This Row],[Fish Spending]]+Table1[[#This Row],[Meat Spending]]+Table1[[#This Row],[Fruits Spending]]+Table1[[#This Row],[Wine Spending ]])</f>
        <v>1730</v>
      </c>
      <c r="Q963">
        <v>15</v>
      </c>
      <c r="R963">
        <v>0</v>
      </c>
      <c r="S963">
        <v>28</v>
      </c>
      <c r="T963">
        <v>0</v>
      </c>
      <c r="U963">
        <f>SUM(Table1[[#This Row],[Store_Purchases]]+Table1[[#This Row],[Catalog_Purchases]]+Table1[[#This Row],[Web_Purchases]]+Table1[[#This Row],[Deal_Purchases]])</f>
        <v>43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f>SUM(Table1[[#This Row],[Accepted_Campaign_2]]+Table1[[#This Row],[Accepted_Campaign_1]]+Table1[[#This Row],[Accepted_Campaign_5]]+Table1[[#This Row],[Accepted_Campaign_4]]+Table1[[#This Row],[Accepted_Campaign_3]])</f>
        <v>0</v>
      </c>
      <c r="AC963">
        <v>0</v>
      </c>
      <c r="AD963">
        <v>0</v>
      </c>
    </row>
    <row r="964" spans="1:30" x14ac:dyDescent="0.25">
      <c r="A964">
        <v>41226</v>
      </c>
      <c r="B964">
        <v>1867</v>
      </c>
      <c r="C964">
        <v>1957</v>
      </c>
      <c r="D964" t="s">
        <v>8</v>
      </c>
      <c r="E964" t="s">
        <v>6</v>
      </c>
      <c r="F964" t="s">
        <v>9</v>
      </c>
      <c r="G964">
        <v>64849</v>
      </c>
      <c r="H964">
        <v>0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f>SUM(Table1[[#This Row],[Gold Spending]]+Table1[[#This Row],[Sweet Spending]]+Table1[[#This Row],[Fish Spending]]+Table1[[#This Row],[Meat Spending]]+Table1[[#This Row],[Fruits Spending]]+Table1[[#This Row],[Wine Spending ]])</f>
        <v>1336</v>
      </c>
      <c r="Q964">
        <v>1</v>
      </c>
      <c r="R964">
        <v>9</v>
      </c>
      <c r="S964">
        <v>3</v>
      </c>
      <c r="T964">
        <v>6</v>
      </c>
      <c r="U964">
        <f>SUM(Table1[[#This Row],[Store_Purchases]]+Table1[[#This Row],[Catalog_Purchases]]+Table1[[#This Row],[Web_Purchases]]+Table1[[#This Row],[Deal_Purchases]])</f>
        <v>19</v>
      </c>
      <c r="V964">
        <v>5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f>SUM(Table1[[#This Row],[Accepted_Campaign_2]]+Table1[[#This Row],[Accepted_Campaign_1]]+Table1[[#This Row],[Accepted_Campaign_5]]+Table1[[#This Row],[Accepted_Campaign_4]]+Table1[[#This Row],[Accepted_Campaign_3]])</f>
        <v>0</v>
      </c>
      <c r="AC964">
        <v>1</v>
      </c>
      <c r="AD964">
        <v>0</v>
      </c>
    </row>
    <row r="965" spans="1:30" x14ac:dyDescent="0.25">
      <c r="A965">
        <v>41211</v>
      </c>
      <c r="B965">
        <v>4324</v>
      </c>
      <c r="C965">
        <v>1989</v>
      </c>
      <c r="D965" t="s">
        <v>8</v>
      </c>
      <c r="E965" t="s">
        <v>6</v>
      </c>
      <c r="F965" t="s">
        <v>11</v>
      </c>
      <c r="G965">
        <v>42387</v>
      </c>
      <c r="H965">
        <v>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f>SUM(Table1[[#This Row],[Gold Spending]]+Table1[[#This Row],[Sweet Spending]]+Table1[[#This Row],[Fish Spending]]+Table1[[#This Row],[Meat Spending]]+Table1[[#This Row],[Fruits Spending]]+Table1[[#This Row],[Wine Spending ]])</f>
        <v>684</v>
      </c>
      <c r="Q965">
        <v>5</v>
      </c>
      <c r="R965">
        <v>8</v>
      </c>
      <c r="S965">
        <v>1</v>
      </c>
      <c r="T965">
        <v>7</v>
      </c>
      <c r="U965">
        <f>SUM(Table1[[#This Row],[Store_Purchases]]+Table1[[#This Row],[Catalog_Purchases]]+Table1[[#This Row],[Web_Purchases]]+Table1[[#This Row],[Deal_Purchases]])</f>
        <v>21</v>
      </c>
      <c r="V965">
        <v>8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f>SUM(Table1[[#This Row],[Accepted_Campaign_2]]+Table1[[#This Row],[Accepted_Campaign_1]]+Table1[[#This Row],[Accepted_Campaign_5]]+Table1[[#This Row],[Accepted_Campaign_4]]+Table1[[#This Row],[Accepted_Campaign_3]])</f>
        <v>0</v>
      </c>
      <c r="AC965">
        <v>0</v>
      </c>
      <c r="AD965">
        <v>0</v>
      </c>
    </row>
    <row r="966" spans="1:30" x14ac:dyDescent="0.25">
      <c r="A966">
        <v>41194</v>
      </c>
      <c r="B966">
        <v>3661</v>
      </c>
      <c r="C966">
        <v>1995</v>
      </c>
      <c r="D966" t="s">
        <v>17</v>
      </c>
      <c r="E966" t="s">
        <v>15</v>
      </c>
      <c r="F966" t="s">
        <v>9</v>
      </c>
      <c r="G966">
        <v>80617</v>
      </c>
      <c r="H966">
        <v>0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f>SUM(Table1[[#This Row],[Gold Spending]]+Table1[[#This Row],[Sweet Spending]]+Table1[[#This Row],[Fish Spending]]+Table1[[#This Row],[Meat Spending]]+Table1[[#This Row],[Fruits Spending]]+Table1[[#This Row],[Wine Spending ]])</f>
        <v>1435</v>
      </c>
      <c r="Q966">
        <v>1</v>
      </c>
      <c r="R966">
        <v>4</v>
      </c>
      <c r="S966">
        <v>6</v>
      </c>
      <c r="T966">
        <v>8</v>
      </c>
      <c r="U966">
        <f>SUM(Table1[[#This Row],[Store_Purchases]]+Table1[[#This Row],[Catalog_Purchases]]+Table1[[#This Row],[Web_Purchases]]+Table1[[#This Row],[Deal_Purchases]])</f>
        <v>19</v>
      </c>
      <c r="V966">
        <v>2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f>SUM(Table1[[#This Row],[Accepted_Campaign_2]]+Table1[[#This Row],[Accepted_Campaign_1]]+Table1[[#This Row],[Accepted_Campaign_5]]+Table1[[#This Row],[Accepted_Campaign_4]]+Table1[[#This Row],[Accepted_Campaign_3]])</f>
        <v>0</v>
      </c>
      <c r="AC966">
        <v>0</v>
      </c>
      <c r="AD966">
        <v>0</v>
      </c>
    </row>
    <row r="967" spans="1:30" x14ac:dyDescent="0.25">
      <c r="A967">
        <v>41170</v>
      </c>
      <c r="B967">
        <v>521</v>
      </c>
      <c r="C967">
        <v>1985</v>
      </c>
      <c r="D967" t="s">
        <v>8</v>
      </c>
      <c r="E967" t="s">
        <v>6</v>
      </c>
      <c r="F967" t="s">
        <v>12</v>
      </c>
      <c r="G967">
        <v>54006</v>
      </c>
      <c r="H967">
        <v>1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f>SUM(Table1[[#This Row],[Gold Spending]]+Table1[[#This Row],[Sweet Spending]]+Table1[[#This Row],[Fish Spending]]+Table1[[#This Row],[Meat Spending]]+Table1[[#This Row],[Fruits Spending]]+Table1[[#This Row],[Wine Spending ]])</f>
        <v>581</v>
      </c>
      <c r="Q967">
        <v>2</v>
      </c>
      <c r="R967">
        <v>8</v>
      </c>
      <c r="S967">
        <v>1</v>
      </c>
      <c r="T967">
        <v>7</v>
      </c>
      <c r="U967">
        <f>SUM(Table1[[#This Row],[Store_Purchases]]+Table1[[#This Row],[Catalog_Purchases]]+Table1[[#This Row],[Web_Purchases]]+Table1[[#This Row],[Deal_Purchases]])</f>
        <v>18</v>
      </c>
      <c r="V967">
        <v>7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f>SUM(Table1[[#This Row],[Accepted_Campaign_2]]+Table1[[#This Row],[Accepted_Campaign_1]]+Table1[[#This Row],[Accepted_Campaign_5]]+Table1[[#This Row],[Accepted_Campaign_4]]+Table1[[#This Row],[Accepted_Campaign_3]])</f>
        <v>0</v>
      </c>
      <c r="AC967">
        <v>0</v>
      </c>
      <c r="AD967">
        <v>0</v>
      </c>
    </row>
    <row r="968" spans="1:30" x14ac:dyDescent="0.25">
      <c r="A968">
        <v>41808</v>
      </c>
      <c r="B968">
        <v>10403</v>
      </c>
      <c r="C968">
        <v>1978</v>
      </c>
      <c r="D968" t="s">
        <v>10</v>
      </c>
      <c r="E968" t="s">
        <v>6</v>
      </c>
      <c r="F968" t="s">
        <v>12</v>
      </c>
      <c r="G968">
        <v>16531</v>
      </c>
      <c r="H968">
        <v>1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968">
        <v>3</v>
      </c>
      <c r="R968">
        <v>3</v>
      </c>
      <c r="S968">
        <v>0</v>
      </c>
      <c r="T968">
        <v>3</v>
      </c>
      <c r="U968">
        <f>SUM(Table1[[#This Row],[Store_Purchases]]+Table1[[#This Row],[Catalog_Purchases]]+Table1[[#This Row],[Web_Purchases]]+Table1[[#This Row],[Deal_Purchases]])</f>
        <v>9</v>
      </c>
      <c r="V968">
        <v>7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f>SUM(Table1[[#This Row],[Accepted_Campaign_2]]+Table1[[#This Row],[Accepted_Campaign_1]]+Table1[[#This Row],[Accepted_Campaign_5]]+Table1[[#This Row],[Accepted_Campaign_4]]+Table1[[#This Row],[Accepted_Campaign_3]])</f>
        <v>0</v>
      </c>
      <c r="AC968">
        <v>0</v>
      </c>
      <c r="AD968">
        <v>0</v>
      </c>
    </row>
    <row r="969" spans="1:30" x14ac:dyDescent="0.25">
      <c r="A969">
        <v>41785</v>
      </c>
      <c r="B969">
        <v>7186</v>
      </c>
      <c r="C969">
        <v>1966</v>
      </c>
      <c r="D969" t="s">
        <v>17</v>
      </c>
      <c r="E969" t="s">
        <v>14</v>
      </c>
      <c r="F969" t="s">
        <v>12</v>
      </c>
      <c r="G969">
        <v>30843</v>
      </c>
      <c r="H969">
        <v>2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f>SUM(Table1[[#This Row],[Gold Spending]]+Table1[[#This Row],[Sweet Spending]]+Table1[[#This Row],[Fish Spending]]+Table1[[#This Row],[Meat Spending]]+Table1[[#This Row],[Fruits Spending]]+Table1[[#This Row],[Wine Spending ]])</f>
        <v>35</v>
      </c>
      <c r="Q969">
        <v>2</v>
      </c>
      <c r="R969">
        <v>1</v>
      </c>
      <c r="S969">
        <v>1</v>
      </c>
      <c r="T969">
        <v>2</v>
      </c>
      <c r="U969">
        <f>SUM(Table1[[#This Row],[Store_Purchases]]+Table1[[#This Row],[Catalog_Purchases]]+Table1[[#This Row],[Web_Purchases]]+Table1[[#This Row],[Deal_Purchases]])</f>
        <v>6</v>
      </c>
      <c r="V969">
        <v>5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f>SUM(Table1[[#This Row],[Accepted_Campaign_2]]+Table1[[#This Row],[Accepted_Campaign_1]]+Table1[[#This Row],[Accepted_Campaign_5]]+Table1[[#This Row],[Accepted_Campaign_4]]+Table1[[#This Row],[Accepted_Campaign_3]])</f>
        <v>1</v>
      </c>
      <c r="AC969">
        <v>0</v>
      </c>
      <c r="AD969">
        <v>0</v>
      </c>
    </row>
    <row r="970" spans="1:30" x14ac:dyDescent="0.25">
      <c r="A970">
        <v>41782</v>
      </c>
      <c r="B970">
        <v>4329</v>
      </c>
      <c r="C970">
        <v>1984</v>
      </c>
      <c r="D970" t="s">
        <v>13</v>
      </c>
      <c r="E970" t="s">
        <v>14</v>
      </c>
      <c r="F970" t="s">
        <v>11</v>
      </c>
      <c r="G970">
        <v>18988</v>
      </c>
      <c r="H970">
        <v>1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f>SUM(Table1[[#This Row],[Gold Spending]]+Table1[[#This Row],[Sweet Spending]]+Table1[[#This Row],[Fish Spending]]+Table1[[#This Row],[Meat Spending]]+Table1[[#This Row],[Fruits Spending]]+Table1[[#This Row],[Wine Spending ]])</f>
        <v>16</v>
      </c>
      <c r="Q970">
        <v>2</v>
      </c>
      <c r="R970">
        <v>1</v>
      </c>
      <c r="S970">
        <v>0</v>
      </c>
      <c r="T970">
        <v>3</v>
      </c>
      <c r="U970">
        <f>SUM(Table1[[#This Row],[Store_Purchases]]+Table1[[#This Row],[Catalog_Purchases]]+Table1[[#This Row],[Web_Purchases]]+Table1[[#This Row],[Deal_Purchases]])</f>
        <v>6</v>
      </c>
      <c r="V970">
        <v>7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f>SUM(Table1[[#This Row],[Accepted_Campaign_2]]+Table1[[#This Row],[Accepted_Campaign_1]]+Table1[[#This Row],[Accepted_Campaign_5]]+Table1[[#This Row],[Accepted_Campaign_4]]+Table1[[#This Row],[Accepted_Campaign_3]])</f>
        <v>0</v>
      </c>
      <c r="AC970">
        <v>0</v>
      </c>
      <c r="AD970">
        <v>0</v>
      </c>
    </row>
    <row r="971" spans="1:30" x14ac:dyDescent="0.25">
      <c r="A971">
        <v>41782</v>
      </c>
      <c r="B971">
        <v>4394</v>
      </c>
      <c r="C971">
        <v>1965</v>
      </c>
      <c r="D971" t="s">
        <v>8</v>
      </c>
      <c r="E971" t="s">
        <v>14</v>
      </c>
      <c r="F971" t="s">
        <v>11</v>
      </c>
      <c r="G971">
        <v>81051</v>
      </c>
      <c r="H971">
        <v>0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f>SUM(Table1[[#This Row],[Gold Spending]]+Table1[[#This Row],[Sweet Spending]]+Table1[[#This Row],[Fish Spending]]+Table1[[#This Row],[Meat Spending]]+Table1[[#This Row],[Fruits Spending]]+Table1[[#This Row],[Wine Spending ]])</f>
        <v>1501</v>
      </c>
      <c r="Q971">
        <v>1</v>
      </c>
      <c r="R971">
        <v>5</v>
      </c>
      <c r="S971">
        <v>5</v>
      </c>
      <c r="T971">
        <v>12</v>
      </c>
      <c r="U971">
        <f>SUM(Table1[[#This Row],[Store_Purchases]]+Table1[[#This Row],[Catalog_Purchases]]+Table1[[#This Row],[Web_Purchases]]+Table1[[#This Row],[Deal_Purchases]])</f>
        <v>23</v>
      </c>
      <c r="V971">
        <v>2</v>
      </c>
      <c r="W971">
        <v>0</v>
      </c>
      <c r="X971">
        <v>1</v>
      </c>
      <c r="Y971">
        <v>1</v>
      </c>
      <c r="Z971">
        <v>0</v>
      </c>
      <c r="AA971">
        <v>0</v>
      </c>
      <c r="AB971">
        <f>SUM(Table1[[#This Row],[Accepted_Campaign_2]]+Table1[[#This Row],[Accepted_Campaign_1]]+Table1[[#This Row],[Accepted_Campaign_5]]+Table1[[#This Row],[Accepted_Campaign_4]]+Table1[[#This Row],[Accepted_Campaign_3]])</f>
        <v>2</v>
      </c>
      <c r="AC971">
        <v>0</v>
      </c>
      <c r="AD971">
        <v>0</v>
      </c>
    </row>
    <row r="972" spans="1:30" x14ac:dyDescent="0.25">
      <c r="A972">
        <v>41742</v>
      </c>
      <c r="B972">
        <v>1717</v>
      </c>
      <c r="C972">
        <v>1988</v>
      </c>
      <c r="D972" t="s">
        <v>20</v>
      </c>
      <c r="E972" t="s">
        <v>6</v>
      </c>
      <c r="F972" t="s">
        <v>9</v>
      </c>
      <c r="G972">
        <v>39747</v>
      </c>
      <c r="H972">
        <v>1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f>SUM(Table1[[#This Row],[Gold Spending]]+Table1[[#This Row],[Sweet Spending]]+Table1[[#This Row],[Fish Spending]]+Table1[[#This Row],[Meat Spending]]+Table1[[#This Row],[Fruits Spending]]+Table1[[#This Row],[Wine Spending ]])</f>
        <v>273</v>
      </c>
      <c r="Q972">
        <v>3</v>
      </c>
      <c r="R972">
        <v>5</v>
      </c>
      <c r="S972">
        <v>1</v>
      </c>
      <c r="T972">
        <v>4</v>
      </c>
      <c r="U972">
        <f>SUM(Table1[[#This Row],[Store_Purchases]]+Table1[[#This Row],[Catalog_Purchases]]+Table1[[#This Row],[Web_Purchases]]+Table1[[#This Row],[Deal_Purchases]])</f>
        <v>13</v>
      </c>
      <c r="V972">
        <v>8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f>SUM(Table1[[#This Row],[Accepted_Campaign_2]]+Table1[[#This Row],[Accepted_Campaign_1]]+Table1[[#This Row],[Accepted_Campaign_5]]+Table1[[#This Row],[Accepted_Campaign_4]]+Table1[[#This Row],[Accepted_Campaign_3]])</f>
        <v>0</v>
      </c>
      <c r="AC972">
        <v>0</v>
      </c>
      <c r="AD972">
        <v>0</v>
      </c>
    </row>
    <row r="973" spans="1:30" x14ac:dyDescent="0.25">
      <c r="A973">
        <v>41728</v>
      </c>
      <c r="B973">
        <v>1016</v>
      </c>
      <c r="C973">
        <v>1959</v>
      </c>
      <c r="D973" t="s">
        <v>10</v>
      </c>
      <c r="E973" t="s">
        <v>14</v>
      </c>
      <c r="F973" t="s">
        <v>9</v>
      </c>
      <c r="G973">
        <v>34554</v>
      </c>
      <c r="H973">
        <v>1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973">
        <v>2</v>
      </c>
      <c r="R973">
        <v>2</v>
      </c>
      <c r="S973">
        <v>0</v>
      </c>
      <c r="T973">
        <v>3</v>
      </c>
      <c r="U973">
        <f>SUM(Table1[[#This Row],[Store_Purchases]]+Table1[[#This Row],[Catalog_Purchases]]+Table1[[#This Row],[Web_Purchases]]+Table1[[#This Row],[Deal_Purchases]])</f>
        <v>7</v>
      </c>
      <c r="V973">
        <v>6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f>SUM(Table1[[#This Row],[Accepted_Campaign_2]]+Table1[[#This Row],[Accepted_Campaign_1]]+Table1[[#This Row],[Accepted_Campaign_5]]+Table1[[#This Row],[Accepted_Campaign_4]]+Table1[[#This Row],[Accepted_Campaign_3]])</f>
        <v>0</v>
      </c>
      <c r="AC973">
        <v>0</v>
      </c>
      <c r="AD973">
        <v>0</v>
      </c>
    </row>
    <row r="974" spans="1:30" x14ac:dyDescent="0.25">
      <c r="A974">
        <v>41722</v>
      </c>
      <c r="B974">
        <v>3783</v>
      </c>
      <c r="C974">
        <v>1959</v>
      </c>
      <c r="D974" t="s">
        <v>20</v>
      </c>
      <c r="E974" t="s">
        <v>14</v>
      </c>
      <c r="F974" t="s">
        <v>11</v>
      </c>
      <c r="G974">
        <v>52854</v>
      </c>
      <c r="H974">
        <v>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f>SUM(Table1[[#This Row],[Gold Spending]]+Table1[[#This Row],[Sweet Spending]]+Table1[[#This Row],[Fish Spending]]+Table1[[#This Row],[Meat Spending]]+Table1[[#This Row],[Fruits Spending]]+Table1[[#This Row],[Wine Spending ]])</f>
        <v>116</v>
      </c>
      <c r="Q974">
        <v>2</v>
      </c>
      <c r="R974">
        <v>2</v>
      </c>
      <c r="S974">
        <v>1</v>
      </c>
      <c r="T974">
        <v>4</v>
      </c>
      <c r="U974">
        <f>SUM(Table1[[#This Row],[Store_Purchases]]+Table1[[#This Row],[Catalog_Purchases]]+Table1[[#This Row],[Web_Purchases]]+Table1[[#This Row],[Deal_Purchases]])</f>
        <v>9</v>
      </c>
      <c r="V974">
        <v>5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f>SUM(Table1[[#This Row],[Accepted_Campaign_2]]+Table1[[#This Row],[Accepted_Campaign_1]]+Table1[[#This Row],[Accepted_Campaign_5]]+Table1[[#This Row],[Accepted_Campaign_4]]+Table1[[#This Row],[Accepted_Campaign_3]])</f>
        <v>0</v>
      </c>
      <c r="AC974">
        <v>0</v>
      </c>
      <c r="AD974">
        <v>0</v>
      </c>
    </row>
    <row r="975" spans="1:30" x14ac:dyDescent="0.25">
      <c r="A975">
        <v>41652</v>
      </c>
      <c r="B975">
        <v>5848</v>
      </c>
      <c r="C975">
        <v>1970</v>
      </c>
      <c r="D975" t="s">
        <v>17</v>
      </c>
      <c r="E975" t="s">
        <v>6</v>
      </c>
      <c r="F975" t="s">
        <v>12</v>
      </c>
      <c r="G975">
        <v>81205</v>
      </c>
      <c r="H975">
        <v>0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f>SUM(Table1[[#This Row],[Gold Spending]]+Table1[[#This Row],[Sweet Spending]]+Table1[[#This Row],[Fish Spending]]+Table1[[#This Row],[Meat Spending]]+Table1[[#This Row],[Fruits Spending]]+Table1[[#This Row],[Wine Spending ]])</f>
        <v>2009</v>
      </c>
      <c r="Q975">
        <v>1</v>
      </c>
      <c r="R975">
        <v>5</v>
      </c>
      <c r="S975">
        <v>6</v>
      </c>
      <c r="T975">
        <v>7</v>
      </c>
      <c r="U975">
        <f>SUM(Table1[[#This Row],[Store_Purchases]]+Table1[[#This Row],[Catalog_Purchases]]+Table1[[#This Row],[Web_Purchases]]+Table1[[#This Row],[Deal_Purchases]])</f>
        <v>19</v>
      </c>
      <c r="V975">
        <v>2</v>
      </c>
      <c r="W975">
        <v>1</v>
      </c>
      <c r="X975">
        <v>0</v>
      </c>
      <c r="Y975">
        <v>1</v>
      </c>
      <c r="Z975">
        <v>0</v>
      </c>
      <c r="AA975">
        <v>1</v>
      </c>
      <c r="AB975">
        <f>SUM(Table1[[#This Row],[Accepted_Campaign_2]]+Table1[[#This Row],[Accepted_Campaign_1]]+Table1[[#This Row],[Accepted_Campaign_5]]+Table1[[#This Row],[Accepted_Campaign_4]]+Table1[[#This Row],[Accepted_Campaign_3]])</f>
        <v>3</v>
      </c>
      <c r="AC975">
        <v>1</v>
      </c>
      <c r="AD975">
        <v>0</v>
      </c>
    </row>
    <row r="976" spans="1:30" x14ac:dyDescent="0.25">
      <c r="A976">
        <v>41597</v>
      </c>
      <c r="B976">
        <v>10727</v>
      </c>
      <c r="C976">
        <v>1970</v>
      </c>
      <c r="D976" t="s">
        <v>8</v>
      </c>
      <c r="E976" t="s">
        <v>14</v>
      </c>
      <c r="F976" t="s">
        <v>11</v>
      </c>
      <c r="G976">
        <v>69084</v>
      </c>
      <c r="H976">
        <v>1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f>SUM(Table1[[#This Row],[Gold Spending]]+Table1[[#This Row],[Sweet Spending]]+Table1[[#This Row],[Fish Spending]]+Table1[[#This Row],[Meat Spending]]+Table1[[#This Row],[Fruits Spending]]+Table1[[#This Row],[Wine Spending ]])</f>
        <v>1586</v>
      </c>
      <c r="Q976">
        <v>2</v>
      </c>
      <c r="R976">
        <v>7</v>
      </c>
      <c r="S976">
        <v>3</v>
      </c>
      <c r="T976">
        <v>13</v>
      </c>
      <c r="U976">
        <f>SUM(Table1[[#This Row],[Store_Purchases]]+Table1[[#This Row],[Catalog_Purchases]]+Table1[[#This Row],[Web_Purchases]]+Table1[[#This Row],[Deal_Purchases]])</f>
        <v>25</v>
      </c>
      <c r="V976">
        <v>8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f>SUM(Table1[[#This Row],[Accepted_Campaign_2]]+Table1[[#This Row],[Accepted_Campaign_1]]+Table1[[#This Row],[Accepted_Campaign_5]]+Table1[[#This Row],[Accepted_Campaign_4]]+Table1[[#This Row],[Accepted_Campaign_3]])</f>
        <v>0</v>
      </c>
      <c r="AC976">
        <v>0</v>
      </c>
      <c r="AD976">
        <v>0</v>
      </c>
    </row>
    <row r="977" spans="1:30" x14ac:dyDescent="0.25">
      <c r="A977">
        <v>41597</v>
      </c>
      <c r="B977">
        <v>5299</v>
      </c>
      <c r="C977">
        <v>1970</v>
      </c>
      <c r="D977" t="s">
        <v>8</v>
      </c>
      <c r="E977" t="s">
        <v>14</v>
      </c>
      <c r="F977" t="s">
        <v>11</v>
      </c>
      <c r="G977">
        <v>69084</v>
      </c>
      <c r="H977">
        <v>1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f>SUM(Table1[[#This Row],[Gold Spending]]+Table1[[#This Row],[Sweet Spending]]+Table1[[#This Row],[Fish Spending]]+Table1[[#This Row],[Meat Spending]]+Table1[[#This Row],[Fruits Spending]]+Table1[[#This Row],[Wine Spending ]])</f>
        <v>1586</v>
      </c>
      <c r="Q977">
        <v>2</v>
      </c>
      <c r="R977">
        <v>7</v>
      </c>
      <c r="S977">
        <v>3</v>
      </c>
      <c r="T977">
        <v>13</v>
      </c>
      <c r="U977">
        <f>SUM(Table1[[#This Row],[Store_Purchases]]+Table1[[#This Row],[Catalog_Purchases]]+Table1[[#This Row],[Web_Purchases]]+Table1[[#This Row],[Deal_Purchases]])</f>
        <v>25</v>
      </c>
      <c r="V977">
        <v>8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f>SUM(Table1[[#This Row],[Accepted_Campaign_2]]+Table1[[#This Row],[Accepted_Campaign_1]]+Table1[[#This Row],[Accepted_Campaign_5]]+Table1[[#This Row],[Accepted_Campaign_4]]+Table1[[#This Row],[Accepted_Campaign_3]])</f>
        <v>0</v>
      </c>
      <c r="AC977">
        <v>0</v>
      </c>
      <c r="AD977">
        <v>0</v>
      </c>
    </row>
    <row r="978" spans="1:30" x14ac:dyDescent="0.25">
      <c r="A978">
        <v>41507</v>
      </c>
      <c r="B978">
        <v>6872</v>
      </c>
      <c r="C978">
        <v>1974</v>
      </c>
      <c r="D978" t="s">
        <v>20</v>
      </c>
      <c r="E978" t="s">
        <v>14</v>
      </c>
      <c r="F978" t="s">
        <v>11</v>
      </c>
      <c r="G978">
        <v>65352</v>
      </c>
      <c r="H978">
        <v>1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f>SUM(Table1[[#This Row],[Gold Spending]]+Table1[[#This Row],[Sweet Spending]]+Table1[[#This Row],[Fish Spending]]+Table1[[#This Row],[Meat Spending]]+Table1[[#This Row],[Fruits Spending]]+Table1[[#This Row],[Wine Spending ]])</f>
        <v>405</v>
      </c>
      <c r="Q978">
        <v>2</v>
      </c>
      <c r="R978">
        <v>4</v>
      </c>
      <c r="S978">
        <v>2</v>
      </c>
      <c r="T978">
        <v>8</v>
      </c>
      <c r="U978">
        <f>SUM(Table1[[#This Row],[Store_Purchases]]+Table1[[#This Row],[Catalog_Purchases]]+Table1[[#This Row],[Web_Purchases]]+Table1[[#This Row],[Deal_Purchases]])</f>
        <v>16</v>
      </c>
      <c r="V978">
        <v>4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f>SUM(Table1[[#This Row],[Accepted_Campaign_2]]+Table1[[#This Row],[Accepted_Campaign_1]]+Table1[[#This Row],[Accepted_Campaign_5]]+Table1[[#This Row],[Accepted_Campaign_4]]+Table1[[#This Row],[Accepted_Campaign_3]])</f>
        <v>0</v>
      </c>
      <c r="AC978">
        <v>0</v>
      </c>
      <c r="AD978">
        <v>0</v>
      </c>
    </row>
    <row r="979" spans="1:30" x14ac:dyDescent="0.25">
      <c r="A979">
        <v>41494</v>
      </c>
      <c r="B979">
        <v>1143</v>
      </c>
      <c r="C979">
        <v>1972</v>
      </c>
      <c r="D979" t="s">
        <v>10</v>
      </c>
      <c r="E979" t="s">
        <v>6</v>
      </c>
      <c r="F979" t="s">
        <v>11</v>
      </c>
      <c r="G979">
        <v>22063</v>
      </c>
      <c r="H979">
        <v>1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979">
        <v>2</v>
      </c>
      <c r="R979">
        <v>2</v>
      </c>
      <c r="S979">
        <v>0</v>
      </c>
      <c r="T979">
        <v>3</v>
      </c>
      <c r="U979">
        <f>SUM(Table1[[#This Row],[Store_Purchases]]+Table1[[#This Row],[Catalog_Purchases]]+Table1[[#This Row],[Web_Purchases]]+Table1[[#This Row],[Deal_Purchases]])</f>
        <v>7</v>
      </c>
      <c r="V979">
        <v>7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f>SUM(Table1[[#This Row],[Accepted_Campaign_2]]+Table1[[#This Row],[Accepted_Campaign_1]]+Table1[[#This Row],[Accepted_Campaign_5]]+Table1[[#This Row],[Accepted_Campaign_4]]+Table1[[#This Row],[Accepted_Campaign_3]])</f>
        <v>0</v>
      </c>
      <c r="AC979">
        <v>0</v>
      </c>
      <c r="AD979">
        <v>0</v>
      </c>
    </row>
    <row r="980" spans="1:30" x14ac:dyDescent="0.25">
      <c r="A980">
        <v>41460</v>
      </c>
      <c r="B980">
        <v>10381</v>
      </c>
      <c r="C980">
        <v>1979</v>
      </c>
      <c r="D980" t="s">
        <v>8</v>
      </c>
      <c r="E980" t="s">
        <v>6</v>
      </c>
      <c r="F980" t="s">
        <v>9</v>
      </c>
      <c r="G980">
        <v>47691</v>
      </c>
      <c r="H980">
        <v>1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f>SUM(Table1[[#This Row],[Gold Spending]]+Table1[[#This Row],[Sweet Spending]]+Table1[[#This Row],[Fish Spending]]+Table1[[#This Row],[Meat Spending]]+Table1[[#This Row],[Fruits Spending]]+Table1[[#This Row],[Wine Spending ]])</f>
        <v>21</v>
      </c>
      <c r="Q980">
        <v>1</v>
      </c>
      <c r="R980">
        <v>1</v>
      </c>
      <c r="S980">
        <v>0</v>
      </c>
      <c r="T980">
        <v>2</v>
      </c>
      <c r="U980">
        <f>SUM(Table1[[#This Row],[Store_Purchases]]+Table1[[#This Row],[Catalog_Purchases]]+Table1[[#This Row],[Web_Purchases]]+Table1[[#This Row],[Deal_Purchases]])</f>
        <v>4</v>
      </c>
      <c r="V980">
        <v>6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f>SUM(Table1[[#This Row],[Accepted_Campaign_2]]+Table1[[#This Row],[Accepted_Campaign_1]]+Table1[[#This Row],[Accepted_Campaign_5]]+Table1[[#This Row],[Accepted_Campaign_4]]+Table1[[#This Row],[Accepted_Campaign_3]])</f>
        <v>0</v>
      </c>
      <c r="AC980">
        <v>0</v>
      </c>
      <c r="AD980">
        <v>0</v>
      </c>
    </row>
    <row r="981" spans="1:30" x14ac:dyDescent="0.25">
      <c r="A981">
        <v>41403</v>
      </c>
      <c r="B981">
        <v>11007</v>
      </c>
      <c r="C981">
        <v>1968</v>
      </c>
      <c r="D981" t="s">
        <v>8</v>
      </c>
      <c r="E981" t="s">
        <v>14</v>
      </c>
      <c r="F981" t="s">
        <v>11</v>
      </c>
      <c r="G981">
        <v>29187</v>
      </c>
      <c r="H981">
        <v>1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f>SUM(Table1[[#This Row],[Gold Spending]]+Table1[[#This Row],[Sweet Spending]]+Table1[[#This Row],[Fish Spending]]+Table1[[#This Row],[Meat Spending]]+Table1[[#This Row],[Fruits Spending]]+Table1[[#This Row],[Wine Spending ]])</f>
        <v>34</v>
      </c>
      <c r="Q981">
        <v>1</v>
      </c>
      <c r="R981">
        <v>1</v>
      </c>
      <c r="S981">
        <v>0</v>
      </c>
      <c r="T981">
        <v>3</v>
      </c>
      <c r="U981">
        <f>SUM(Table1[[#This Row],[Store_Purchases]]+Table1[[#This Row],[Catalog_Purchases]]+Table1[[#This Row],[Web_Purchases]]+Table1[[#This Row],[Deal_Purchases]])</f>
        <v>5</v>
      </c>
      <c r="V981">
        <v>8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f>SUM(Table1[[#This Row],[Accepted_Campaign_2]]+Table1[[#This Row],[Accepted_Campaign_1]]+Table1[[#This Row],[Accepted_Campaign_5]]+Table1[[#This Row],[Accepted_Campaign_4]]+Table1[[#This Row],[Accepted_Campaign_3]])</f>
        <v>0</v>
      </c>
      <c r="AC981">
        <v>0</v>
      </c>
      <c r="AD981">
        <v>0</v>
      </c>
    </row>
    <row r="982" spans="1:30" x14ac:dyDescent="0.25">
      <c r="A982">
        <v>41370</v>
      </c>
      <c r="B982">
        <v>9145</v>
      </c>
      <c r="C982">
        <v>1972</v>
      </c>
      <c r="D982" t="s">
        <v>10</v>
      </c>
      <c r="E982" t="s">
        <v>6</v>
      </c>
      <c r="F982" t="s">
        <v>9</v>
      </c>
      <c r="G982">
        <v>72504</v>
      </c>
      <c r="H982">
        <v>1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f>SUM(Table1[[#This Row],[Gold Spending]]+Table1[[#This Row],[Sweet Spending]]+Table1[[#This Row],[Fish Spending]]+Table1[[#This Row],[Meat Spending]]+Table1[[#This Row],[Fruits Spending]]+Table1[[#This Row],[Wine Spending ]])</f>
        <v>1478</v>
      </c>
      <c r="Q982">
        <v>2</v>
      </c>
      <c r="R982">
        <v>5</v>
      </c>
      <c r="S982">
        <v>9</v>
      </c>
      <c r="T982">
        <v>6</v>
      </c>
      <c r="U982">
        <f>SUM(Table1[[#This Row],[Store_Purchases]]+Table1[[#This Row],[Catalog_Purchases]]+Table1[[#This Row],[Web_Purchases]]+Table1[[#This Row],[Deal_Purchases]])</f>
        <v>22</v>
      </c>
      <c r="V982">
        <v>2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f>SUM(Table1[[#This Row],[Accepted_Campaign_2]]+Table1[[#This Row],[Accepted_Campaign_1]]+Table1[[#This Row],[Accepted_Campaign_5]]+Table1[[#This Row],[Accepted_Campaign_4]]+Table1[[#This Row],[Accepted_Campaign_3]])</f>
        <v>0</v>
      </c>
      <c r="AC982">
        <v>0</v>
      </c>
      <c r="AD982">
        <v>0</v>
      </c>
    </row>
    <row r="983" spans="1:30" x14ac:dyDescent="0.25">
      <c r="A983">
        <v>41347</v>
      </c>
      <c r="B983">
        <v>5267</v>
      </c>
      <c r="C983">
        <v>1970</v>
      </c>
      <c r="D983" t="s">
        <v>8</v>
      </c>
      <c r="E983" t="s">
        <v>6</v>
      </c>
      <c r="F983" t="s">
        <v>7</v>
      </c>
      <c r="G983">
        <v>33986</v>
      </c>
      <c r="H983">
        <v>1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983">
        <v>1</v>
      </c>
      <c r="R983">
        <v>1</v>
      </c>
      <c r="S983">
        <v>0</v>
      </c>
      <c r="T983">
        <v>3</v>
      </c>
      <c r="U983">
        <f>SUM(Table1[[#This Row],[Store_Purchases]]+Table1[[#This Row],[Catalog_Purchases]]+Table1[[#This Row],[Web_Purchases]]+Table1[[#This Row],[Deal_Purchases]])</f>
        <v>5</v>
      </c>
      <c r="V983">
        <v>7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f>SUM(Table1[[#This Row],[Accepted_Campaign_2]]+Table1[[#This Row],[Accepted_Campaign_1]]+Table1[[#This Row],[Accepted_Campaign_5]]+Table1[[#This Row],[Accepted_Campaign_4]]+Table1[[#This Row],[Accepted_Campaign_3]])</f>
        <v>0</v>
      </c>
      <c r="AC983">
        <v>0</v>
      </c>
      <c r="AD983">
        <v>0</v>
      </c>
    </row>
    <row r="984" spans="1:30" x14ac:dyDescent="0.25">
      <c r="A984">
        <v>41287</v>
      </c>
      <c r="B984">
        <v>9738</v>
      </c>
      <c r="C984">
        <v>1986</v>
      </c>
      <c r="D984" t="s">
        <v>20</v>
      </c>
      <c r="E984" t="s">
        <v>18</v>
      </c>
      <c r="F984" t="s">
        <v>12</v>
      </c>
      <c r="G984">
        <v>42386</v>
      </c>
      <c r="H984">
        <v>1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f>SUM(Table1[[#This Row],[Gold Spending]]+Table1[[#This Row],[Sweet Spending]]+Table1[[#This Row],[Fish Spending]]+Table1[[#This Row],[Meat Spending]]+Table1[[#This Row],[Fruits Spending]]+Table1[[#This Row],[Wine Spending ]])</f>
        <v>100</v>
      </c>
      <c r="Q984">
        <v>1</v>
      </c>
      <c r="R984">
        <v>3</v>
      </c>
      <c r="S984">
        <v>0</v>
      </c>
      <c r="T984">
        <v>3</v>
      </c>
      <c r="U984">
        <f>SUM(Table1[[#This Row],[Store_Purchases]]+Table1[[#This Row],[Catalog_Purchases]]+Table1[[#This Row],[Web_Purchases]]+Table1[[#This Row],[Deal_Purchases]])</f>
        <v>7</v>
      </c>
      <c r="V984">
        <v>8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f>SUM(Table1[[#This Row],[Accepted_Campaign_2]]+Table1[[#This Row],[Accepted_Campaign_1]]+Table1[[#This Row],[Accepted_Campaign_5]]+Table1[[#This Row],[Accepted_Campaign_4]]+Table1[[#This Row],[Accepted_Campaign_3]])</f>
        <v>0</v>
      </c>
      <c r="AC984">
        <v>0</v>
      </c>
      <c r="AD984">
        <v>0</v>
      </c>
    </row>
    <row r="985" spans="1:30" x14ac:dyDescent="0.25">
      <c r="A985">
        <v>41287</v>
      </c>
      <c r="B985">
        <v>10212</v>
      </c>
      <c r="C985">
        <v>1986</v>
      </c>
      <c r="D985" t="s">
        <v>17</v>
      </c>
      <c r="E985" t="s">
        <v>18</v>
      </c>
      <c r="F985" t="s">
        <v>12</v>
      </c>
      <c r="G985">
        <v>42386</v>
      </c>
      <c r="H985">
        <v>1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f>SUM(Table1[[#This Row],[Gold Spending]]+Table1[[#This Row],[Sweet Spending]]+Table1[[#This Row],[Fish Spending]]+Table1[[#This Row],[Meat Spending]]+Table1[[#This Row],[Fruits Spending]]+Table1[[#This Row],[Wine Spending ]])</f>
        <v>100</v>
      </c>
      <c r="Q985">
        <v>1</v>
      </c>
      <c r="R985">
        <v>3</v>
      </c>
      <c r="S985">
        <v>0</v>
      </c>
      <c r="T985">
        <v>3</v>
      </c>
      <c r="U985">
        <f>SUM(Table1[[#This Row],[Store_Purchases]]+Table1[[#This Row],[Catalog_Purchases]]+Table1[[#This Row],[Web_Purchases]]+Table1[[#This Row],[Deal_Purchases]])</f>
        <v>7</v>
      </c>
      <c r="V985">
        <v>8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f>SUM(Table1[[#This Row],[Accepted_Campaign_2]]+Table1[[#This Row],[Accepted_Campaign_1]]+Table1[[#This Row],[Accepted_Campaign_5]]+Table1[[#This Row],[Accepted_Campaign_4]]+Table1[[#This Row],[Accepted_Campaign_3]])</f>
        <v>0</v>
      </c>
      <c r="AC985">
        <v>0</v>
      </c>
      <c r="AD985">
        <v>0</v>
      </c>
    </row>
    <row r="986" spans="1:30" x14ac:dyDescent="0.25">
      <c r="A986">
        <v>41158</v>
      </c>
      <c r="B986">
        <v>10010</v>
      </c>
      <c r="C986">
        <v>1953</v>
      </c>
      <c r="D986" t="s">
        <v>13</v>
      </c>
      <c r="E986" t="s">
        <v>14</v>
      </c>
      <c r="F986" t="s">
        <v>7</v>
      </c>
      <c r="G986">
        <v>36957</v>
      </c>
      <c r="H986">
        <v>2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f>SUM(Table1[[#This Row],[Gold Spending]]+Table1[[#This Row],[Sweet Spending]]+Table1[[#This Row],[Fish Spending]]+Table1[[#This Row],[Meat Spending]]+Table1[[#This Row],[Fruits Spending]]+Table1[[#This Row],[Wine Spending ]])</f>
        <v>152</v>
      </c>
      <c r="Q986">
        <v>4</v>
      </c>
      <c r="R986">
        <v>3</v>
      </c>
      <c r="S986">
        <v>2</v>
      </c>
      <c r="T986">
        <v>2</v>
      </c>
      <c r="U986">
        <f>SUM(Table1[[#This Row],[Store_Purchases]]+Table1[[#This Row],[Catalog_Purchases]]+Table1[[#This Row],[Web_Purchases]]+Table1[[#This Row],[Deal_Purchases]])</f>
        <v>11</v>
      </c>
      <c r="V986">
        <v>9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f>SUM(Table1[[#This Row],[Accepted_Campaign_2]]+Table1[[#This Row],[Accepted_Campaign_1]]+Table1[[#This Row],[Accepted_Campaign_5]]+Table1[[#This Row],[Accepted_Campaign_4]]+Table1[[#This Row],[Accepted_Campaign_3]])</f>
        <v>0</v>
      </c>
      <c r="AC986">
        <v>1</v>
      </c>
      <c r="AD986">
        <v>0</v>
      </c>
    </row>
    <row r="987" spans="1:30" x14ac:dyDescent="0.25">
      <c r="A987">
        <v>41152</v>
      </c>
      <c r="B987">
        <v>10069</v>
      </c>
      <c r="C987">
        <v>1988</v>
      </c>
      <c r="D987" t="s">
        <v>20</v>
      </c>
      <c r="E987" t="s">
        <v>21</v>
      </c>
      <c r="F987" t="s">
        <v>12</v>
      </c>
      <c r="G987">
        <v>13724</v>
      </c>
      <c r="H987">
        <v>1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f>SUM(Table1[[#This Row],[Gold Spending]]+Table1[[#This Row],[Sweet Spending]]+Table1[[#This Row],[Fish Spending]]+Table1[[#This Row],[Meat Spending]]+Table1[[#This Row],[Fruits Spending]]+Table1[[#This Row],[Wine Spending ]])</f>
        <v>58</v>
      </c>
      <c r="Q987">
        <v>1</v>
      </c>
      <c r="R987">
        <v>2</v>
      </c>
      <c r="S987">
        <v>0</v>
      </c>
      <c r="T987">
        <v>2</v>
      </c>
      <c r="U987">
        <f>SUM(Table1[[#This Row],[Store_Purchases]]+Table1[[#This Row],[Catalog_Purchases]]+Table1[[#This Row],[Web_Purchases]]+Table1[[#This Row],[Deal_Purchases]])</f>
        <v>5</v>
      </c>
      <c r="V987">
        <v>9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f>SUM(Table1[[#This Row],[Accepted_Campaign_2]]+Table1[[#This Row],[Accepted_Campaign_1]]+Table1[[#This Row],[Accepted_Campaign_5]]+Table1[[#This Row],[Accepted_Campaign_4]]+Table1[[#This Row],[Accepted_Campaign_3]])</f>
        <v>1</v>
      </c>
      <c r="AC987">
        <v>0</v>
      </c>
      <c r="AD987">
        <v>0</v>
      </c>
    </row>
    <row r="988" spans="1:30" x14ac:dyDescent="0.25">
      <c r="A988">
        <v>41716</v>
      </c>
      <c r="B988">
        <v>2694</v>
      </c>
      <c r="C988">
        <v>1967</v>
      </c>
      <c r="D988" t="s">
        <v>8</v>
      </c>
      <c r="E988" t="s">
        <v>6</v>
      </c>
      <c r="F988" t="s">
        <v>11</v>
      </c>
      <c r="G988">
        <v>42664</v>
      </c>
      <c r="H988">
        <v>1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f>SUM(Table1[[#This Row],[Gold Spending]]+Table1[[#This Row],[Sweet Spending]]+Table1[[#This Row],[Fish Spending]]+Table1[[#This Row],[Meat Spending]]+Table1[[#This Row],[Fruits Spending]]+Table1[[#This Row],[Wine Spending ]])</f>
        <v>24</v>
      </c>
      <c r="Q988">
        <v>1</v>
      </c>
      <c r="R988">
        <v>1</v>
      </c>
      <c r="S988">
        <v>0</v>
      </c>
      <c r="T988">
        <v>3</v>
      </c>
      <c r="U988">
        <f>SUM(Table1[[#This Row],[Store_Purchases]]+Table1[[#This Row],[Catalog_Purchases]]+Table1[[#This Row],[Web_Purchases]]+Table1[[#This Row],[Deal_Purchases]])</f>
        <v>5</v>
      </c>
      <c r="V988">
        <v>6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f>SUM(Table1[[#This Row],[Accepted_Campaign_2]]+Table1[[#This Row],[Accepted_Campaign_1]]+Table1[[#This Row],[Accepted_Campaign_5]]+Table1[[#This Row],[Accepted_Campaign_4]]+Table1[[#This Row],[Accepted_Campaign_3]])</f>
        <v>0</v>
      </c>
      <c r="AC988">
        <v>0</v>
      </c>
      <c r="AD988">
        <v>0</v>
      </c>
    </row>
    <row r="989" spans="1:30" x14ac:dyDescent="0.25">
      <c r="A989">
        <v>41696</v>
      </c>
      <c r="B989">
        <v>10613</v>
      </c>
      <c r="C989">
        <v>1958</v>
      </c>
      <c r="D989" t="s">
        <v>8</v>
      </c>
      <c r="E989" t="s">
        <v>14</v>
      </c>
      <c r="F989" t="s">
        <v>12</v>
      </c>
      <c r="G989">
        <v>37334</v>
      </c>
      <c r="H989">
        <v>2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f>SUM(Table1[[#This Row],[Gold Spending]]+Table1[[#This Row],[Sweet Spending]]+Table1[[#This Row],[Fish Spending]]+Table1[[#This Row],[Meat Spending]]+Table1[[#This Row],[Fruits Spending]]+Table1[[#This Row],[Wine Spending ]])</f>
        <v>62</v>
      </c>
      <c r="Q989">
        <v>4</v>
      </c>
      <c r="R989">
        <v>3</v>
      </c>
      <c r="S989">
        <v>0</v>
      </c>
      <c r="T989">
        <v>4</v>
      </c>
      <c r="U989">
        <f>SUM(Table1[[#This Row],[Store_Purchases]]+Table1[[#This Row],[Catalog_Purchases]]+Table1[[#This Row],[Web_Purchases]]+Table1[[#This Row],[Deal_Purchases]])</f>
        <v>11</v>
      </c>
      <c r="V989">
        <v>4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f>SUM(Table1[[#This Row],[Accepted_Campaign_2]]+Table1[[#This Row],[Accepted_Campaign_1]]+Table1[[#This Row],[Accepted_Campaign_5]]+Table1[[#This Row],[Accepted_Campaign_4]]+Table1[[#This Row],[Accepted_Campaign_3]])</f>
        <v>0</v>
      </c>
      <c r="AC989">
        <v>0</v>
      </c>
      <c r="AD989">
        <v>0</v>
      </c>
    </row>
    <row r="990" spans="1:30" x14ac:dyDescent="0.25">
      <c r="A990">
        <v>41609</v>
      </c>
      <c r="B990">
        <v>4646</v>
      </c>
      <c r="C990">
        <v>1951</v>
      </c>
      <c r="D990" t="s">
        <v>10</v>
      </c>
      <c r="E990" t="s">
        <v>15</v>
      </c>
      <c r="F990" t="s">
        <v>11</v>
      </c>
      <c r="G990">
        <v>78497</v>
      </c>
      <c r="H990">
        <v>0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f>SUM(Table1[[#This Row],[Gold Spending]]+Table1[[#This Row],[Sweet Spending]]+Table1[[#This Row],[Fish Spending]]+Table1[[#This Row],[Meat Spending]]+Table1[[#This Row],[Fruits Spending]]+Table1[[#This Row],[Wine Spending ]])</f>
        <v>978</v>
      </c>
      <c r="Q990">
        <v>1</v>
      </c>
      <c r="R990">
        <v>5</v>
      </c>
      <c r="S990">
        <v>7</v>
      </c>
      <c r="T990">
        <v>12</v>
      </c>
      <c r="U990">
        <f>SUM(Table1[[#This Row],[Store_Purchases]]+Table1[[#This Row],[Catalog_Purchases]]+Table1[[#This Row],[Web_Purchases]]+Table1[[#This Row],[Deal_Purchases]])</f>
        <v>25</v>
      </c>
      <c r="V990">
        <v>2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f>SUM(Table1[[#This Row],[Accepted_Campaign_2]]+Table1[[#This Row],[Accepted_Campaign_1]]+Table1[[#This Row],[Accepted_Campaign_5]]+Table1[[#This Row],[Accepted_Campaign_4]]+Table1[[#This Row],[Accepted_Campaign_3]])</f>
        <v>1</v>
      </c>
      <c r="AC990">
        <v>0</v>
      </c>
      <c r="AD990">
        <v>0</v>
      </c>
    </row>
    <row r="991" spans="1:30" x14ac:dyDescent="0.25">
      <c r="A991">
        <v>41609</v>
      </c>
      <c r="B991">
        <v>6935</v>
      </c>
      <c r="C991">
        <v>1951</v>
      </c>
      <c r="D991" t="s">
        <v>17</v>
      </c>
      <c r="E991" t="s">
        <v>15</v>
      </c>
      <c r="F991" t="s">
        <v>11</v>
      </c>
      <c r="G991">
        <v>78497</v>
      </c>
      <c r="H991">
        <v>0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f>SUM(Table1[[#This Row],[Gold Spending]]+Table1[[#This Row],[Sweet Spending]]+Table1[[#This Row],[Fish Spending]]+Table1[[#This Row],[Meat Spending]]+Table1[[#This Row],[Fruits Spending]]+Table1[[#This Row],[Wine Spending ]])</f>
        <v>978</v>
      </c>
      <c r="Q991">
        <v>1</v>
      </c>
      <c r="R991">
        <v>5</v>
      </c>
      <c r="S991">
        <v>7</v>
      </c>
      <c r="T991">
        <v>12</v>
      </c>
      <c r="U991">
        <f>SUM(Table1[[#This Row],[Store_Purchases]]+Table1[[#This Row],[Catalog_Purchases]]+Table1[[#This Row],[Web_Purchases]]+Table1[[#This Row],[Deal_Purchases]])</f>
        <v>25</v>
      </c>
      <c r="V991">
        <v>2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f>SUM(Table1[[#This Row],[Accepted_Campaign_2]]+Table1[[#This Row],[Accepted_Campaign_1]]+Table1[[#This Row],[Accepted_Campaign_5]]+Table1[[#This Row],[Accepted_Campaign_4]]+Table1[[#This Row],[Accepted_Campaign_3]])</f>
        <v>1</v>
      </c>
      <c r="AC991">
        <v>0</v>
      </c>
      <c r="AD991">
        <v>0</v>
      </c>
    </row>
    <row r="992" spans="1:30" x14ac:dyDescent="0.25">
      <c r="A992">
        <v>41559</v>
      </c>
      <c r="B992">
        <v>5596</v>
      </c>
      <c r="C992">
        <v>1956</v>
      </c>
      <c r="D992" t="s">
        <v>20</v>
      </c>
      <c r="E992" t="s">
        <v>15</v>
      </c>
      <c r="F992" t="s">
        <v>12</v>
      </c>
      <c r="G992">
        <v>58821</v>
      </c>
      <c r="H992">
        <v>1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f>SUM(Table1[[#This Row],[Gold Spending]]+Table1[[#This Row],[Sweet Spending]]+Table1[[#This Row],[Fish Spending]]+Table1[[#This Row],[Meat Spending]]+Table1[[#This Row],[Fruits Spending]]+Table1[[#This Row],[Wine Spending ]])</f>
        <v>728</v>
      </c>
      <c r="Q992">
        <v>1</v>
      </c>
      <c r="R992">
        <v>9</v>
      </c>
      <c r="S992">
        <v>2</v>
      </c>
      <c r="T992">
        <v>9</v>
      </c>
      <c r="U992">
        <f>SUM(Table1[[#This Row],[Store_Purchases]]+Table1[[#This Row],[Catalog_Purchases]]+Table1[[#This Row],[Web_Purchases]]+Table1[[#This Row],[Deal_Purchases]])</f>
        <v>21</v>
      </c>
      <c r="V992">
        <v>6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f>SUM(Table1[[#This Row],[Accepted_Campaign_2]]+Table1[[#This Row],[Accepted_Campaign_1]]+Table1[[#This Row],[Accepted_Campaign_5]]+Table1[[#This Row],[Accepted_Campaign_4]]+Table1[[#This Row],[Accepted_Campaign_3]])</f>
        <v>0</v>
      </c>
      <c r="AC992">
        <v>0</v>
      </c>
      <c r="AD992">
        <v>0</v>
      </c>
    </row>
    <row r="993" spans="1:30" x14ac:dyDescent="0.25">
      <c r="A993">
        <v>41408</v>
      </c>
      <c r="B993">
        <v>1044</v>
      </c>
      <c r="C993">
        <v>1953</v>
      </c>
      <c r="D993" t="s">
        <v>13</v>
      </c>
      <c r="E993" t="s">
        <v>6</v>
      </c>
      <c r="F993" t="s">
        <v>12</v>
      </c>
      <c r="G993">
        <v>58398</v>
      </c>
      <c r="H993">
        <v>0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f>SUM(Table1[[#This Row],[Gold Spending]]+Table1[[#This Row],[Sweet Spending]]+Table1[[#This Row],[Fish Spending]]+Table1[[#This Row],[Meat Spending]]+Table1[[#This Row],[Fruits Spending]]+Table1[[#This Row],[Wine Spending ]])</f>
        <v>596</v>
      </c>
      <c r="Q993">
        <v>3</v>
      </c>
      <c r="R993">
        <v>5</v>
      </c>
      <c r="S993">
        <v>4</v>
      </c>
      <c r="T993">
        <v>8</v>
      </c>
      <c r="U993">
        <f>SUM(Table1[[#This Row],[Store_Purchases]]+Table1[[#This Row],[Catalog_Purchases]]+Table1[[#This Row],[Web_Purchases]]+Table1[[#This Row],[Deal_Purchases]])</f>
        <v>20</v>
      </c>
      <c r="V993">
        <v>4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f>SUM(Table1[[#This Row],[Accepted_Campaign_2]]+Table1[[#This Row],[Accepted_Campaign_1]]+Table1[[#This Row],[Accepted_Campaign_5]]+Table1[[#This Row],[Accepted_Campaign_4]]+Table1[[#This Row],[Accepted_Campaign_3]])</f>
        <v>0</v>
      </c>
      <c r="AC993">
        <v>0</v>
      </c>
      <c r="AD993">
        <v>0</v>
      </c>
    </row>
    <row r="994" spans="1:30" x14ac:dyDescent="0.25">
      <c r="A994">
        <v>41361</v>
      </c>
      <c r="B994">
        <v>9274</v>
      </c>
      <c r="C994">
        <v>1961</v>
      </c>
      <c r="D994" t="s">
        <v>20</v>
      </c>
      <c r="E994" t="s">
        <v>18</v>
      </c>
      <c r="F994" t="s">
        <v>11</v>
      </c>
      <c r="G994">
        <v>80950</v>
      </c>
      <c r="H994">
        <v>0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f>SUM(Table1[[#This Row],[Gold Spending]]+Table1[[#This Row],[Sweet Spending]]+Table1[[#This Row],[Fish Spending]]+Table1[[#This Row],[Meat Spending]]+Table1[[#This Row],[Fruits Spending]]+Table1[[#This Row],[Wine Spending ]])</f>
        <v>1213</v>
      </c>
      <c r="Q994">
        <v>1</v>
      </c>
      <c r="R994">
        <v>6</v>
      </c>
      <c r="S994">
        <v>7</v>
      </c>
      <c r="T994">
        <v>9</v>
      </c>
      <c r="U994">
        <f>SUM(Table1[[#This Row],[Store_Purchases]]+Table1[[#This Row],[Catalog_Purchases]]+Table1[[#This Row],[Web_Purchases]]+Table1[[#This Row],[Deal_Purchases]])</f>
        <v>23</v>
      </c>
      <c r="V994">
        <v>2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f>SUM(Table1[[#This Row],[Accepted_Campaign_2]]+Table1[[#This Row],[Accepted_Campaign_1]]+Table1[[#This Row],[Accepted_Campaign_5]]+Table1[[#This Row],[Accepted_Campaign_4]]+Table1[[#This Row],[Accepted_Campaign_3]])</f>
        <v>1</v>
      </c>
      <c r="AC994">
        <v>0</v>
      </c>
      <c r="AD994">
        <v>0</v>
      </c>
    </row>
    <row r="995" spans="1:30" x14ac:dyDescent="0.25">
      <c r="A995">
        <v>41279</v>
      </c>
      <c r="B995">
        <v>9076</v>
      </c>
      <c r="C995">
        <v>1980</v>
      </c>
      <c r="D995" t="s">
        <v>20</v>
      </c>
      <c r="E995" t="s">
        <v>14</v>
      </c>
      <c r="F995" t="s">
        <v>11</v>
      </c>
      <c r="G995">
        <v>30732</v>
      </c>
      <c r="H995">
        <v>1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f>SUM(Table1[[#This Row],[Gold Spending]]+Table1[[#This Row],[Sweet Spending]]+Table1[[#This Row],[Fish Spending]]+Table1[[#This Row],[Meat Spending]]+Table1[[#This Row],[Fruits Spending]]+Table1[[#This Row],[Wine Spending ]])</f>
        <v>185</v>
      </c>
      <c r="Q995">
        <v>4</v>
      </c>
      <c r="R995">
        <v>4</v>
      </c>
      <c r="S995">
        <v>1</v>
      </c>
      <c r="T995">
        <v>4</v>
      </c>
      <c r="U995">
        <f>SUM(Table1[[#This Row],[Store_Purchases]]+Table1[[#This Row],[Catalog_Purchases]]+Table1[[#This Row],[Web_Purchases]]+Table1[[#This Row],[Deal_Purchases]])</f>
        <v>13</v>
      </c>
      <c r="V995">
        <v>8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f>SUM(Table1[[#This Row],[Accepted_Campaign_2]]+Table1[[#This Row],[Accepted_Campaign_1]]+Table1[[#This Row],[Accepted_Campaign_5]]+Table1[[#This Row],[Accepted_Campaign_4]]+Table1[[#This Row],[Accepted_Campaign_3]])</f>
        <v>0</v>
      </c>
      <c r="AC995">
        <v>0</v>
      </c>
      <c r="AD995">
        <v>0</v>
      </c>
    </row>
    <row r="996" spans="1:30" x14ac:dyDescent="0.25">
      <c r="A996">
        <v>41167</v>
      </c>
      <c r="B996">
        <v>4947</v>
      </c>
      <c r="C996">
        <v>1966</v>
      </c>
      <c r="D996" t="s">
        <v>8</v>
      </c>
      <c r="E996" t="s">
        <v>15</v>
      </c>
      <c r="F996" t="s">
        <v>9</v>
      </c>
      <c r="G996">
        <v>89572</v>
      </c>
      <c r="H996">
        <v>0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f>SUM(Table1[[#This Row],[Gold Spending]]+Table1[[#This Row],[Sweet Spending]]+Table1[[#This Row],[Fish Spending]]+Table1[[#This Row],[Meat Spending]]+Table1[[#This Row],[Fruits Spending]]+Table1[[#This Row],[Wine Spending ]])</f>
        <v>2059</v>
      </c>
      <c r="Q996">
        <v>1</v>
      </c>
      <c r="R996">
        <v>7</v>
      </c>
      <c r="S996">
        <v>7</v>
      </c>
      <c r="T996">
        <v>9</v>
      </c>
      <c r="U996">
        <f>SUM(Table1[[#This Row],[Store_Purchases]]+Table1[[#This Row],[Catalog_Purchases]]+Table1[[#This Row],[Web_Purchases]]+Table1[[#This Row],[Deal_Purchases]])</f>
        <v>24</v>
      </c>
      <c r="V996">
        <v>4</v>
      </c>
      <c r="W996">
        <v>0</v>
      </c>
      <c r="X996">
        <v>1</v>
      </c>
      <c r="Y996">
        <v>0</v>
      </c>
      <c r="Z996">
        <v>1</v>
      </c>
      <c r="AA996">
        <v>0</v>
      </c>
      <c r="AB996">
        <f>SUM(Table1[[#This Row],[Accepted_Campaign_2]]+Table1[[#This Row],[Accepted_Campaign_1]]+Table1[[#This Row],[Accepted_Campaign_5]]+Table1[[#This Row],[Accepted_Campaign_4]]+Table1[[#This Row],[Accepted_Campaign_3]])</f>
        <v>2</v>
      </c>
      <c r="AC996">
        <v>1</v>
      </c>
      <c r="AD996">
        <v>0</v>
      </c>
    </row>
    <row r="997" spans="1:30" x14ac:dyDescent="0.25">
      <c r="A997">
        <v>41145</v>
      </c>
      <c r="B997">
        <v>10176</v>
      </c>
      <c r="C997">
        <v>1968</v>
      </c>
      <c r="D997" t="s">
        <v>8</v>
      </c>
      <c r="E997" t="s">
        <v>6</v>
      </c>
      <c r="F997" t="s">
        <v>9</v>
      </c>
      <c r="G997">
        <v>57107</v>
      </c>
      <c r="H997">
        <v>1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f>SUM(Table1[[#This Row],[Gold Spending]]+Table1[[#This Row],[Sweet Spending]]+Table1[[#This Row],[Fish Spending]]+Table1[[#This Row],[Meat Spending]]+Table1[[#This Row],[Fruits Spending]]+Table1[[#This Row],[Wine Spending ]])</f>
        <v>416</v>
      </c>
      <c r="Q997">
        <v>7</v>
      </c>
      <c r="R997">
        <v>4</v>
      </c>
      <c r="S997">
        <v>4</v>
      </c>
      <c r="T997">
        <v>8</v>
      </c>
      <c r="U997">
        <f>SUM(Table1[[#This Row],[Store_Purchases]]+Table1[[#This Row],[Catalog_Purchases]]+Table1[[#This Row],[Web_Purchases]]+Table1[[#This Row],[Deal_Purchases]])</f>
        <v>23</v>
      </c>
      <c r="V997">
        <v>8</v>
      </c>
      <c r="W997">
        <v>0</v>
      </c>
      <c r="X997">
        <v>1</v>
      </c>
      <c r="Y997">
        <v>0</v>
      </c>
      <c r="Z997">
        <v>0</v>
      </c>
      <c r="AA997">
        <v>1</v>
      </c>
      <c r="AB997">
        <f>SUM(Table1[[#This Row],[Accepted_Campaign_2]]+Table1[[#This Row],[Accepted_Campaign_1]]+Table1[[#This Row],[Accepted_Campaign_5]]+Table1[[#This Row],[Accepted_Campaign_4]]+Table1[[#This Row],[Accepted_Campaign_3]])</f>
        <v>2</v>
      </c>
      <c r="AC997">
        <v>1</v>
      </c>
      <c r="AD997">
        <v>0</v>
      </c>
    </row>
    <row r="998" spans="1:30" x14ac:dyDescent="0.25">
      <c r="A998">
        <v>41138</v>
      </c>
      <c r="B998">
        <v>3507</v>
      </c>
      <c r="C998">
        <v>1970</v>
      </c>
      <c r="D998" t="s">
        <v>63</v>
      </c>
      <c r="E998" t="s">
        <v>6</v>
      </c>
      <c r="F998" t="s">
        <v>9</v>
      </c>
      <c r="G998">
        <v>76467</v>
      </c>
      <c r="H998">
        <v>1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f>SUM(Table1[[#This Row],[Gold Spending]]+Table1[[#This Row],[Sweet Spending]]+Table1[[#This Row],[Fish Spending]]+Table1[[#This Row],[Meat Spending]]+Table1[[#This Row],[Fruits Spending]]+Table1[[#This Row],[Wine Spending ]])</f>
        <v>1575</v>
      </c>
      <c r="Q998">
        <v>2</v>
      </c>
      <c r="R998">
        <v>2</v>
      </c>
      <c r="S998">
        <v>5</v>
      </c>
      <c r="T998">
        <v>5</v>
      </c>
      <c r="U998">
        <f>SUM(Table1[[#This Row],[Store_Purchases]]+Table1[[#This Row],[Catalog_Purchases]]+Table1[[#This Row],[Web_Purchases]]+Table1[[#This Row],[Deal_Purchases]])</f>
        <v>14</v>
      </c>
      <c r="V998">
        <v>6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f>SUM(Table1[[#This Row],[Accepted_Campaign_2]]+Table1[[#This Row],[Accepted_Campaign_1]]+Table1[[#This Row],[Accepted_Campaign_5]]+Table1[[#This Row],[Accepted_Campaign_4]]+Table1[[#This Row],[Accepted_Campaign_3]])</f>
        <v>0</v>
      </c>
      <c r="AC998">
        <v>1</v>
      </c>
      <c r="AD998">
        <v>0</v>
      </c>
    </row>
    <row r="999" spans="1:30" x14ac:dyDescent="0.25">
      <c r="A999">
        <v>41786</v>
      </c>
      <c r="B999">
        <v>9235</v>
      </c>
      <c r="C999">
        <v>1957</v>
      </c>
      <c r="D999" t="s">
        <v>16</v>
      </c>
      <c r="E999" t="s">
        <v>6</v>
      </c>
      <c r="F999" t="s">
        <v>9</v>
      </c>
      <c r="G999">
        <v>53790.45</v>
      </c>
      <c r="H999">
        <v>2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f>SUM(Table1[[#This Row],[Gold Spending]]+Table1[[#This Row],[Sweet Spending]]+Table1[[#This Row],[Fish Spending]]+Table1[[#This Row],[Meat Spending]]+Table1[[#This Row],[Fruits Spending]]+Table1[[#This Row],[Wine Spending ]])</f>
        <v>18</v>
      </c>
      <c r="Q999">
        <v>1</v>
      </c>
      <c r="R999">
        <v>1</v>
      </c>
      <c r="S999">
        <v>0</v>
      </c>
      <c r="T999">
        <v>2</v>
      </c>
      <c r="U999">
        <f>SUM(Table1[[#This Row],[Store_Purchases]]+Table1[[#This Row],[Catalog_Purchases]]+Table1[[#This Row],[Web_Purchases]]+Table1[[#This Row],[Deal_Purchases]])</f>
        <v>4</v>
      </c>
      <c r="V999">
        <v>7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f>SUM(Table1[[#This Row],[Accepted_Campaign_2]]+Table1[[#This Row],[Accepted_Campaign_1]]+Table1[[#This Row],[Accepted_Campaign_5]]+Table1[[#This Row],[Accepted_Campaign_4]]+Table1[[#This Row],[Accepted_Campaign_3]])</f>
        <v>0</v>
      </c>
      <c r="AC999">
        <v>0</v>
      </c>
      <c r="AD999">
        <v>0</v>
      </c>
    </row>
    <row r="1000" spans="1:30" x14ac:dyDescent="0.25">
      <c r="A1000">
        <v>41693</v>
      </c>
      <c r="B1000">
        <v>10341</v>
      </c>
      <c r="C1000">
        <v>1948</v>
      </c>
      <c r="D1000" t="s">
        <v>13</v>
      </c>
      <c r="E1000" t="s">
        <v>6</v>
      </c>
      <c r="F1000" t="s">
        <v>12</v>
      </c>
      <c r="G1000">
        <v>51315</v>
      </c>
      <c r="H1000">
        <v>0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f>SUM(Table1[[#This Row],[Gold Spending]]+Table1[[#This Row],[Sweet Spending]]+Table1[[#This Row],[Fish Spending]]+Table1[[#This Row],[Meat Spending]]+Table1[[#This Row],[Fruits Spending]]+Table1[[#This Row],[Wine Spending ]])</f>
        <v>222</v>
      </c>
      <c r="Q1000">
        <v>1</v>
      </c>
      <c r="R1000">
        <v>2</v>
      </c>
      <c r="S1000">
        <v>2</v>
      </c>
      <c r="T1000">
        <v>5</v>
      </c>
      <c r="U1000">
        <f>SUM(Table1[[#This Row],[Store_Purchases]]+Table1[[#This Row],[Catalog_Purchases]]+Table1[[#This Row],[Web_Purchases]]+Table1[[#This Row],[Deal_Purchases]])</f>
        <v>10</v>
      </c>
      <c r="V1000">
        <v>2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f>SUM(Table1[[#This Row],[Accepted_Campaign_2]]+Table1[[#This Row],[Accepted_Campaign_1]]+Table1[[#This Row],[Accepted_Campaign_5]]+Table1[[#This Row],[Accepted_Campaign_4]]+Table1[[#This Row],[Accepted_Campaign_3]])</f>
        <v>0</v>
      </c>
      <c r="AC1000">
        <v>0</v>
      </c>
      <c r="AD1000">
        <v>0</v>
      </c>
    </row>
    <row r="1001" spans="1:30" x14ac:dyDescent="0.25">
      <c r="A1001">
        <v>41649</v>
      </c>
      <c r="B1001">
        <v>2639</v>
      </c>
      <c r="C1001">
        <v>1966</v>
      </c>
      <c r="D1001" t="s">
        <v>20</v>
      </c>
      <c r="E1001" t="s">
        <v>6</v>
      </c>
      <c r="F1001" t="s">
        <v>9</v>
      </c>
      <c r="G1001">
        <v>43602</v>
      </c>
      <c r="H1001">
        <v>2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f>SUM(Table1[[#This Row],[Gold Spending]]+Table1[[#This Row],[Sweet Spending]]+Table1[[#This Row],[Fish Spending]]+Table1[[#This Row],[Meat Spending]]+Table1[[#This Row],[Fruits Spending]]+Table1[[#This Row],[Wine Spending ]])</f>
        <v>68</v>
      </c>
      <c r="Q1001">
        <v>3</v>
      </c>
      <c r="R1001">
        <v>3</v>
      </c>
      <c r="S1001">
        <v>1</v>
      </c>
      <c r="T1001">
        <v>2</v>
      </c>
      <c r="U1001">
        <f>SUM(Table1[[#This Row],[Store_Purchases]]+Table1[[#This Row],[Catalog_Purchases]]+Table1[[#This Row],[Web_Purchases]]+Table1[[#This Row],[Deal_Purchases]])</f>
        <v>9</v>
      </c>
      <c r="V1001">
        <v>6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f>SUM(Table1[[#This Row],[Accepted_Campaign_2]]+Table1[[#This Row],[Accepted_Campaign_1]]+Table1[[#This Row],[Accepted_Campaign_5]]+Table1[[#This Row],[Accepted_Campaign_4]]+Table1[[#This Row],[Accepted_Campaign_3]])</f>
        <v>0</v>
      </c>
      <c r="AC1001">
        <v>0</v>
      </c>
      <c r="AD1001">
        <v>0</v>
      </c>
    </row>
    <row r="1002" spans="1:30" x14ac:dyDescent="0.25">
      <c r="A1002">
        <v>41607</v>
      </c>
      <c r="B1002">
        <v>6201</v>
      </c>
      <c r="C1002">
        <v>1978</v>
      </c>
      <c r="D1002" t="s">
        <v>8</v>
      </c>
      <c r="E1002" t="s">
        <v>6</v>
      </c>
      <c r="F1002" t="s">
        <v>9</v>
      </c>
      <c r="G1002">
        <v>38643</v>
      </c>
      <c r="H1002">
        <v>2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f>SUM(Table1[[#This Row],[Gold Spending]]+Table1[[#This Row],[Sweet Spending]]+Table1[[#This Row],[Fish Spending]]+Table1[[#This Row],[Meat Spending]]+Table1[[#This Row],[Fruits Spending]]+Table1[[#This Row],[Wine Spending ]])</f>
        <v>49</v>
      </c>
      <c r="Q1002">
        <v>2</v>
      </c>
      <c r="R1002">
        <v>2</v>
      </c>
      <c r="S1002">
        <v>0</v>
      </c>
      <c r="T1002">
        <v>3</v>
      </c>
      <c r="U1002">
        <f>SUM(Table1[[#This Row],[Store_Purchases]]+Table1[[#This Row],[Catalog_Purchases]]+Table1[[#This Row],[Web_Purchases]]+Table1[[#This Row],[Deal_Purchases]])</f>
        <v>7</v>
      </c>
      <c r="V1002">
        <v>7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f>SUM(Table1[[#This Row],[Accepted_Campaign_2]]+Table1[[#This Row],[Accepted_Campaign_1]]+Table1[[#This Row],[Accepted_Campaign_5]]+Table1[[#This Row],[Accepted_Campaign_4]]+Table1[[#This Row],[Accepted_Campaign_3]])</f>
        <v>0</v>
      </c>
      <c r="AC1002">
        <v>0</v>
      </c>
      <c r="AD1002">
        <v>1</v>
      </c>
    </row>
    <row r="1003" spans="1:30" x14ac:dyDescent="0.25">
      <c r="A1003">
        <v>41474</v>
      </c>
      <c r="B1003">
        <v>7397</v>
      </c>
      <c r="C1003">
        <v>1951</v>
      </c>
      <c r="D1003" t="s">
        <v>8</v>
      </c>
      <c r="E1003" t="s">
        <v>6</v>
      </c>
      <c r="F1003" t="s">
        <v>9</v>
      </c>
      <c r="G1003">
        <v>49090</v>
      </c>
      <c r="H1003">
        <v>1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f>SUM(Table1[[#This Row],[Gold Spending]]+Table1[[#This Row],[Sweet Spending]]+Table1[[#This Row],[Fish Spending]]+Table1[[#This Row],[Meat Spending]]+Table1[[#This Row],[Fruits Spending]]+Table1[[#This Row],[Wine Spending ]])</f>
        <v>688</v>
      </c>
      <c r="Q1003">
        <v>3</v>
      </c>
      <c r="R1003">
        <v>7</v>
      </c>
      <c r="S1003">
        <v>2</v>
      </c>
      <c r="T1003">
        <v>9</v>
      </c>
      <c r="U1003">
        <f>SUM(Table1[[#This Row],[Store_Purchases]]+Table1[[#This Row],[Catalog_Purchases]]+Table1[[#This Row],[Web_Purchases]]+Table1[[#This Row],[Deal_Purchases]])</f>
        <v>21</v>
      </c>
      <c r="V1003">
        <v>7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f>SUM(Table1[[#This Row],[Accepted_Campaign_2]]+Table1[[#This Row],[Accepted_Campaign_1]]+Table1[[#This Row],[Accepted_Campaign_5]]+Table1[[#This Row],[Accepted_Campaign_4]]+Table1[[#This Row],[Accepted_Campaign_3]])</f>
        <v>0</v>
      </c>
      <c r="AC1003">
        <v>0</v>
      </c>
      <c r="AD1003">
        <v>0</v>
      </c>
    </row>
    <row r="1004" spans="1:30" x14ac:dyDescent="0.25">
      <c r="A1004">
        <v>41448</v>
      </c>
      <c r="B1004">
        <v>2181</v>
      </c>
      <c r="C1004">
        <v>1970</v>
      </c>
      <c r="D1004" t="s">
        <v>8</v>
      </c>
      <c r="E1004" t="s">
        <v>6</v>
      </c>
      <c r="F1004" t="s">
        <v>11</v>
      </c>
      <c r="G1004">
        <v>70617</v>
      </c>
      <c r="H1004">
        <v>0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f>SUM(Table1[[#This Row],[Gold Spending]]+Table1[[#This Row],[Sweet Spending]]+Table1[[#This Row],[Fish Spending]]+Table1[[#This Row],[Meat Spending]]+Table1[[#This Row],[Fruits Spending]]+Table1[[#This Row],[Wine Spending ]])</f>
        <v>1280</v>
      </c>
      <c r="Q1004">
        <v>1</v>
      </c>
      <c r="R1004">
        <v>3</v>
      </c>
      <c r="S1004">
        <v>3</v>
      </c>
      <c r="T1004">
        <v>7</v>
      </c>
      <c r="U1004">
        <f>SUM(Table1[[#This Row],[Store_Purchases]]+Table1[[#This Row],[Catalog_Purchases]]+Table1[[#This Row],[Web_Purchases]]+Table1[[#This Row],[Deal_Purchases]])</f>
        <v>14</v>
      </c>
      <c r="V1004">
        <v>2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f>SUM(Table1[[#This Row],[Accepted_Campaign_2]]+Table1[[#This Row],[Accepted_Campaign_1]]+Table1[[#This Row],[Accepted_Campaign_5]]+Table1[[#This Row],[Accepted_Campaign_4]]+Table1[[#This Row],[Accepted_Campaign_3]])</f>
        <v>0</v>
      </c>
      <c r="AC1004">
        <v>0</v>
      </c>
      <c r="AD1004">
        <v>0</v>
      </c>
    </row>
    <row r="1005" spans="1:30" x14ac:dyDescent="0.25">
      <c r="A1005">
        <v>41416</v>
      </c>
      <c r="B1005">
        <v>1204</v>
      </c>
      <c r="C1005">
        <v>1970</v>
      </c>
      <c r="D1005" t="s">
        <v>20</v>
      </c>
      <c r="E1005" t="s">
        <v>14</v>
      </c>
      <c r="F1005" t="s">
        <v>11</v>
      </c>
      <c r="G1005">
        <v>67536</v>
      </c>
      <c r="H1005">
        <v>1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f>SUM(Table1[[#This Row],[Gold Spending]]+Table1[[#This Row],[Sweet Spending]]+Table1[[#This Row],[Fish Spending]]+Table1[[#This Row],[Meat Spending]]+Table1[[#This Row],[Fruits Spending]]+Table1[[#This Row],[Wine Spending ]])</f>
        <v>1829</v>
      </c>
      <c r="Q1005">
        <v>3</v>
      </c>
      <c r="R1005">
        <v>11</v>
      </c>
      <c r="S1005">
        <v>5</v>
      </c>
      <c r="T1005">
        <v>11</v>
      </c>
      <c r="U1005">
        <f>SUM(Table1[[#This Row],[Store_Purchases]]+Table1[[#This Row],[Catalog_Purchases]]+Table1[[#This Row],[Web_Purchases]]+Table1[[#This Row],[Deal_Purchases]])</f>
        <v>30</v>
      </c>
      <c r="V1005">
        <v>8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f>SUM(Table1[[#This Row],[Accepted_Campaign_2]]+Table1[[#This Row],[Accepted_Campaign_1]]+Table1[[#This Row],[Accepted_Campaign_5]]+Table1[[#This Row],[Accepted_Campaign_4]]+Table1[[#This Row],[Accepted_Campaign_3]])</f>
        <v>1</v>
      </c>
      <c r="AC1005">
        <v>0</v>
      </c>
      <c r="AD1005">
        <v>0</v>
      </c>
    </row>
    <row r="1006" spans="1:30" x14ac:dyDescent="0.25">
      <c r="A1006">
        <v>41358</v>
      </c>
      <c r="B1006">
        <v>1170</v>
      </c>
      <c r="C1006">
        <v>1975</v>
      </c>
      <c r="D1006" t="s">
        <v>8</v>
      </c>
      <c r="E1006" t="s">
        <v>6</v>
      </c>
      <c r="F1006" t="s">
        <v>11</v>
      </c>
      <c r="G1006">
        <v>27573</v>
      </c>
      <c r="H1006">
        <v>1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f>SUM(Table1[[#This Row],[Gold Spending]]+Table1[[#This Row],[Sweet Spending]]+Table1[[#This Row],[Fish Spending]]+Table1[[#This Row],[Meat Spending]]+Table1[[#This Row],[Fruits Spending]]+Table1[[#This Row],[Wine Spending ]])</f>
        <v>244</v>
      </c>
      <c r="Q1006">
        <v>4</v>
      </c>
      <c r="R1006">
        <v>5</v>
      </c>
      <c r="S1006">
        <v>1</v>
      </c>
      <c r="T1006">
        <v>4</v>
      </c>
      <c r="U1006">
        <f>SUM(Table1[[#This Row],[Store_Purchases]]+Table1[[#This Row],[Catalog_Purchases]]+Table1[[#This Row],[Web_Purchases]]+Table1[[#This Row],[Deal_Purchases]])</f>
        <v>14</v>
      </c>
      <c r="V1006">
        <v>8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f>SUM(Table1[[#This Row],[Accepted_Campaign_2]]+Table1[[#This Row],[Accepted_Campaign_1]]+Table1[[#This Row],[Accepted_Campaign_5]]+Table1[[#This Row],[Accepted_Campaign_4]]+Table1[[#This Row],[Accepted_Campaign_3]])</f>
        <v>0</v>
      </c>
      <c r="AC1006">
        <v>0</v>
      </c>
      <c r="AD1006">
        <v>0</v>
      </c>
    </row>
    <row r="1007" spans="1:30" x14ac:dyDescent="0.25">
      <c r="A1007">
        <v>41343</v>
      </c>
      <c r="B1007">
        <v>8812</v>
      </c>
      <c r="C1007">
        <v>1979</v>
      </c>
      <c r="D1007" t="s">
        <v>8</v>
      </c>
      <c r="E1007" t="s">
        <v>15</v>
      </c>
      <c r="F1007" t="s">
        <v>7</v>
      </c>
      <c r="G1007">
        <v>13533</v>
      </c>
      <c r="H1007">
        <v>1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f>SUM(Table1[[#This Row],[Gold Spending]]+Table1[[#This Row],[Sweet Spending]]+Table1[[#This Row],[Fish Spending]]+Table1[[#This Row],[Meat Spending]]+Table1[[#This Row],[Fruits Spending]]+Table1[[#This Row],[Wine Spending ]])</f>
        <v>48</v>
      </c>
      <c r="Q1007">
        <v>2</v>
      </c>
      <c r="R1007">
        <v>2</v>
      </c>
      <c r="S1007">
        <v>0</v>
      </c>
      <c r="T1007">
        <v>3</v>
      </c>
      <c r="U1007">
        <f>SUM(Table1[[#This Row],[Store_Purchases]]+Table1[[#This Row],[Catalog_Purchases]]+Table1[[#This Row],[Web_Purchases]]+Table1[[#This Row],[Deal_Purchases]])</f>
        <v>7</v>
      </c>
      <c r="V1007">
        <v>7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f>SUM(Table1[[#This Row],[Accepted_Campaign_2]]+Table1[[#This Row],[Accepted_Campaign_1]]+Table1[[#This Row],[Accepted_Campaign_5]]+Table1[[#This Row],[Accepted_Campaign_4]]+Table1[[#This Row],[Accepted_Campaign_3]])</f>
        <v>0</v>
      </c>
      <c r="AC1007">
        <v>0</v>
      </c>
      <c r="AD1007">
        <v>0</v>
      </c>
    </row>
    <row r="1008" spans="1:30" x14ac:dyDescent="0.25">
      <c r="A1008">
        <v>41318</v>
      </c>
      <c r="B1008">
        <v>4690</v>
      </c>
      <c r="C1008">
        <v>1953</v>
      </c>
      <c r="D1008" t="s">
        <v>10</v>
      </c>
      <c r="E1008" t="s">
        <v>6</v>
      </c>
      <c r="F1008" t="s">
        <v>11</v>
      </c>
      <c r="G1008">
        <v>50725</v>
      </c>
      <c r="H1008">
        <v>1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f>SUM(Table1[[#This Row],[Gold Spending]]+Table1[[#This Row],[Sweet Spending]]+Table1[[#This Row],[Fish Spending]]+Table1[[#This Row],[Meat Spending]]+Table1[[#This Row],[Fruits Spending]]+Table1[[#This Row],[Wine Spending ]])</f>
        <v>586</v>
      </c>
      <c r="Q1008">
        <v>4</v>
      </c>
      <c r="R1008">
        <v>8</v>
      </c>
      <c r="S1008">
        <v>1</v>
      </c>
      <c r="T1008">
        <v>8</v>
      </c>
      <c r="U1008">
        <f>SUM(Table1[[#This Row],[Store_Purchases]]+Table1[[#This Row],[Catalog_Purchases]]+Table1[[#This Row],[Web_Purchases]]+Table1[[#This Row],[Deal_Purchases]])</f>
        <v>21</v>
      </c>
      <c r="V1008">
        <v>8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f>SUM(Table1[[#This Row],[Accepted_Campaign_2]]+Table1[[#This Row],[Accepted_Campaign_1]]+Table1[[#This Row],[Accepted_Campaign_5]]+Table1[[#This Row],[Accepted_Campaign_4]]+Table1[[#This Row],[Accepted_Campaign_3]])</f>
        <v>0</v>
      </c>
      <c r="AC1008">
        <v>0</v>
      </c>
      <c r="AD1008">
        <v>0</v>
      </c>
    </row>
    <row r="1009" spans="1:30" x14ac:dyDescent="0.25">
      <c r="A1009">
        <v>41316</v>
      </c>
      <c r="B1009">
        <v>1715</v>
      </c>
      <c r="C1009">
        <v>1978</v>
      </c>
      <c r="D1009" t="s">
        <v>13</v>
      </c>
      <c r="E1009" t="s">
        <v>6</v>
      </c>
      <c r="F1009" t="s">
        <v>12</v>
      </c>
      <c r="G1009">
        <v>25851</v>
      </c>
      <c r="H1009">
        <v>1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f>SUM(Table1[[#This Row],[Gold Spending]]+Table1[[#This Row],[Sweet Spending]]+Table1[[#This Row],[Fish Spending]]+Table1[[#This Row],[Meat Spending]]+Table1[[#This Row],[Fruits Spending]]+Table1[[#This Row],[Wine Spending ]])</f>
        <v>48</v>
      </c>
      <c r="Q1009">
        <v>2</v>
      </c>
      <c r="R1009">
        <v>2</v>
      </c>
      <c r="S1009">
        <v>0</v>
      </c>
      <c r="T1009">
        <v>3</v>
      </c>
      <c r="U1009">
        <f>SUM(Table1[[#This Row],[Store_Purchases]]+Table1[[#This Row],[Catalog_Purchases]]+Table1[[#This Row],[Web_Purchases]]+Table1[[#This Row],[Deal_Purchases]])</f>
        <v>7</v>
      </c>
      <c r="V1009">
        <v>7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f>SUM(Table1[[#This Row],[Accepted_Campaign_2]]+Table1[[#This Row],[Accepted_Campaign_1]]+Table1[[#This Row],[Accepted_Campaign_5]]+Table1[[#This Row],[Accepted_Campaign_4]]+Table1[[#This Row],[Accepted_Campaign_3]])</f>
        <v>0</v>
      </c>
      <c r="AC1009">
        <v>0</v>
      </c>
      <c r="AD1009">
        <v>0</v>
      </c>
    </row>
    <row r="1010" spans="1:30" x14ac:dyDescent="0.25">
      <c r="A1010">
        <v>41311</v>
      </c>
      <c r="B1010">
        <v>10821</v>
      </c>
      <c r="C1010">
        <v>1978</v>
      </c>
      <c r="D1010" t="s">
        <v>8</v>
      </c>
      <c r="E1010" t="s">
        <v>6</v>
      </c>
      <c r="F1010" t="s">
        <v>11</v>
      </c>
      <c r="G1010">
        <v>57113</v>
      </c>
      <c r="H1010">
        <v>2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f>SUM(Table1[[#This Row],[Gold Spending]]+Table1[[#This Row],[Sweet Spending]]+Table1[[#This Row],[Fish Spending]]+Table1[[#This Row],[Meat Spending]]+Table1[[#This Row],[Fruits Spending]]+Table1[[#This Row],[Wine Spending ]])</f>
        <v>263</v>
      </c>
      <c r="Q1010">
        <v>6</v>
      </c>
      <c r="R1010">
        <v>4</v>
      </c>
      <c r="S1010">
        <v>1</v>
      </c>
      <c r="T1010">
        <v>5</v>
      </c>
      <c r="U1010">
        <f>SUM(Table1[[#This Row],[Store_Purchases]]+Table1[[#This Row],[Catalog_Purchases]]+Table1[[#This Row],[Web_Purchases]]+Table1[[#This Row],[Deal_Purchases]])</f>
        <v>16</v>
      </c>
      <c r="V1010">
        <v>7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f>SUM(Table1[[#This Row],[Accepted_Campaign_2]]+Table1[[#This Row],[Accepted_Campaign_1]]+Table1[[#This Row],[Accepted_Campaign_5]]+Table1[[#This Row],[Accepted_Campaign_4]]+Table1[[#This Row],[Accepted_Campaign_3]])</f>
        <v>0</v>
      </c>
      <c r="AC1010">
        <v>0</v>
      </c>
      <c r="AD1010">
        <v>0</v>
      </c>
    </row>
    <row r="1011" spans="1:30" x14ac:dyDescent="0.25">
      <c r="A1011">
        <v>41289</v>
      </c>
      <c r="B1011">
        <v>6543</v>
      </c>
      <c r="C1011">
        <v>1945</v>
      </c>
      <c r="D1011" t="s">
        <v>10</v>
      </c>
      <c r="E1011" t="s">
        <v>18</v>
      </c>
      <c r="F1011" t="s">
        <v>12</v>
      </c>
      <c r="G1011">
        <v>62847</v>
      </c>
      <c r="H1011">
        <v>0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f>SUM(Table1[[#This Row],[Gold Spending]]+Table1[[#This Row],[Sweet Spending]]+Table1[[#This Row],[Fish Spending]]+Table1[[#This Row],[Meat Spending]]+Table1[[#This Row],[Fruits Spending]]+Table1[[#This Row],[Wine Spending ]])</f>
        <v>1612</v>
      </c>
      <c r="Q1011">
        <v>1</v>
      </c>
      <c r="R1011">
        <v>3</v>
      </c>
      <c r="S1011">
        <v>6</v>
      </c>
      <c r="T1011">
        <v>4</v>
      </c>
      <c r="U1011">
        <f>SUM(Table1[[#This Row],[Store_Purchases]]+Table1[[#This Row],[Catalog_Purchases]]+Table1[[#This Row],[Web_Purchases]]+Table1[[#This Row],[Deal_Purchases]])</f>
        <v>14</v>
      </c>
      <c r="V1011">
        <v>2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f>SUM(Table1[[#This Row],[Accepted_Campaign_2]]+Table1[[#This Row],[Accepted_Campaign_1]]+Table1[[#This Row],[Accepted_Campaign_5]]+Table1[[#This Row],[Accepted_Campaign_4]]+Table1[[#This Row],[Accepted_Campaign_3]])</f>
        <v>0</v>
      </c>
      <c r="AC1011">
        <v>0</v>
      </c>
      <c r="AD1011">
        <v>0</v>
      </c>
    </row>
    <row r="1012" spans="1:30" x14ac:dyDescent="0.25">
      <c r="A1012">
        <v>41286</v>
      </c>
      <c r="B1012">
        <v>7119</v>
      </c>
      <c r="C1012">
        <v>1982</v>
      </c>
      <c r="D1012" t="s">
        <v>20</v>
      </c>
      <c r="E1012" t="s">
        <v>6</v>
      </c>
      <c r="F1012" t="s">
        <v>9</v>
      </c>
      <c r="G1012">
        <v>68627</v>
      </c>
      <c r="H1012">
        <v>0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f>SUM(Table1[[#This Row],[Gold Spending]]+Table1[[#This Row],[Sweet Spending]]+Table1[[#This Row],[Fish Spending]]+Table1[[#This Row],[Meat Spending]]+Table1[[#This Row],[Fruits Spending]]+Table1[[#This Row],[Wine Spending ]])</f>
        <v>825</v>
      </c>
      <c r="Q1012">
        <v>1</v>
      </c>
      <c r="R1012">
        <v>2</v>
      </c>
      <c r="S1012">
        <v>3</v>
      </c>
      <c r="T1012">
        <v>6</v>
      </c>
      <c r="U1012">
        <f>SUM(Table1[[#This Row],[Store_Purchases]]+Table1[[#This Row],[Catalog_Purchases]]+Table1[[#This Row],[Web_Purchases]]+Table1[[#This Row],[Deal_Purchases]])</f>
        <v>12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f>SUM(Table1[[#This Row],[Accepted_Campaign_2]]+Table1[[#This Row],[Accepted_Campaign_1]]+Table1[[#This Row],[Accepted_Campaign_5]]+Table1[[#This Row],[Accepted_Campaign_4]]+Table1[[#This Row],[Accepted_Campaign_3]])</f>
        <v>0</v>
      </c>
      <c r="AC1012">
        <v>0</v>
      </c>
      <c r="AD1012">
        <v>0</v>
      </c>
    </row>
    <row r="1013" spans="1:30" x14ac:dyDescent="0.25">
      <c r="A1013">
        <v>41248</v>
      </c>
      <c r="B1013">
        <v>3518</v>
      </c>
      <c r="C1013">
        <v>1983</v>
      </c>
      <c r="D1013" t="s">
        <v>17</v>
      </c>
      <c r="E1013" t="s">
        <v>6</v>
      </c>
      <c r="F1013" t="s">
        <v>11</v>
      </c>
      <c r="G1013">
        <v>25271</v>
      </c>
      <c r="H1013">
        <v>1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f>SUM(Table1[[#This Row],[Gold Spending]]+Table1[[#This Row],[Sweet Spending]]+Table1[[#This Row],[Fish Spending]]+Table1[[#This Row],[Meat Spending]]+Table1[[#This Row],[Fruits Spending]]+Table1[[#This Row],[Wine Spending ]])</f>
        <v>50</v>
      </c>
      <c r="Q1013">
        <v>1</v>
      </c>
      <c r="R1013">
        <v>1</v>
      </c>
      <c r="S1013">
        <v>1</v>
      </c>
      <c r="T1013">
        <v>2</v>
      </c>
      <c r="U1013">
        <f>SUM(Table1[[#This Row],[Store_Purchases]]+Table1[[#This Row],[Catalog_Purchases]]+Table1[[#This Row],[Web_Purchases]]+Table1[[#This Row],[Deal_Purchases]])</f>
        <v>5</v>
      </c>
      <c r="V1013">
        <v>9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f>SUM(Table1[[#This Row],[Accepted_Campaign_2]]+Table1[[#This Row],[Accepted_Campaign_1]]+Table1[[#This Row],[Accepted_Campaign_5]]+Table1[[#This Row],[Accepted_Campaign_4]]+Table1[[#This Row],[Accepted_Campaign_3]])</f>
        <v>0</v>
      </c>
      <c r="AC1013">
        <v>0</v>
      </c>
      <c r="AD1013">
        <v>0</v>
      </c>
    </row>
    <row r="1014" spans="1:30" x14ac:dyDescent="0.25">
      <c r="A1014">
        <v>41224</v>
      </c>
      <c r="B1014">
        <v>1245</v>
      </c>
      <c r="C1014">
        <v>1966</v>
      </c>
      <c r="D1014" t="s">
        <v>8</v>
      </c>
      <c r="E1014" t="s">
        <v>6</v>
      </c>
      <c r="F1014" t="s">
        <v>9</v>
      </c>
      <c r="G1014">
        <v>63810</v>
      </c>
      <c r="H1014">
        <v>1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f>SUM(Table1[[#This Row],[Gold Spending]]+Table1[[#This Row],[Sweet Spending]]+Table1[[#This Row],[Fish Spending]]+Table1[[#This Row],[Meat Spending]]+Table1[[#This Row],[Fruits Spending]]+Table1[[#This Row],[Wine Spending ]])</f>
        <v>1371</v>
      </c>
      <c r="Q1014">
        <v>4</v>
      </c>
      <c r="R1014">
        <v>4</v>
      </c>
      <c r="S1014">
        <v>3</v>
      </c>
      <c r="T1014">
        <v>12</v>
      </c>
      <c r="U1014">
        <f>SUM(Table1[[#This Row],[Store_Purchases]]+Table1[[#This Row],[Catalog_Purchases]]+Table1[[#This Row],[Web_Purchases]]+Table1[[#This Row],[Deal_Purchases]])</f>
        <v>23</v>
      </c>
      <c r="V1014">
        <v>8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f>SUM(Table1[[#This Row],[Accepted_Campaign_2]]+Table1[[#This Row],[Accepted_Campaign_1]]+Table1[[#This Row],[Accepted_Campaign_5]]+Table1[[#This Row],[Accepted_Campaign_4]]+Table1[[#This Row],[Accepted_Campaign_3]])</f>
        <v>1</v>
      </c>
      <c r="AC1014">
        <v>0</v>
      </c>
      <c r="AD1014">
        <v>0</v>
      </c>
    </row>
    <row r="1015" spans="1:30" x14ac:dyDescent="0.25">
      <c r="A1015">
        <v>41224</v>
      </c>
      <c r="B1015">
        <v>2561</v>
      </c>
      <c r="C1015">
        <v>1966</v>
      </c>
      <c r="D1015" t="s">
        <v>16</v>
      </c>
      <c r="E1015" t="s">
        <v>6</v>
      </c>
      <c r="F1015" t="s">
        <v>9</v>
      </c>
      <c r="G1015">
        <v>63810</v>
      </c>
      <c r="H1015">
        <v>1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f>SUM(Table1[[#This Row],[Gold Spending]]+Table1[[#This Row],[Sweet Spending]]+Table1[[#This Row],[Fish Spending]]+Table1[[#This Row],[Meat Spending]]+Table1[[#This Row],[Fruits Spending]]+Table1[[#This Row],[Wine Spending ]])</f>
        <v>1371</v>
      </c>
      <c r="Q1015">
        <v>4</v>
      </c>
      <c r="R1015">
        <v>4</v>
      </c>
      <c r="S1015">
        <v>3</v>
      </c>
      <c r="T1015">
        <v>12</v>
      </c>
      <c r="U1015">
        <f>SUM(Table1[[#This Row],[Store_Purchases]]+Table1[[#This Row],[Catalog_Purchases]]+Table1[[#This Row],[Web_Purchases]]+Table1[[#This Row],[Deal_Purchases]])</f>
        <v>23</v>
      </c>
      <c r="V1015">
        <v>8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f>SUM(Table1[[#This Row],[Accepted_Campaign_2]]+Table1[[#This Row],[Accepted_Campaign_1]]+Table1[[#This Row],[Accepted_Campaign_5]]+Table1[[#This Row],[Accepted_Campaign_4]]+Table1[[#This Row],[Accepted_Campaign_3]])</f>
        <v>1</v>
      </c>
      <c r="AC1015">
        <v>0</v>
      </c>
      <c r="AD1015">
        <v>0</v>
      </c>
    </row>
    <row r="1016" spans="1:30" x14ac:dyDescent="0.25">
      <c r="A1016">
        <v>41803</v>
      </c>
      <c r="B1016">
        <v>9624</v>
      </c>
      <c r="C1016">
        <v>1958</v>
      </c>
      <c r="D1016" t="s">
        <v>8</v>
      </c>
      <c r="E1016" t="s">
        <v>14</v>
      </c>
      <c r="F1016" t="s">
        <v>12</v>
      </c>
      <c r="G1016">
        <v>65488</v>
      </c>
      <c r="H1016">
        <v>0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f>SUM(Table1[[#This Row],[Gold Spending]]+Table1[[#This Row],[Sweet Spending]]+Table1[[#This Row],[Fish Spending]]+Table1[[#This Row],[Meat Spending]]+Table1[[#This Row],[Fruits Spending]]+Table1[[#This Row],[Wine Spending ]])</f>
        <v>963</v>
      </c>
      <c r="Q1016">
        <v>1</v>
      </c>
      <c r="R1016">
        <v>3</v>
      </c>
      <c r="S1016">
        <v>4</v>
      </c>
      <c r="T1016">
        <v>6</v>
      </c>
      <c r="U1016">
        <f>SUM(Table1[[#This Row],[Store_Purchases]]+Table1[[#This Row],[Catalog_Purchases]]+Table1[[#This Row],[Web_Purchases]]+Table1[[#This Row],[Deal_Purchases]])</f>
        <v>14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f>SUM(Table1[[#This Row],[Accepted_Campaign_2]]+Table1[[#This Row],[Accepted_Campaign_1]]+Table1[[#This Row],[Accepted_Campaign_5]]+Table1[[#This Row],[Accepted_Campaign_4]]+Table1[[#This Row],[Accepted_Campaign_3]])</f>
        <v>0</v>
      </c>
      <c r="AC1016">
        <v>0</v>
      </c>
      <c r="AD1016">
        <v>0</v>
      </c>
    </row>
    <row r="1017" spans="1:30" x14ac:dyDescent="0.25">
      <c r="A1017">
        <v>41792</v>
      </c>
      <c r="B1017">
        <v>10509</v>
      </c>
      <c r="C1017">
        <v>1955</v>
      </c>
      <c r="D1017" t="s">
        <v>63</v>
      </c>
      <c r="E1017" t="s">
        <v>18</v>
      </c>
      <c r="F1017" t="s">
        <v>9</v>
      </c>
      <c r="G1017">
        <v>36927</v>
      </c>
      <c r="H1017">
        <v>2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f>SUM(Table1[[#This Row],[Gold Spending]]+Table1[[#This Row],[Sweet Spending]]+Table1[[#This Row],[Fish Spending]]+Table1[[#This Row],[Meat Spending]]+Table1[[#This Row],[Fruits Spending]]+Table1[[#This Row],[Wine Spending ]])</f>
        <v>71</v>
      </c>
      <c r="Q1017">
        <v>2</v>
      </c>
      <c r="R1017">
        <v>3</v>
      </c>
      <c r="S1017">
        <v>0</v>
      </c>
      <c r="T1017">
        <v>3</v>
      </c>
      <c r="U1017">
        <f>SUM(Table1[[#This Row],[Store_Purchases]]+Table1[[#This Row],[Catalog_Purchases]]+Table1[[#This Row],[Web_Purchases]]+Table1[[#This Row],[Deal_Purchases]])</f>
        <v>8</v>
      </c>
      <c r="V1017">
        <v>8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f>SUM(Table1[[#This Row],[Accepted_Campaign_2]]+Table1[[#This Row],[Accepted_Campaign_1]]+Table1[[#This Row],[Accepted_Campaign_5]]+Table1[[#This Row],[Accepted_Campaign_4]]+Table1[[#This Row],[Accepted_Campaign_3]])</f>
        <v>0</v>
      </c>
      <c r="AC1017">
        <v>0</v>
      </c>
      <c r="AD1017">
        <v>0</v>
      </c>
    </row>
    <row r="1018" spans="1:30" x14ac:dyDescent="0.25">
      <c r="A1018">
        <v>41767</v>
      </c>
      <c r="B1018">
        <v>7629</v>
      </c>
      <c r="C1018">
        <v>1977</v>
      </c>
      <c r="D1018" t="s">
        <v>8</v>
      </c>
      <c r="E1018" t="s">
        <v>6</v>
      </c>
      <c r="F1018" t="s">
        <v>11</v>
      </c>
      <c r="G1018">
        <v>22108</v>
      </c>
      <c r="H1018">
        <v>2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f>SUM(Table1[[#This Row],[Gold Spending]]+Table1[[#This Row],[Sweet Spending]]+Table1[[#This Row],[Fish Spending]]+Table1[[#This Row],[Meat Spending]]+Table1[[#This Row],[Fruits Spending]]+Table1[[#This Row],[Wine Spending ]])</f>
        <v>31</v>
      </c>
      <c r="Q1018">
        <v>2</v>
      </c>
      <c r="R1018">
        <v>2</v>
      </c>
      <c r="S1018">
        <v>0</v>
      </c>
      <c r="T1018">
        <v>3</v>
      </c>
      <c r="U1018">
        <f>SUM(Table1[[#This Row],[Store_Purchases]]+Table1[[#This Row],[Catalog_Purchases]]+Table1[[#This Row],[Web_Purchases]]+Table1[[#This Row],[Deal_Purchases]])</f>
        <v>7</v>
      </c>
      <c r="V1018">
        <v>7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f>SUM(Table1[[#This Row],[Accepted_Campaign_2]]+Table1[[#This Row],[Accepted_Campaign_1]]+Table1[[#This Row],[Accepted_Campaign_5]]+Table1[[#This Row],[Accepted_Campaign_4]]+Table1[[#This Row],[Accepted_Campaign_3]])</f>
        <v>0</v>
      </c>
      <c r="AC1018">
        <v>0</v>
      </c>
      <c r="AD1018">
        <v>0</v>
      </c>
    </row>
    <row r="1019" spans="1:30" x14ac:dyDescent="0.25">
      <c r="A1019">
        <v>41758</v>
      </c>
      <c r="B1019">
        <v>7875</v>
      </c>
      <c r="C1019">
        <v>1949</v>
      </c>
      <c r="D1019" t="s">
        <v>13</v>
      </c>
      <c r="E1019" t="s">
        <v>6</v>
      </c>
      <c r="F1019" t="s">
        <v>11</v>
      </c>
      <c r="G1019">
        <v>72025</v>
      </c>
      <c r="H1019">
        <v>0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f>SUM(Table1[[#This Row],[Gold Spending]]+Table1[[#This Row],[Sweet Spending]]+Table1[[#This Row],[Fish Spending]]+Table1[[#This Row],[Meat Spending]]+Table1[[#This Row],[Fruits Spending]]+Table1[[#This Row],[Wine Spending ]])</f>
        <v>1677</v>
      </c>
      <c r="Q1019">
        <v>1</v>
      </c>
      <c r="R1019">
        <v>4</v>
      </c>
      <c r="S1019">
        <v>8</v>
      </c>
      <c r="T1019">
        <v>13</v>
      </c>
      <c r="U1019">
        <f>SUM(Table1[[#This Row],[Store_Purchases]]+Table1[[#This Row],[Catalog_Purchases]]+Table1[[#This Row],[Web_Purchases]]+Table1[[#This Row],[Deal_Purchases]])</f>
        <v>26</v>
      </c>
      <c r="V1019">
        <v>2</v>
      </c>
      <c r="W1019">
        <v>0</v>
      </c>
      <c r="X1019">
        <v>1</v>
      </c>
      <c r="Y1019">
        <v>1</v>
      </c>
      <c r="Z1019">
        <v>1</v>
      </c>
      <c r="AA1019">
        <v>0</v>
      </c>
      <c r="AB1019">
        <f>SUM(Table1[[#This Row],[Accepted_Campaign_2]]+Table1[[#This Row],[Accepted_Campaign_1]]+Table1[[#This Row],[Accepted_Campaign_5]]+Table1[[#This Row],[Accepted_Campaign_4]]+Table1[[#This Row],[Accepted_Campaign_3]])</f>
        <v>3</v>
      </c>
      <c r="AC1019">
        <v>1</v>
      </c>
      <c r="AD1019">
        <v>0</v>
      </c>
    </row>
    <row r="1020" spans="1:30" x14ac:dyDescent="0.25">
      <c r="A1020">
        <v>41694</v>
      </c>
      <c r="B1020">
        <v>2815</v>
      </c>
      <c r="C1020">
        <v>1975</v>
      </c>
      <c r="D1020" t="s">
        <v>8</v>
      </c>
      <c r="E1020" t="s">
        <v>6</v>
      </c>
      <c r="F1020" t="s">
        <v>11</v>
      </c>
      <c r="G1020">
        <v>33183</v>
      </c>
      <c r="H1020">
        <v>1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f>SUM(Table1[[#This Row],[Gold Spending]]+Table1[[#This Row],[Sweet Spending]]+Table1[[#This Row],[Fish Spending]]+Table1[[#This Row],[Meat Spending]]+Table1[[#This Row],[Fruits Spending]]+Table1[[#This Row],[Wine Spending ]])</f>
        <v>120</v>
      </c>
      <c r="Q1020">
        <v>2</v>
      </c>
      <c r="R1020">
        <v>4</v>
      </c>
      <c r="S1020">
        <v>0</v>
      </c>
      <c r="T1020">
        <v>3</v>
      </c>
      <c r="U1020">
        <f>SUM(Table1[[#This Row],[Store_Purchases]]+Table1[[#This Row],[Catalog_Purchases]]+Table1[[#This Row],[Web_Purchases]]+Table1[[#This Row],[Deal_Purchases]])</f>
        <v>9</v>
      </c>
      <c r="V1020">
        <v>7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f>SUM(Table1[[#This Row],[Accepted_Campaign_2]]+Table1[[#This Row],[Accepted_Campaign_1]]+Table1[[#This Row],[Accepted_Campaign_5]]+Table1[[#This Row],[Accepted_Campaign_4]]+Table1[[#This Row],[Accepted_Campaign_3]])</f>
        <v>0</v>
      </c>
      <c r="AC1020">
        <v>0</v>
      </c>
      <c r="AD1020">
        <v>0</v>
      </c>
    </row>
    <row r="1021" spans="1:30" x14ac:dyDescent="0.25">
      <c r="A1021">
        <v>41612</v>
      </c>
      <c r="B1021">
        <v>2936</v>
      </c>
      <c r="C1021">
        <v>1982</v>
      </c>
      <c r="D1021" t="s">
        <v>20</v>
      </c>
      <c r="E1021" t="s">
        <v>18</v>
      </c>
      <c r="F1021" t="s">
        <v>12</v>
      </c>
      <c r="G1021">
        <v>23661</v>
      </c>
      <c r="H1021">
        <v>1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f>SUM(Table1[[#This Row],[Gold Spending]]+Table1[[#This Row],[Sweet Spending]]+Table1[[#This Row],[Fish Spending]]+Table1[[#This Row],[Meat Spending]]+Table1[[#This Row],[Fruits Spending]]+Table1[[#This Row],[Wine Spending ]])</f>
        <v>23</v>
      </c>
      <c r="Q1021">
        <v>1</v>
      </c>
      <c r="R1021">
        <v>1</v>
      </c>
      <c r="S1021">
        <v>0</v>
      </c>
      <c r="T1021">
        <v>3</v>
      </c>
      <c r="U1021">
        <f>SUM(Table1[[#This Row],[Store_Purchases]]+Table1[[#This Row],[Catalog_Purchases]]+Table1[[#This Row],[Web_Purchases]]+Table1[[#This Row],[Deal_Purchases]])</f>
        <v>5</v>
      </c>
      <c r="V1021">
        <v>7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f>SUM(Table1[[#This Row],[Accepted_Campaign_2]]+Table1[[#This Row],[Accepted_Campaign_1]]+Table1[[#This Row],[Accepted_Campaign_5]]+Table1[[#This Row],[Accepted_Campaign_4]]+Table1[[#This Row],[Accepted_Campaign_3]])</f>
        <v>0</v>
      </c>
      <c r="AC1021">
        <v>0</v>
      </c>
      <c r="AD1021">
        <v>0</v>
      </c>
    </row>
    <row r="1022" spans="1:30" x14ac:dyDescent="0.25">
      <c r="A1022">
        <v>41585</v>
      </c>
      <c r="B1022">
        <v>3665</v>
      </c>
      <c r="C1022">
        <v>1977</v>
      </c>
      <c r="D1022" t="s">
        <v>8</v>
      </c>
      <c r="E1022" t="s">
        <v>15</v>
      </c>
      <c r="F1022" t="s">
        <v>12</v>
      </c>
      <c r="G1022">
        <v>25315</v>
      </c>
      <c r="H1022">
        <v>1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f>SUM(Table1[[#This Row],[Gold Spending]]+Table1[[#This Row],[Sweet Spending]]+Table1[[#This Row],[Fish Spending]]+Table1[[#This Row],[Meat Spending]]+Table1[[#This Row],[Fruits Spending]]+Table1[[#This Row],[Wine Spending ]])</f>
        <v>54</v>
      </c>
      <c r="Q1022">
        <v>3</v>
      </c>
      <c r="R1022">
        <v>3</v>
      </c>
      <c r="S1022">
        <v>0</v>
      </c>
      <c r="T1022">
        <v>3</v>
      </c>
      <c r="U1022">
        <f>SUM(Table1[[#This Row],[Store_Purchases]]+Table1[[#This Row],[Catalog_Purchases]]+Table1[[#This Row],[Web_Purchases]]+Table1[[#This Row],[Deal_Purchases]])</f>
        <v>9</v>
      </c>
      <c r="V1022">
        <v>8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f>SUM(Table1[[#This Row],[Accepted_Campaign_2]]+Table1[[#This Row],[Accepted_Campaign_1]]+Table1[[#This Row],[Accepted_Campaign_5]]+Table1[[#This Row],[Accepted_Campaign_4]]+Table1[[#This Row],[Accepted_Campaign_3]])</f>
        <v>0</v>
      </c>
      <c r="AC1022">
        <v>0</v>
      </c>
      <c r="AD1022">
        <v>0</v>
      </c>
    </row>
    <row r="1023" spans="1:30" x14ac:dyDescent="0.25">
      <c r="A1023">
        <v>41581</v>
      </c>
      <c r="B1023">
        <v>10888</v>
      </c>
      <c r="C1023">
        <v>1961</v>
      </c>
      <c r="D1023" t="s">
        <v>63</v>
      </c>
      <c r="E1023" t="s">
        <v>6</v>
      </c>
      <c r="F1023" t="s">
        <v>9</v>
      </c>
      <c r="G1023">
        <v>45938</v>
      </c>
      <c r="H1023">
        <v>0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f>SUM(Table1[[#This Row],[Gold Spending]]+Table1[[#This Row],[Sweet Spending]]+Table1[[#This Row],[Fish Spending]]+Table1[[#This Row],[Meat Spending]]+Table1[[#This Row],[Fruits Spending]]+Table1[[#This Row],[Wine Spending ]])</f>
        <v>636</v>
      </c>
      <c r="Q1023">
        <v>2</v>
      </c>
      <c r="R1023">
        <v>8</v>
      </c>
      <c r="S1023">
        <v>4</v>
      </c>
      <c r="T1023">
        <v>6</v>
      </c>
      <c r="U1023">
        <f>SUM(Table1[[#This Row],[Store_Purchases]]+Table1[[#This Row],[Catalog_Purchases]]+Table1[[#This Row],[Web_Purchases]]+Table1[[#This Row],[Deal_Purchases]])</f>
        <v>20</v>
      </c>
      <c r="V1023">
        <v>6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f>SUM(Table1[[#This Row],[Accepted_Campaign_2]]+Table1[[#This Row],[Accepted_Campaign_1]]+Table1[[#This Row],[Accepted_Campaign_5]]+Table1[[#This Row],[Accepted_Campaign_4]]+Table1[[#This Row],[Accepted_Campaign_3]])</f>
        <v>0</v>
      </c>
      <c r="AC1023">
        <v>0</v>
      </c>
      <c r="AD1023">
        <v>0</v>
      </c>
    </row>
    <row r="1024" spans="1:30" x14ac:dyDescent="0.25">
      <c r="A1024">
        <v>41580</v>
      </c>
      <c r="B1024">
        <v>6637</v>
      </c>
      <c r="C1024">
        <v>1988</v>
      </c>
      <c r="D1024" t="s">
        <v>17</v>
      </c>
      <c r="E1024" t="s">
        <v>6</v>
      </c>
      <c r="F1024" t="s">
        <v>9</v>
      </c>
      <c r="G1024">
        <v>66951</v>
      </c>
      <c r="H1024">
        <v>0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f>SUM(Table1[[#This Row],[Gold Spending]]+Table1[[#This Row],[Sweet Spending]]+Table1[[#This Row],[Fish Spending]]+Table1[[#This Row],[Meat Spending]]+Table1[[#This Row],[Fruits Spending]]+Table1[[#This Row],[Wine Spending ]])</f>
        <v>1117</v>
      </c>
      <c r="Q1024">
        <v>1</v>
      </c>
      <c r="R1024">
        <v>3</v>
      </c>
      <c r="S1024">
        <v>4</v>
      </c>
      <c r="T1024">
        <v>7</v>
      </c>
      <c r="U1024">
        <f>SUM(Table1[[#This Row],[Store_Purchases]]+Table1[[#This Row],[Catalog_Purchases]]+Table1[[#This Row],[Web_Purchases]]+Table1[[#This Row],[Deal_Purchases]])</f>
        <v>15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f>SUM(Table1[[#This Row],[Accepted_Campaign_2]]+Table1[[#This Row],[Accepted_Campaign_1]]+Table1[[#This Row],[Accepted_Campaign_5]]+Table1[[#This Row],[Accepted_Campaign_4]]+Table1[[#This Row],[Accepted_Campaign_3]])</f>
        <v>0</v>
      </c>
      <c r="AC1024">
        <v>0</v>
      </c>
      <c r="AD1024">
        <v>0</v>
      </c>
    </row>
    <row r="1025" spans="1:30" x14ac:dyDescent="0.25">
      <c r="A1025">
        <v>41580</v>
      </c>
      <c r="B1025">
        <v>5077</v>
      </c>
      <c r="C1025">
        <v>1979</v>
      </c>
      <c r="D1025" t="s">
        <v>10</v>
      </c>
      <c r="E1025" t="s">
        <v>6</v>
      </c>
      <c r="F1025" t="s">
        <v>12</v>
      </c>
      <c r="G1025">
        <v>77298</v>
      </c>
      <c r="H1025">
        <v>1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f>SUM(Table1[[#This Row],[Gold Spending]]+Table1[[#This Row],[Sweet Spending]]+Table1[[#This Row],[Fish Spending]]+Table1[[#This Row],[Meat Spending]]+Table1[[#This Row],[Fruits Spending]]+Table1[[#This Row],[Wine Spending ]])</f>
        <v>969</v>
      </c>
      <c r="Q1025">
        <v>1</v>
      </c>
      <c r="R1025">
        <v>6</v>
      </c>
      <c r="S1025">
        <v>6</v>
      </c>
      <c r="T1025">
        <v>11</v>
      </c>
      <c r="U1025">
        <f>SUM(Table1[[#This Row],[Store_Purchases]]+Table1[[#This Row],[Catalog_Purchases]]+Table1[[#This Row],[Web_Purchases]]+Table1[[#This Row],[Deal_Purchases]])</f>
        <v>24</v>
      </c>
      <c r="V1025">
        <v>3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f>SUM(Table1[[#This Row],[Accepted_Campaign_2]]+Table1[[#This Row],[Accepted_Campaign_1]]+Table1[[#This Row],[Accepted_Campaign_5]]+Table1[[#This Row],[Accepted_Campaign_4]]+Table1[[#This Row],[Accepted_Campaign_3]])</f>
        <v>0</v>
      </c>
      <c r="AC1025">
        <v>0</v>
      </c>
      <c r="AD1025">
        <v>0</v>
      </c>
    </row>
    <row r="1026" spans="1:30" x14ac:dyDescent="0.25">
      <c r="A1026">
        <v>41580</v>
      </c>
      <c r="B1026">
        <v>6173</v>
      </c>
      <c r="C1026">
        <v>1979</v>
      </c>
      <c r="D1026" t="s">
        <v>8</v>
      </c>
      <c r="E1026" t="s">
        <v>6</v>
      </c>
      <c r="F1026" t="s">
        <v>12</v>
      </c>
      <c r="G1026">
        <v>77298</v>
      </c>
      <c r="H1026">
        <v>1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f>SUM(Table1[[#This Row],[Gold Spending]]+Table1[[#This Row],[Sweet Spending]]+Table1[[#This Row],[Fish Spending]]+Table1[[#This Row],[Meat Spending]]+Table1[[#This Row],[Fruits Spending]]+Table1[[#This Row],[Wine Spending ]])</f>
        <v>969</v>
      </c>
      <c r="Q1026">
        <v>1</v>
      </c>
      <c r="R1026">
        <v>6</v>
      </c>
      <c r="S1026">
        <v>6</v>
      </c>
      <c r="T1026">
        <v>11</v>
      </c>
      <c r="U1026">
        <f>SUM(Table1[[#This Row],[Store_Purchases]]+Table1[[#This Row],[Catalog_Purchases]]+Table1[[#This Row],[Web_Purchases]]+Table1[[#This Row],[Deal_Purchases]])</f>
        <v>24</v>
      </c>
      <c r="V1026">
        <v>3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f>SUM(Table1[[#This Row],[Accepted_Campaign_2]]+Table1[[#This Row],[Accepted_Campaign_1]]+Table1[[#This Row],[Accepted_Campaign_5]]+Table1[[#This Row],[Accepted_Campaign_4]]+Table1[[#This Row],[Accepted_Campaign_3]])</f>
        <v>0</v>
      </c>
      <c r="AC1026">
        <v>0</v>
      </c>
      <c r="AD1026">
        <v>0</v>
      </c>
    </row>
    <row r="1027" spans="1:30" x14ac:dyDescent="0.25">
      <c r="A1027">
        <v>41579</v>
      </c>
      <c r="B1027">
        <v>3969</v>
      </c>
      <c r="C1027">
        <v>1974</v>
      </c>
      <c r="D1027" t="s">
        <v>16</v>
      </c>
      <c r="E1027" t="s">
        <v>18</v>
      </c>
      <c r="F1027" t="s">
        <v>12</v>
      </c>
      <c r="G1027">
        <v>43018</v>
      </c>
      <c r="H1027">
        <v>1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f>SUM(Table1[[#This Row],[Gold Spending]]+Table1[[#This Row],[Sweet Spending]]+Table1[[#This Row],[Fish Spending]]+Table1[[#This Row],[Meat Spending]]+Table1[[#This Row],[Fruits Spending]]+Table1[[#This Row],[Wine Spending ]])</f>
        <v>133</v>
      </c>
      <c r="Q1027">
        <v>1</v>
      </c>
      <c r="R1027">
        <v>2</v>
      </c>
      <c r="S1027">
        <v>2</v>
      </c>
      <c r="T1027">
        <v>2</v>
      </c>
      <c r="U1027">
        <f>SUM(Table1[[#This Row],[Store_Purchases]]+Table1[[#This Row],[Catalog_Purchases]]+Table1[[#This Row],[Web_Purchases]]+Table1[[#This Row],[Deal_Purchases]])</f>
        <v>7</v>
      </c>
      <c r="V1027">
        <v>5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f>SUM(Table1[[#This Row],[Accepted_Campaign_2]]+Table1[[#This Row],[Accepted_Campaign_1]]+Table1[[#This Row],[Accepted_Campaign_5]]+Table1[[#This Row],[Accepted_Campaign_4]]+Table1[[#This Row],[Accepted_Campaign_3]])</f>
        <v>0</v>
      </c>
      <c r="AC1027">
        <v>0</v>
      </c>
      <c r="AD1027">
        <v>0</v>
      </c>
    </row>
    <row r="1028" spans="1:30" x14ac:dyDescent="0.25">
      <c r="A1028">
        <v>41572</v>
      </c>
      <c r="B1028">
        <v>4580</v>
      </c>
      <c r="C1028">
        <v>1969</v>
      </c>
      <c r="D1028" t="s">
        <v>20</v>
      </c>
      <c r="E1028" t="s">
        <v>6</v>
      </c>
      <c r="F1028" t="s">
        <v>11</v>
      </c>
      <c r="G1028">
        <v>75759</v>
      </c>
      <c r="H1028">
        <v>0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f>SUM(Table1[[#This Row],[Gold Spending]]+Table1[[#This Row],[Sweet Spending]]+Table1[[#This Row],[Fish Spending]]+Table1[[#This Row],[Meat Spending]]+Table1[[#This Row],[Fruits Spending]]+Table1[[#This Row],[Wine Spending ]])</f>
        <v>2486</v>
      </c>
      <c r="Q1028">
        <v>1</v>
      </c>
      <c r="R1028">
        <v>9</v>
      </c>
      <c r="S1028">
        <v>7</v>
      </c>
      <c r="T1028">
        <v>9</v>
      </c>
      <c r="U1028">
        <f>SUM(Table1[[#This Row],[Store_Purchases]]+Table1[[#This Row],[Catalog_Purchases]]+Table1[[#This Row],[Web_Purchases]]+Table1[[#This Row],[Deal_Purchases]])</f>
        <v>26</v>
      </c>
      <c r="V1028">
        <v>5</v>
      </c>
      <c r="W1028">
        <v>1</v>
      </c>
      <c r="X1028">
        <v>0</v>
      </c>
      <c r="Y1028">
        <v>1</v>
      </c>
      <c r="Z1028">
        <v>1</v>
      </c>
      <c r="AA1028">
        <v>0</v>
      </c>
      <c r="AB1028">
        <f>SUM(Table1[[#This Row],[Accepted_Campaign_2]]+Table1[[#This Row],[Accepted_Campaign_1]]+Table1[[#This Row],[Accepted_Campaign_5]]+Table1[[#This Row],[Accepted_Campaign_4]]+Table1[[#This Row],[Accepted_Campaign_3]])</f>
        <v>3</v>
      </c>
      <c r="AC1028">
        <v>1</v>
      </c>
      <c r="AD1028">
        <v>0</v>
      </c>
    </row>
    <row r="1029" spans="1:30" x14ac:dyDescent="0.25">
      <c r="A1029">
        <v>41528</v>
      </c>
      <c r="B1029">
        <v>663</v>
      </c>
      <c r="C1029">
        <v>1989</v>
      </c>
      <c r="D1029" t="s">
        <v>8</v>
      </c>
      <c r="E1029" t="s">
        <v>14</v>
      </c>
      <c r="F1029" t="s">
        <v>9</v>
      </c>
      <c r="G1029">
        <v>33996</v>
      </c>
      <c r="H1029">
        <v>0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f>SUM(Table1[[#This Row],[Gold Spending]]+Table1[[#This Row],[Sweet Spending]]+Table1[[#This Row],[Fish Spending]]+Table1[[#This Row],[Meat Spending]]+Table1[[#This Row],[Fruits Spending]]+Table1[[#This Row],[Wine Spending ]])</f>
        <v>71</v>
      </c>
      <c r="Q1029">
        <v>1</v>
      </c>
      <c r="R1029">
        <v>1</v>
      </c>
      <c r="S1029">
        <v>1</v>
      </c>
      <c r="T1029">
        <v>3</v>
      </c>
      <c r="U1029">
        <f>SUM(Table1[[#This Row],[Store_Purchases]]+Table1[[#This Row],[Catalog_Purchases]]+Table1[[#This Row],[Web_Purchases]]+Table1[[#This Row],[Deal_Purchases]])</f>
        <v>6</v>
      </c>
      <c r="V1029">
        <v>4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f>SUM(Table1[[#This Row],[Accepted_Campaign_2]]+Table1[[#This Row],[Accepted_Campaign_1]]+Table1[[#This Row],[Accepted_Campaign_5]]+Table1[[#This Row],[Accepted_Campaign_4]]+Table1[[#This Row],[Accepted_Campaign_3]])</f>
        <v>0</v>
      </c>
      <c r="AC1029">
        <v>0</v>
      </c>
      <c r="AD1029">
        <v>0</v>
      </c>
    </row>
    <row r="1030" spans="1:30" x14ac:dyDescent="0.25">
      <c r="A1030">
        <v>41528</v>
      </c>
      <c r="B1030">
        <v>8299</v>
      </c>
      <c r="C1030">
        <v>1989</v>
      </c>
      <c r="D1030" t="s">
        <v>20</v>
      </c>
      <c r="E1030" t="s">
        <v>14</v>
      </c>
      <c r="F1030" t="s">
        <v>9</v>
      </c>
      <c r="G1030">
        <v>33996</v>
      </c>
      <c r="H1030">
        <v>0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f>SUM(Table1[[#This Row],[Gold Spending]]+Table1[[#This Row],[Sweet Spending]]+Table1[[#This Row],[Fish Spending]]+Table1[[#This Row],[Meat Spending]]+Table1[[#This Row],[Fruits Spending]]+Table1[[#This Row],[Wine Spending ]])</f>
        <v>71</v>
      </c>
      <c r="Q1030">
        <v>1</v>
      </c>
      <c r="R1030">
        <v>1</v>
      </c>
      <c r="S1030">
        <v>1</v>
      </c>
      <c r="T1030">
        <v>3</v>
      </c>
      <c r="U1030">
        <f>SUM(Table1[[#This Row],[Store_Purchases]]+Table1[[#This Row],[Catalog_Purchases]]+Table1[[#This Row],[Web_Purchases]]+Table1[[#This Row],[Deal_Purchases]])</f>
        <v>6</v>
      </c>
      <c r="V1030">
        <v>4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f>SUM(Table1[[#This Row],[Accepted_Campaign_2]]+Table1[[#This Row],[Accepted_Campaign_1]]+Table1[[#This Row],[Accepted_Campaign_5]]+Table1[[#This Row],[Accepted_Campaign_4]]+Table1[[#This Row],[Accepted_Campaign_3]])</f>
        <v>0</v>
      </c>
      <c r="AC1030">
        <v>0</v>
      </c>
      <c r="AD1030">
        <v>0</v>
      </c>
    </row>
    <row r="1031" spans="1:30" x14ac:dyDescent="0.25">
      <c r="A1031">
        <v>41502</v>
      </c>
      <c r="B1031">
        <v>8945</v>
      </c>
      <c r="C1031">
        <v>1970</v>
      </c>
      <c r="D1031" t="s">
        <v>20</v>
      </c>
      <c r="E1031" t="s">
        <v>6</v>
      </c>
      <c r="F1031" t="s">
        <v>7</v>
      </c>
      <c r="G1031">
        <v>54137</v>
      </c>
      <c r="H1031">
        <v>1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f>SUM(Table1[[#This Row],[Gold Spending]]+Table1[[#This Row],[Sweet Spending]]+Table1[[#This Row],[Fish Spending]]+Table1[[#This Row],[Meat Spending]]+Table1[[#This Row],[Fruits Spending]]+Table1[[#This Row],[Wine Spending ]])</f>
        <v>203</v>
      </c>
      <c r="Q1031">
        <v>2</v>
      </c>
      <c r="R1031">
        <v>4</v>
      </c>
      <c r="S1031">
        <v>1</v>
      </c>
      <c r="T1031">
        <v>4</v>
      </c>
      <c r="U1031">
        <f>SUM(Table1[[#This Row],[Store_Purchases]]+Table1[[#This Row],[Catalog_Purchases]]+Table1[[#This Row],[Web_Purchases]]+Table1[[#This Row],[Deal_Purchases]])</f>
        <v>11</v>
      </c>
      <c r="V1031">
        <v>6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f>SUM(Table1[[#This Row],[Accepted_Campaign_2]]+Table1[[#This Row],[Accepted_Campaign_1]]+Table1[[#This Row],[Accepted_Campaign_5]]+Table1[[#This Row],[Accepted_Campaign_4]]+Table1[[#This Row],[Accepted_Campaign_3]])</f>
        <v>0</v>
      </c>
      <c r="AC1031">
        <v>0</v>
      </c>
      <c r="AD1031">
        <v>0</v>
      </c>
    </row>
    <row r="1032" spans="1:30" x14ac:dyDescent="0.25">
      <c r="A1032">
        <v>41438</v>
      </c>
      <c r="B1032">
        <v>10870</v>
      </c>
      <c r="C1032">
        <v>1967</v>
      </c>
      <c r="D1032" t="s">
        <v>20</v>
      </c>
      <c r="E1032" t="s">
        <v>6</v>
      </c>
      <c r="F1032" t="s">
        <v>11</v>
      </c>
      <c r="G1032">
        <v>61223</v>
      </c>
      <c r="H1032">
        <v>1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f>SUM(Table1[[#This Row],[Gold Spending]]+Table1[[#This Row],[Sweet Spending]]+Table1[[#This Row],[Fish Spending]]+Table1[[#This Row],[Meat Spending]]+Table1[[#This Row],[Fruits Spending]]+Table1[[#This Row],[Wine Spending ]])</f>
        <v>1341</v>
      </c>
      <c r="Q1032">
        <v>2</v>
      </c>
      <c r="R1032">
        <v>9</v>
      </c>
      <c r="S1032">
        <v>3</v>
      </c>
      <c r="T1032">
        <v>4</v>
      </c>
      <c r="U1032">
        <f>SUM(Table1[[#This Row],[Store_Purchases]]+Table1[[#This Row],[Catalog_Purchases]]+Table1[[#This Row],[Web_Purchases]]+Table1[[#This Row],[Deal_Purchases]])</f>
        <v>18</v>
      </c>
      <c r="V1032">
        <v>5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f>SUM(Table1[[#This Row],[Accepted_Campaign_2]]+Table1[[#This Row],[Accepted_Campaign_1]]+Table1[[#This Row],[Accepted_Campaign_5]]+Table1[[#This Row],[Accepted_Campaign_4]]+Table1[[#This Row],[Accepted_Campaign_3]])</f>
        <v>0</v>
      </c>
      <c r="AC1032">
        <v>0</v>
      </c>
      <c r="AD1032">
        <v>0</v>
      </c>
    </row>
    <row r="1033" spans="1:30" x14ac:dyDescent="0.25">
      <c r="A1033">
        <v>41416</v>
      </c>
      <c r="B1033">
        <v>1184</v>
      </c>
      <c r="C1033">
        <v>1968</v>
      </c>
      <c r="D1033" t="s">
        <v>20</v>
      </c>
      <c r="E1033" t="s">
        <v>14</v>
      </c>
      <c r="F1033" t="s">
        <v>7</v>
      </c>
      <c r="G1033">
        <v>69674</v>
      </c>
      <c r="H1033">
        <v>2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f>SUM(Table1[[#This Row],[Gold Spending]]+Table1[[#This Row],[Sweet Spending]]+Table1[[#This Row],[Fish Spending]]+Table1[[#This Row],[Meat Spending]]+Table1[[#This Row],[Fruits Spending]]+Table1[[#This Row],[Wine Spending ]])</f>
        <v>845</v>
      </c>
      <c r="Q1033">
        <v>3</v>
      </c>
      <c r="R1033">
        <v>10</v>
      </c>
      <c r="S1033">
        <v>2</v>
      </c>
      <c r="T1033">
        <v>10</v>
      </c>
      <c r="U1033">
        <f>SUM(Table1[[#This Row],[Store_Purchases]]+Table1[[#This Row],[Catalog_Purchases]]+Table1[[#This Row],[Web_Purchases]]+Table1[[#This Row],[Deal_Purchases]])</f>
        <v>25</v>
      </c>
      <c r="V1033">
        <v>5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f>SUM(Table1[[#This Row],[Accepted_Campaign_2]]+Table1[[#This Row],[Accepted_Campaign_1]]+Table1[[#This Row],[Accepted_Campaign_5]]+Table1[[#This Row],[Accepted_Campaign_4]]+Table1[[#This Row],[Accepted_Campaign_3]])</f>
        <v>0</v>
      </c>
      <c r="AC1033">
        <v>0</v>
      </c>
      <c r="AD1033">
        <v>0</v>
      </c>
    </row>
    <row r="1034" spans="1:30" x14ac:dyDescent="0.25">
      <c r="A1034">
        <v>41389</v>
      </c>
      <c r="B1034">
        <v>6141</v>
      </c>
      <c r="C1034">
        <v>1972</v>
      </c>
      <c r="D1034" t="s">
        <v>10</v>
      </c>
      <c r="E1034" t="s">
        <v>18</v>
      </c>
      <c r="F1034" t="s">
        <v>9</v>
      </c>
      <c r="G1034">
        <v>49494</v>
      </c>
      <c r="H1034">
        <v>1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f>SUM(Table1[[#This Row],[Gold Spending]]+Table1[[#This Row],[Sweet Spending]]+Table1[[#This Row],[Fish Spending]]+Table1[[#This Row],[Meat Spending]]+Table1[[#This Row],[Fruits Spending]]+Table1[[#This Row],[Wine Spending ]])</f>
        <v>385</v>
      </c>
      <c r="Q1034">
        <v>2</v>
      </c>
      <c r="R1034">
        <v>6</v>
      </c>
      <c r="S1034">
        <v>1</v>
      </c>
      <c r="T1034">
        <v>5</v>
      </c>
      <c r="U1034">
        <f>SUM(Table1[[#This Row],[Store_Purchases]]+Table1[[#This Row],[Catalog_Purchases]]+Table1[[#This Row],[Web_Purchases]]+Table1[[#This Row],[Deal_Purchases]])</f>
        <v>14</v>
      </c>
      <c r="V1034">
        <v>7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f>SUM(Table1[[#This Row],[Accepted_Campaign_2]]+Table1[[#This Row],[Accepted_Campaign_1]]+Table1[[#This Row],[Accepted_Campaign_5]]+Table1[[#This Row],[Accepted_Campaign_4]]+Table1[[#This Row],[Accepted_Campaign_3]])</f>
        <v>0</v>
      </c>
      <c r="AC1034">
        <v>0</v>
      </c>
      <c r="AD1034">
        <v>0</v>
      </c>
    </row>
    <row r="1035" spans="1:30" x14ac:dyDescent="0.25">
      <c r="A1035">
        <v>41365</v>
      </c>
      <c r="B1035">
        <v>8825</v>
      </c>
      <c r="C1035">
        <v>1962</v>
      </c>
      <c r="D1035" t="s">
        <v>20</v>
      </c>
      <c r="E1035" t="s">
        <v>6</v>
      </c>
      <c r="F1035" t="s">
        <v>12</v>
      </c>
      <c r="G1035">
        <v>51195</v>
      </c>
      <c r="H1035">
        <v>2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f>SUM(Table1[[#This Row],[Gold Spending]]+Table1[[#This Row],[Sweet Spending]]+Table1[[#This Row],[Fish Spending]]+Table1[[#This Row],[Meat Spending]]+Table1[[#This Row],[Fruits Spending]]+Table1[[#This Row],[Wine Spending ]])</f>
        <v>564</v>
      </c>
      <c r="Q1035">
        <v>8</v>
      </c>
      <c r="R1035">
        <v>9</v>
      </c>
      <c r="S1035">
        <v>2</v>
      </c>
      <c r="T1035">
        <v>5</v>
      </c>
      <c r="U1035">
        <f>SUM(Table1[[#This Row],[Store_Purchases]]+Table1[[#This Row],[Catalog_Purchases]]+Table1[[#This Row],[Web_Purchases]]+Table1[[#This Row],[Deal_Purchases]])</f>
        <v>24</v>
      </c>
      <c r="V1035">
        <v>8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f>SUM(Table1[[#This Row],[Accepted_Campaign_2]]+Table1[[#This Row],[Accepted_Campaign_1]]+Table1[[#This Row],[Accepted_Campaign_5]]+Table1[[#This Row],[Accepted_Campaign_4]]+Table1[[#This Row],[Accepted_Campaign_3]])</f>
        <v>0</v>
      </c>
      <c r="AC1035">
        <v>0</v>
      </c>
      <c r="AD1035">
        <v>0</v>
      </c>
    </row>
    <row r="1036" spans="1:30" x14ac:dyDescent="0.25">
      <c r="A1036">
        <v>41362</v>
      </c>
      <c r="B1036">
        <v>2217</v>
      </c>
      <c r="C1036">
        <v>1975</v>
      </c>
      <c r="D1036" t="s">
        <v>17</v>
      </c>
      <c r="E1036" t="s">
        <v>15</v>
      </c>
      <c r="F1036" t="s">
        <v>11</v>
      </c>
      <c r="G1036">
        <v>37284</v>
      </c>
      <c r="H1036">
        <v>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f>SUM(Table1[[#This Row],[Gold Spending]]+Table1[[#This Row],[Sweet Spending]]+Table1[[#This Row],[Fish Spending]]+Table1[[#This Row],[Meat Spending]]+Table1[[#This Row],[Fruits Spending]]+Table1[[#This Row],[Wine Spending ]])</f>
        <v>23</v>
      </c>
      <c r="Q1036">
        <v>1</v>
      </c>
      <c r="R1036">
        <v>0</v>
      </c>
      <c r="S1036">
        <v>0</v>
      </c>
      <c r="T1036">
        <v>3</v>
      </c>
      <c r="U1036">
        <f>SUM(Table1[[#This Row],[Store_Purchases]]+Table1[[#This Row],[Catalog_Purchases]]+Table1[[#This Row],[Web_Purchases]]+Table1[[#This Row],[Deal_Purchases]])</f>
        <v>4</v>
      </c>
      <c r="V1036">
        <v>6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f>SUM(Table1[[#This Row],[Accepted_Campaign_2]]+Table1[[#This Row],[Accepted_Campaign_1]]+Table1[[#This Row],[Accepted_Campaign_5]]+Table1[[#This Row],[Accepted_Campaign_4]]+Table1[[#This Row],[Accepted_Campaign_3]])</f>
        <v>0</v>
      </c>
      <c r="AC1036">
        <v>0</v>
      </c>
      <c r="AD1036">
        <v>0</v>
      </c>
    </row>
    <row r="1037" spans="1:30" x14ac:dyDescent="0.25">
      <c r="A1037">
        <v>41362</v>
      </c>
      <c r="B1037">
        <v>4102</v>
      </c>
      <c r="C1037">
        <v>1975</v>
      </c>
      <c r="D1037" t="s">
        <v>8</v>
      </c>
      <c r="E1037" t="s">
        <v>15</v>
      </c>
      <c r="F1037" t="s">
        <v>11</v>
      </c>
      <c r="G1037">
        <v>37284</v>
      </c>
      <c r="H1037">
        <v>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f>SUM(Table1[[#This Row],[Gold Spending]]+Table1[[#This Row],[Sweet Spending]]+Table1[[#This Row],[Fish Spending]]+Table1[[#This Row],[Meat Spending]]+Table1[[#This Row],[Fruits Spending]]+Table1[[#This Row],[Wine Spending ]])</f>
        <v>23</v>
      </c>
      <c r="Q1037">
        <v>1</v>
      </c>
      <c r="R1037">
        <v>0</v>
      </c>
      <c r="S1037">
        <v>0</v>
      </c>
      <c r="T1037">
        <v>3</v>
      </c>
      <c r="U1037">
        <f>SUM(Table1[[#This Row],[Store_Purchases]]+Table1[[#This Row],[Catalog_Purchases]]+Table1[[#This Row],[Web_Purchases]]+Table1[[#This Row],[Deal_Purchases]])</f>
        <v>4</v>
      </c>
      <c r="V1037">
        <v>6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f>SUM(Table1[[#This Row],[Accepted_Campaign_2]]+Table1[[#This Row],[Accepted_Campaign_1]]+Table1[[#This Row],[Accepted_Campaign_5]]+Table1[[#This Row],[Accepted_Campaign_4]]+Table1[[#This Row],[Accepted_Campaign_3]])</f>
        <v>0</v>
      </c>
      <c r="AC1037">
        <v>0</v>
      </c>
      <c r="AD1037">
        <v>0</v>
      </c>
    </row>
    <row r="1038" spans="1:30" x14ac:dyDescent="0.25">
      <c r="A1038">
        <v>41359</v>
      </c>
      <c r="B1038">
        <v>4653</v>
      </c>
      <c r="C1038">
        <v>1978</v>
      </c>
      <c r="D1038" t="s">
        <v>20</v>
      </c>
      <c r="E1038" t="s">
        <v>6</v>
      </c>
      <c r="F1038" t="s">
        <v>12</v>
      </c>
      <c r="G1038">
        <v>42011</v>
      </c>
      <c r="H1038">
        <v>1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f>SUM(Table1[[#This Row],[Gold Spending]]+Table1[[#This Row],[Sweet Spending]]+Table1[[#This Row],[Fish Spending]]+Table1[[#This Row],[Meat Spending]]+Table1[[#This Row],[Fruits Spending]]+Table1[[#This Row],[Wine Spending ]])</f>
        <v>189</v>
      </c>
      <c r="Q1038">
        <v>4</v>
      </c>
      <c r="R1038">
        <v>3</v>
      </c>
      <c r="S1038">
        <v>1</v>
      </c>
      <c r="T1038">
        <v>4</v>
      </c>
      <c r="U1038">
        <f>SUM(Table1[[#This Row],[Store_Purchases]]+Table1[[#This Row],[Catalog_Purchases]]+Table1[[#This Row],[Web_Purchases]]+Table1[[#This Row],[Deal_Purchases]])</f>
        <v>12</v>
      </c>
      <c r="V1038">
        <v>8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f>SUM(Table1[[#This Row],[Accepted_Campaign_2]]+Table1[[#This Row],[Accepted_Campaign_1]]+Table1[[#This Row],[Accepted_Campaign_5]]+Table1[[#This Row],[Accepted_Campaign_4]]+Table1[[#This Row],[Accepted_Campaign_3]])</f>
        <v>0</v>
      </c>
      <c r="AC1038">
        <v>0</v>
      </c>
      <c r="AD1038">
        <v>0</v>
      </c>
    </row>
    <row r="1039" spans="1:30" x14ac:dyDescent="0.25">
      <c r="A1039">
        <v>41323</v>
      </c>
      <c r="B1039">
        <v>10092</v>
      </c>
      <c r="C1039">
        <v>1954</v>
      </c>
      <c r="D1039" t="s">
        <v>8</v>
      </c>
      <c r="E1039" t="s">
        <v>6</v>
      </c>
      <c r="F1039" t="s">
        <v>7</v>
      </c>
      <c r="G1039">
        <v>70044</v>
      </c>
      <c r="H1039">
        <v>1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f>SUM(Table1[[#This Row],[Gold Spending]]+Table1[[#This Row],[Sweet Spending]]+Table1[[#This Row],[Fish Spending]]+Table1[[#This Row],[Meat Spending]]+Table1[[#This Row],[Fruits Spending]]+Table1[[#This Row],[Wine Spending ]])</f>
        <v>1504</v>
      </c>
      <c r="Q1039">
        <v>4</v>
      </c>
      <c r="R1039">
        <v>7</v>
      </c>
      <c r="S1039">
        <v>10</v>
      </c>
      <c r="T1039">
        <v>5</v>
      </c>
      <c r="U1039">
        <f>SUM(Table1[[#This Row],[Store_Purchases]]+Table1[[#This Row],[Catalog_Purchases]]+Table1[[#This Row],[Web_Purchases]]+Table1[[#This Row],[Deal_Purchases]])</f>
        <v>26</v>
      </c>
      <c r="V1039">
        <v>5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f>SUM(Table1[[#This Row],[Accepted_Campaign_2]]+Table1[[#This Row],[Accepted_Campaign_1]]+Table1[[#This Row],[Accepted_Campaign_5]]+Table1[[#This Row],[Accepted_Campaign_4]]+Table1[[#This Row],[Accepted_Campaign_3]])</f>
        <v>0</v>
      </c>
      <c r="AC1039">
        <v>0</v>
      </c>
      <c r="AD1039">
        <v>0</v>
      </c>
    </row>
    <row r="1040" spans="1:30" x14ac:dyDescent="0.25">
      <c r="A1040">
        <v>41322</v>
      </c>
      <c r="B1040">
        <v>5788</v>
      </c>
      <c r="C1040">
        <v>1972</v>
      </c>
      <c r="D1040" t="s">
        <v>16</v>
      </c>
      <c r="E1040" t="s">
        <v>6</v>
      </c>
      <c r="F1040" t="s">
        <v>12</v>
      </c>
      <c r="G1040">
        <v>46053</v>
      </c>
      <c r="H1040">
        <v>1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f>SUM(Table1[[#This Row],[Gold Spending]]+Table1[[#This Row],[Sweet Spending]]+Table1[[#This Row],[Fish Spending]]+Table1[[#This Row],[Meat Spending]]+Table1[[#This Row],[Fruits Spending]]+Table1[[#This Row],[Wine Spending ]])</f>
        <v>209</v>
      </c>
      <c r="Q1040">
        <v>3</v>
      </c>
      <c r="R1040">
        <v>3</v>
      </c>
      <c r="S1040">
        <v>2</v>
      </c>
      <c r="T1040">
        <v>4</v>
      </c>
      <c r="U1040">
        <f>SUM(Table1[[#This Row],[Store_Purchases]]+Table1[[#This Row],[Catalog_Purchases]]+Table1[[#This Row],[Web_Purchases]]+Table1[[#This Row],[Deal_Purchases]])</f>
        <v>12</v>
      </c>
      <c r="V1040">
        <v>5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f>SUM(Table1[[#This Row],[Accepted_Campaign_2]]+Table1[[#This Row],[Accepted_Campaign_1]]+Table1[[#This Row],[Accepted_Campaign_5]]+Table1[[#This Row],[Accepted_Campaign_4]]+Table1[[#This Row],[Accepted_Campaign_3]])</f>
        <v>0</v>
      </c>
      <c r="AC1040">
        <v>0</v>
      </c>
      <c r="AD1040">
        <v>0</v>
      </c>
    </row>
    <row r="1041" spans="1:30" x14ac:dyDescent="0.25">
      <c r="A1041">
        <v>41316</v>
      </c>
      <c r="B1041">
        <v>4669</v>
      </c>
      <c r="C1041">
        <v>1981</v>
      </c>
      <c r="D1041" t="s">
        <v>20</v>
      </c>
      <c r="E1041" t="s">
        <v>21</v>
      </c>
      <c r="F1041" t="s">
        <v>11</v>
      </c>
      <c r="G1041">
        <v>24480</v>
      </c>
      <c r="H1041">
        <v>1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f>SUM(Table1[[#This Row],[Gold Spending]]+Table1[[#This Row],[Sweet Spending]]+Table1[[#This Row],[Fish Spending]]+Table1[[#This Row],[Meat Spending]]+Table1[[#This Row],[Fruits Spending]]+Table1[[#This Row],[Wine Spending ]])</f>
        <v>102</v>
      </c>
      <c r="Q1041">
        <v>3</v>
      </c>
      <c r="R1041">
        <v>3</v>
      </c>
      <c r="S1041">
        <v>0</v>
      </c>
      <c r="T1041">
        <v>4</v>
      </c>
      <c r="U1041">
        <f>SUM(Table1[[#This Row],[Store_Purchases]]+Table1[[#This Row],[Catalog_Purchases]]+Table1[[#This Row],[Web_Purchases]]+Table1[[#This Row],[Deal_Purchases]])</f>
        <v>10</v>
      </c>
      <c r="V1041">
        <v>7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f>SUM(Table1[[#This Row],[Accepted_Campaign_2]]+Table1[[#This Row],[Accepted_Campaign_1]]+Table1[[#This Row],[Accepted_Campaign_5]]+Table1[[#This Row],[Accepted_Campaign_4]]+Table1[[#This Row],[Accepted_Campaign_3]])</f>
        <v>0</v>
      </c>
      <c r="AC1041">
        <v>0</v>
      </c>
      <c r="AD1041">
        <v>0</v>
      </c>
    </row>
    <row r="1042" spans="1:30" x14ac:dyDescent="0.25">
      <c r="A1042">
        <v>41309</v>
      </c>
      <c r="B1042">
        <v>6295</v>
      </c>
      <c r="C1042">
        <v>1977</v>
      </c>
      <c r="D1042" t="s">
        <v>8</v>
      </c>
      <c r="E1042" t="s">
        <v>6</v>
      </c>
      <c r="F1042" t="s">
        <v>11</v>
      </c>
      <c r="G1042">
        <v>54233</v>
      </c>
      <c r="H1042">
        <v>1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f>SUM(Table1[[#This Row],[Gold Spending]]+Table1[[#This Row],[Sweet Spending]]+Table1[[#This Row],[Fish Spending]]+Table1[[#This Row],[Meat Spending]]+Table1[[#This Row],[Fruits Spending]]+Table1[[#This Row],[Wine Spending ]])</f>
        <v>981</v>
      </c>
      <c r="Q1042">
        <v>4</v>
      </c>
      <c r="R1042">
        <v>11</v>
      </c>
      <c r="S1042">
        <v>6</v>
      </c>
      <c r="T1042">
        <v>5</v>
      </c>
      <c r="U1042">
        <f>SUM(Table1[[#This Row],[Store_Purchases]]+Table1[[#This Row],[Catalog_Purchases]]+Table1[[#This Row],[Web_Purchases]]+Table1[[#This Row],[Deal_Purchases]])</f>
        <v>26</v>
      </c>
      <c r="V1042">
        <v>8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f>SUM(Table1[[#This Row],[Accepted_Campaign_2]]+Table1[[#This Row],[Accepted_Campaign_1]]+Table1[[#This Row],[Accepted_Campaign_5]]+Table1[[#This Row],[Accepted_Campaign_4]]+Table1[[#This Row],[Accepted_Campaign_3]])</f>
        <v>0</v>
      </c>
      <c r="AC1042">
        <v>0</v>
      </c>
      <c r="AD1042">
        <v>0</v>
      </c>
    </row>
    <row r="1043" spans="1:30" x14ac:dyDescent="0.25">
      <c r="A1043">
        <v>41307</v>
      </c>
      <c r="B1043">
        <v>7453</v>
      </c>
      <c r="C1043">
        <v>1954</v>
      </c>
      <c r="D1043" t="s">
        <v>8</v>
      </c>
      <c r="E1043" t="s">
        <v>6</v>
      </c>
      <c r="F1043" t="s">
        <v>9</v>
      </c>
      <c r="G1043">
        <v>36130</v>
      </c>
      <c r="H1043">
        <v>1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f>SUM(Table1[[#This Row],[Gold Spending]]+Table1[[#This Row],[Sweet Spending]]+Table1[[#This Row],[Fish Spending]]+Table1[[#This Row],[Meat Spending]]+Table1[[#This Row],[Fruits Spending]]+Table1[[#This Row],[Wine Spending ]])</f>
        <v>488</v>
      </c>
      <c r="Q1043">
        <v>6</v>
      </c>
      <c r="R1043">
        <v>3</v>
      </c>
      <c r="S1043">
        <v>8</v>
      </c>
      <c r="T1043">
        <v>4</v>
      </c>
      <c r="U1043">
        <f>SUM(Table1[[#This Row],[Store_Purchases]]+Table1[[#This Row],[Catalog_Purchases]]+Table1[[#This Row],[Web_Purchases]]+Table1[[#This Row],[Deal_Purchases]])</f>
        <v>21</v>
      </c>
      <c r="V1043">
        <v>4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f>SUM(Table1[[#This Row],[Accepted_Campaign_2]]+Table1[[#This Row],[Accepted_Campaign_1]]+Table1[[#This Row],[Accepted_Campaign_5]]+Table1[[#This Row],[Accepted_Campaign_4]]+Table1[[#This Row],[Accepted_Campaign_3]])</f>
        <v>1</v>
      </c>
      <c r="AC1043">
        <v>1</v>
      </c>
      <c r="AD1043">
        <v>0</v>
      </c>
    </row>
    <row r="1044" spans="1:30" x14ac:dyDescent="0.25">
      <c r="A1044">
        <v>41268</v>
      </c>
      <c r="B1044">
        <v>10841</v>
      </c>
      <c r="C1044">
        <v>1975</v>
      </c>
      <c r="D1044" t="s">
        <v>8</v>
      </c>
      <c r="E1044" t="s">
        <v>14</v>
      </c>
      <c r="F1044" t="s">
        <v>12</v>
      </c>
      <c r="G1044">
        <v>56559</v>
      </c>
      <c r="H1044">
        <v>1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f>SUM(Table1[[#This Row],[Gold Spending]]+Table1[[#This Row],[Sweet Spending]]+Table1[[#This Row],[Fish Spending]]+Table1[[#This Row],[Meat Spending]]+Table1[[#This Row],[Fruits Spending]]+Table1[[#This Row],[Wine Spending ]])</f>
        <v>484</v>
      </c>
      <c r="Q1044">
        <v>3</v>
      </c>
      <c r="R1044">
        <v>4</v>
      </c>
      <c r="S1044">
        <v>3</v>
      </c>
      <c r="T1044">
        <v>8</v>
      </c>
      <c r="U1044">
        <f>SUM(Table1[[#This Row],[Store_Purchases]]+Table1[[#This Row],[Catalog_Purchases]]+Table1[[#This Row],[Web_Purchases]]+Table1[[#This Row],[Deal_Purchases]])</f>
        <v>18</v>
      </c>
      <c r="V1044">
        <v>4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f>SUM(Table1[[#This Row],[Accepted_Campaign_2]]+Table1[[#This Row],[Accepted_Campaign_1]]+Table1[[#This Row],[Accepted_Campaign_5]]+Table1[[#This Row],[Accepted_Campaign_4]]+Table1[[#This Row],[Accepted_Campaign_3]])</f>
        <v>0</v>
      </c>
      <c r="AC1044">
        <v>0</v>
      </c>
      <c r="AD1044">
        <v>0</v>
      </c>
    </row>
    <row r="1045" spans="1:30" x14ac:dyDescent="0.25">
      <c r="A1045">
        <v>41201</v>
      </c>
      <c r="B1045">
        <v>821</v>
      </c>
      <c r="C1045">
        <v>1992</v>
      </c>
      <c r="D1045" t="s">
        <v>10</v>
      </c>
      <c r="E1045" t="s">
        <v>18</v>
      </c>
      <c r="F1045" t="s">
        <v>9</v>
      </c>
      <c r="G1045">
        <v>92859</v>
      </c>
      <c r="H1045">
        <v>0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f>SUM(Table1[[#This Row],[Gold Spending]]+Table1[[#This Row],[Sweet Spending]]+Table1[[#This Row],[Fish Spending]]+Table1[[#This Row],[Meat Spending]]+Table1[[#This Row],[Fruits Spending]]+Table1[[#This Row],[Wine Spending ]])</f>
        <v>2077</v>
      </c>
      <c r="Q1045">
        <v>1</v>
      </c>
      <c r="R1045">
        <v>5</v>
      </c>
      <c r="S1045">
        <v>4</v>
      </c>
      <c r="T1045">
        <v>12</v>
      </c>
      <c r="U1045">
        <f>SUM(Table1[[#This Row],[Store_Purchases]]+Table1[[#This Row],[Catalog_Purchases]]+Table1[[#This Row],[Web_Purchases]]+Table1[[#This Row],[Deal_Purchases]])</f>
        <v>22</v>
      </c>
      <c r="V1045">
        <v>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f>SUM(Table1[[#This Row],[Accepted_Campaign_2]]+Table1[[#This Row],[Accepted_Campaign_1]]+Table1[[#This Row],[Accepted_Campaign_5]]+Table1[[#This Row],[Accepted_Campaign_4]]+Table1[[#This Row],[Accepted_Campaign_3]])</f>
        <v>0</v>
      </c>
      <c r="AC1045">
        <v>0</v>
      </c>
      <c r="AD1045">
        <v>0</v>
      </c>
    </row>
    <row r="1046" spans="1:30" x14ac:dyDescent="0.25">
      <c r="A1046">
        <v>41195</v>
      </c>
      <c r="B1046">
        <v>3933</v>
      </c>
      <c r="C1046">
        <v>1980</v>
      </c>
      <c r="D1046" t="s">
        <v>20</v>
      </c>
      <c r="E1046" t="s">
        <v>6</v>
      </c>
      <c r="F1046" t="s">
        <v>12</v>
      </c>
      <c r="G1046">
        <v>44010</v>
      </c>
      <c r="H1046">
        <v>1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f>SUM(Table1[[#This Row],[Gold Spending]]+Table1[[#This Row],[Sweet Spending]]+Table1[[#This Row],[Fish Spending]]+Table1[[#This Row],[Meat Spending]]+Table1[[#This Row],[Fruits Spending]]+Table1[[#This Row],[Wine Spending ]])</f>
        <v>662</v>
      </c>
      <c r="Q1046">
        <v>6</v>
      </c>
      <c r="R1046">
        <v>10</v>
      </c>
      <c r="S1046">
        <v>2</v>
      </c>
      <c r="T1046">
        <v>6</v>
      </c>
      <c r="U1046">
        <f>SUM(Table1[[#This Row],[Store_Purchases]]+Table1[[#This Row],[Catalog_Purchases]]+Table1[[#This Row],[Web_Purchases]]+Table1[[#This Row],[Deal_Purchases]])</f>
        <v>24</v>
      </c>
      <c r="V1046">
        <v>9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f>SUM(Table1[[#This Row],[Accepted_Campaign_2]]+Table1[[#This Row],[Accepted_Campaign_1]]+Table1[[#This Row],[Accepted_Campaign_5]]+Table1[[#This Row],[Accepted_Campaign_4]]+Table1[[#This Row],[Accepted_Campaign_3]])</f>
        <v>0</v>
      </c>
      <c r="AC1046">
        <v>0</v>
      </c>
      <c r="AD1046">
        <v>0</v>
      </c>
    </row>
    <row r="1047" spans="1:30" x14ac:dyDescent="0.25">
      <c r="A1047">
        <v>41816</v>
      </c>
      <c r="B1047">
        <v>1225</v>
      </c>
      <c r="C1047">
        <v>1963</v>
      </c>
      <c r="D1047" t="s">
        <v>20</v>
      </c>
      <c r="E1047" t="s">
        <v>6</v>
      </c>
      <c r="F1047" t="s">
        <v>11</v>
      </c>
      <c r="G1047">
        <v>80124</v>
      </c>
      <c r="H1047">
        <v>0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f>SUM(Table1[[#This Row],[Gold Spending]]+Table1[[#This Row],[Sweet Spending]]+Table1[[#This Row],[Fish Spending]]+Table1[[#This Row],[Meat Spending]]+Table1[[#This Row],[Fruits Spending]]+Table1[[#This Row],[Wine Spending ]])</f>
        <v>1495</v>
      </c>
      <c r="Q1047">
        <v>1</v>
      </c>
      <c r="R1047">
        <v>3</v>
      </c>
      <c r="S1047">
        <v>7</v>
      </c>
      <c r="T1047">
        <v>8</v>
      </c>
      <c r="U1047">
        <f>SUM(Table1[[#This Row],[Store_Purchases]]+Table1[[#This Row],[Catalog_Purchases]]+Table1[[#This Row],[Web_Purchases]]+Table1[[#This Row],[Deal_Purchases]])</f>
        <v>19</v>
      </c>
      <c r="V1047">
        <v>1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f>SUM(Table1[[#This Row],[Accepted_Campaign_2]]+Table1[[#This Row],[Accepted_Campaign_1]]+Table1[[#This Row],[Accepted_Campaign_5]]+Table1[[#This Row],[Accepted_Campaign_4]]+Table1[[#This Row],[Accepted_Campaign_3]])</f>
        <v>1</v>
      </c>
      <c r="AC1047">
        <v>0</v>
      </c>
      <c r="AD1047">
        <v>0</v>
      </c>
    </row>
    <row r="1048" spans="1:30" x14ac:dyDescent="0.25">
      <c r="A1048">
        <v>41816</v>
      </c>
      <c r="B1048">
        <v>7059</v>
      </c>
      <c r="C1048">
        <v>1963</v>
      </c>
      <c r="D1048" t="s">
        <v>8</v>
      </c>
      <c r="E1048" t="s">
        <v>6</v>
      </c>
      <c r="F1048" t="s">
        <v>11</v>
      </c>
      <c r="G1048">
        <v>80124</v>
      </c>
      <c r="H1048">
        <v>0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f>SUM(Table1[[#This Row],[Gold Spending]]+Table1[[#This Row],[Sweet Spending]]+Table1[[#This Row],[Fish Spending]]+Table1[[#This Row],[Meat Spending]]+Table1[[#This Row],[Fruits Spending]]+Table1[[#This Row],[Wine Spending ]])</f>
        <v>1495</v>
      </c>
      <c r="Q1048">
        <v>1</v>
      </c>
      <c r="R1048">
        <v>3</v>
      </c>
      <c r="S1048">
        <v>7</v>
      </c>
      <c r="T1048">
        <v>8</v>
      </c>
      <c r="U1048">
        <f>SUM(Table1[[#This Row],[Store_Purchases]]+Table1[[#This Row],[Catalog_Purchases]]+Table1[[#This Row],[Web_Purchases]]+Table1[[#This Row],[Deal_Purchases]])</f>
        <v>19</v>
      </c>
      <c r="V1048">
        <v>1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f>SUM(Table1[[#This Row],[Accepted_Campaign_2]]+Table1[[#This Row],[Accepted_Campaign_1]]+Table1[[#This Row],[Accepted_Campaign_5]]+Table1[[#This Row],[Accepted_Campaign_4]]+Table1[[#This Row],[Accepted_Campaign_3]])</f>
        <v>1</v>
      </c>
      <c r="AC1048">
        <v>0</v>
      </c>
      <c r="AD1048">
        <v>0</v>
      </c>
    </row>
    <row r="1049" spans="1:30" x14ac:dyDescent="0.25">
      <c r="A1049">
        <v>41815</v>
      </c>
      <c r="B1049">
        <v>5633</v>
      </c>
      <c r="C1049">
        <v>1980</v>
      </c>
      <c r="D1049" t="s">
        <v>20</v>
      </c>
      <c r="E1049" t="s">
        <v>6</v>
      </c>
      <c r="F1049" t="s">
        <v>11</v>
      </c>
      <c r="G1049">
        <v>50183</v>
      </c>
      <c r="H1049">
        <v>2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f>SUM(Table1[[#This Row],[Gold Spending]]+Table1[[#This Row],[Sweet Spending]]+Table1[[#This Row],[Fish Spending]]+Table1[[#This Row],[Meat Spending]]+Table1[[#This Row],[Fruits Spending]]+Table1[[#This Row],[Wine Spending ]])</f>
        <v>231</v>
      </c>
      <c r="Q1049">
        <v>7</v>
      </c>
      <c r="R1049">
        <v>3</v>
      </c>
      <c r="S1049">
        <v>1</v>
      </c>
      <c r="T1049">
        <v>6</v>
      </c>
      <c r="U1049">
        <f>SUM(Table1[[#This Row],[Store_Purchases]]+Table1[[#This Row],[Catalog_Purchases]]+Table1[[#This Row],[Web_Purchases]]+Table1[[#This Row],[Deal_Purchases]])</f>
        <v>17</v>
      </c>
      <c r="V1049">
        <v>5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f>SUM(Table1[[#This Row],[Accepted_Campaign_2]]+Table1[[#This Row],[Accepted_Campaign_1]]+Table1[[#This Row],[Accepted_Campaign_5]]+Table1[[#This Row],[Accepted_Campaign_4]]+Table1[[#This Row],[Accepted_Campaign_3]])</f>
        <v>0</v>
      </c>
      <c r="AC1049">
        <v>0</v>
      </c>
      <c r="AD1049">
        <v>0</v>
      </c>
    </row>
    <row r="1050" spans="1:30" x14ac:dyDescent="0.25">
      <c r="A1050">
        <v>41785</v>
      </c>
      <c r="B1050">
        <v>843</v>
      </c>
      <c r="C1050">
        <v>1971</v>
      </c>
      <c r="D1050" t="s">
        <v>8</v>
      </c>
      <c r="E1050" t="s">
        <v>6</v>
      </c>
      <c r="F1050" t="s">
        <v>11</v>
      </c>
      <c r="G1050">
        <v>64722</v>
      </c>
      <c r="H1050">
        <v>1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f>SUM(Table1[[#This Row],[Gold Spending]]+Table1[[#This Row],[Sweet Spending]]+Table1[[#This Row],[Fish Spending]]+Table1[[#This Row],[Meat Spending]]+Table1[[#This Row],[Fruits Spending]]+Table1[[#This Row],[Wine Spending ]])</f>
        <v>805</v>
      </c>
      <c r="Q1050">
        <v>4</v>
      </c>
      <c r="R1050">
        <v>8</v>
      </c>
      <c r="S1050">
        <v>2</v>
      </c>
      <c r="T1050">
        <v>11</v>
      </c>
      <c r="U1050">
        <f>SUM(Table1[[#This Row],[Store_Purchases]]+Table1[[#This Row],[Catalog_Purchases]]+Table1[[#This Row],[Web_Purchases]]+Table1[[#This Row],[Deal_Purchases]])</f>
        <v>25</v>
      </c>
      <c r="V1050">
        <v>6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f>SUM(Table1[[#This Row],[Accepted_Campaign_2]]+Table1[[#This Row],[Accepted_Campaign_1]]+Table1[[#This Row],[Accepted_Campaign_5]]+Table1[[#This Row],[Accepted_Campaign_4]]+Table1[[#This Row],[Accepted_Campaign_3]])</f>
        <v>0</v>
      </c>
      <c r="AC1050">
        <v>0</v>
      </c>
      <c r="AD1050">
        <v>0</v>
      </c>
    </row>
    <row r="1051" spans="1:30" x14ac:dyDescent="0.25">
      <c r="A1051">
        <v>41761</v>
      </c>
      <c r="B1051">
        <v>6211</v>
      </c>
      <c r="C1051">
        <v>1976</v>
      </c>
      <c r="D1051" t="s">
        <v>8</v>
      </c>
      <c r="E1051" t="s">
        <v>14</v>
      </c>
      <c r="F1051" t="s">
        <v>12</v>
      </c>
      <c r="G1051">
        <v>37395</v>
      </c>
      <c r="H1051">
        <v>1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f>SUM(Table1[[#This Row],[Gold Spending]]+Table1[[#This Row],[Sweet Spending]]+Table1[[#This Row],[Fish Spending]]+Table1[[#This Row],[Meat Spending]]+Table1[[#This Row],[Fruits Spending]]+Table1[[#This Row],[Wine Spending ]])</f>
        <v>39</v>
      </c>
      <c r="Q1051">
        <v>1</v>
      </c>
      <c r="R1051">
        <v>1</v>
      </c>
      <c r="S1051">
        <v>0</v>
      </c>
      <c r="T1051">
        <v>3</v>
      </c>
      <c r="U1051">
        <f>SUM(Table1[[#This Row],[Store_Purchases]]+Table1[[#This Row],[Catalog_Purchases]]+Table1[[#This Row],[Web_Purchases]]+Table1[[#This Row],[Deal_Purchases]])</f>
        <v>5</v>
      </c>
      <c r="V1051">
        <v>6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f>SUM(Table1[[#This Row],[Accepted_Campaign_2]]+Table1[[#This Row],[Accepted_Campaign_1]]+Table1[[#This Row],[Accepted_Campaign_5]]+Table1[[#This Row],[Accepted_Campaign_4]]+Table1[[#This Row],[Accepted_Campaign_3]])</f>
        <v>0</v>
      </c>
      <c r="AC1051">
        <v>0</v>
      </c>
      <c r="AD1051">
        <v>0</v>
      </c>
    </row>
    <row r="1052" spans="1:30" x14ac:dyDescent="0.25">
      <c r="A1052">
        <v>41730</v>
      </c>
      <c r="B1052">
        <v>7007</v>
      </c>
      <c r="C1052">
        <v>1968</v>
      </c>
      <c r="D1052" t="s">
        <v>8</v>
      </c>
      <c r="E1052" t="s">
        <v>18</v>
      </c>
      <c r="F1052" t="s">
        <v>11</v>
      </c>
      <c r="G1052">
        <v>29543</v>
      </c>
      <c r="H1052">
        <v>2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f>SUM(Table1[[#This Row],[Gold Spending]]+Table1[[#This Row],[Sweet Spending]]+Table1[[#This Row],[Fish Spending]]+Table1[[#This Row],[Meat Spending]]+Table1[[#This Row],[Fruits Spending]]+Table1[[#This Row],[Wine Spending ]])</f>
        <v>63</v>
      </c>
      <c r="Q1052">
        <v>2</v>
      </c>
      <c r="R1052">
        <v>3</v>
      </c>
      <c r="S1052">
        <v>1</v>
      </c>
      <c r="T1052">
        <v>2</v>
      </c>
      <c r="U1052">
        <f>SUM(Table1[[#This Row],[Store_Purchases]]+Table1[[#This Row],[Catalog_Purchases]]+Table1[[#This Row],[Web_Purchases]]+Table1[[#This Row],[Deal_Purchases]])</f>
        <v>8</v>
      </c>
      <c r="V1052">
        <v>7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f>SUM(Table1[[#This Row],[Accepted_Campaign_2]]+Table1[[#This Row],[Accepted_Campaign_1]]+Table1[[#This Row],[Accepted_Campaign_5]]+Table1[[#This Row],[Accepted_Campaign_4]]+Table1[[#This Row],[Accepted_Campaign_3]])</f>
        <v>0</v>
      </c>
      <c r="AC1052">
        <v>0</v>
      </c>
      <c r="AD1052">
        <v>0</v>
      </c>
    </row>
    <row r="1053" spans="1:30" x14ac:dyDescent="0.25">
      <c r="A1053">
        <v>41665</v>
      </c>
      <c r="B1053">
        <v>9671</v>
      </c>
      <c r="C1053">
        <v>1968</v>
      </c>
      <c r="D1053" t="s">
        <v>8</v>
      </c>
      <c r="E1053" t="s">
        <v>6</v>
      </c>
      <c r="F1053" t="s">
        <v>11</v>
      </c>
      <c r="G1053">
        <v>19514</v>
      </c>
      <c r="H1053">
        <v>2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f>SUM(Table1[[#This Row],[Gold Spending]]+Table1[[#This Row],[Sweet Spending]]+Table1[[#This Row],[Fish Spending]]+Table1[[#This Row],[Meat Spending]]+Table1[[#This Row],[Fruits Spending]]+Table1[[#This Row],[Wine Spending ]])</f>
        <v>69</v>
      </c>
      <c r="Q1053">
        <v>4</v>
      </c>
      <c r="R1053">
        <v>3</v>
      </c>
      <c r="S1053">
        <v>1</v>
      </c>
      <c r="T1053">
        <v>2</v>
      </c>
      <c r="U1053">
        <f>SUM(Table1[[#This Row],[Store_Purchases]]+Table1[[#This Row],[Catalog_Purchases]]+Table1[[#This Row],[Web_Purchases]]+Table1[[#This Row],[Deal_Purchases]])</f>
        <v>10</v>
      </c>
      <c r="V1053">
        <v>8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f>SUM(Table1[[#This Row],[Accepted_Campaign_2]]+Table1[[#This Row],[Accepted_Campaign_1]]+Table1[[#This Row],[Accepted_Campaign_5]]+Table1[[#This Row],[Accepted_Campaign_4]]+Table1[[#This Row],[Accepted_Campaign_3]])</f>
        <v>1</v>
      </c>
      <c r="AC1053">
        <v>1</v>
      </c>
      <c r="AD1053">
        <v>0</v>
      </c>
    </row>
    <row r="1054" spans="1:30" x14ac:dyDescent="0.25">
      <c r="A1054">
        <v>41665</v>
      </c>
      <c r="B1054">
        <v>8975</v>
      </c>
      <c r="C1054">
        <v>1968</v>
      </c>
      <c r="D1054" t="s">
        <v>8</v>
      </c>
      <c r="E1054" t="s">
        <v>6</v>
      </c>
      <c r="F1054" t="s">
        <v>11</v>
      </c>
      <c r="G1054">
        <v>19514</v>
      </c>
      <c r="H1054">
        <v>2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f>SUM(Table1[[#This Row],[Gold Spending]]+Table1[[#This Row],[Sweet Spending]]+Table1[[#This Row],[Fish Spending]]+Table1[[#This Row],[Meat Spending]]+Table1[[#This Row],[Fruits Spending]]+Table1[[#This Row],[Wine Spending ]])</f>
        <v>69</v>
      </c>
      <c r="Q1054">
        <v>4</v>
      </c>
      <c r="R1054">
        <v>3</v>
      </c>
      <c r="S1054">
        <v>1</v>
      </c>
      <c r="T1054">
        <v>2</v>
      </c>
      <c r="U1054">
        <f>SUM(Table1[[#This Row],[Store_Purchases]]+Table1[[#This Row],[Catalog_Purchases]]+Table1[[#This Row],[Web_Purchases]]+Table1[[#This Row],[Deal_Purchases]])</f>
        <v>10</v>
      </c>
      <c r="V1054">
        <v>8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f>SUM(Table1[[#This Row],[Accepted_Campaign_2]]+Table1[[#This Row],[Accepted_Campaign_1]]+Table1[[#This Row],[Accepted_Campaign_5]]+Table1[[#This Row],[Accepted_Campaign_4]]+Table1[[#This Row],[Accepted_Campaign_3]])</f>
        <v>1</v>
      </c>
      <c r="AC1054">
        <v>0</v>
      </c>
      <c r="AD1054">
        <v>0</v>
      </c>
    </row>
    <row r="1055" spans="1:30" x14ac:dyDescent="0.25">
      <c r="A1055">
        <v>41570</v>
      </c>
      <c r="B1055">
        <v>6616</v>
      </c>
      <c r="C1055">
        <v>1975</v>
      </c>
      <c r="D1055" t="s">
        <v>8</v>
      </c>
      <c r="E1055" t="s">
        <v>6</v>
      </c>
      <c r="F1055" t="s">
        <v>12</v>
      </c>
      <c r="G1055">
        <v>59481</v>
      </c>
      <c r="H1055">
        <v>1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f>SUM(Table1[[#This Row],[Gold Spending]]+Table1[[#This Row],[Sweet Spending]]+Table1[[#This Row],[Fish Spending]]+Table1[[#This Row],[Meat Spending]]+Table1[[#This Row],[Fruits Spending]]+Table1[[#This Row],[Wine Spending ]])</f>
        <v>461</v>
      </c>
      <c r="Q1055">
        <v>2</v>
      </c>
      <c r="R1055">
        <v>3</v>
      </c>
      <c r="S1055">
        <v>3</v>
      </c>
      <c r="T1055">
        <v>8</v>
      </c>
      <c r="U1055">
        <f>SUM(Table1[[#This Row],[Store_Purchases]]+Table1[[#This Row],[Catalog_Purchases]]+Table1[[#This Row],[Web_Purchases]]+Table1[[#This Row],[Deal_Purchases]])</f>
        <v>16</v>
      </c>
      <c r="V1055">
        <v>2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f>SUM(Table1[[#This Row],[Accepted_Campaign_2]]+Table1[[#This Row],[Accepted_Campaign_1]]+Table1[[#This Row],[Accepted_Campaign_5]]+Table1[[#This Row],[Accepted_Campaign_4]]+Table1[[#This Row],[Accepted_Campaign_3]])</f>
        <v>0</v>
      </c>
      <c r="AC1055">
        <v>0</v>
      </c>
      <c r="AD1055">
        <v>0</v>
      </c>
    </row>
    <row r="1056" spans="1:30" x14ac:dyDescent="0.25">
      <c r="A1056">
        <v>41564</v>
      </c>
      <c r="B1056">
        <v>6248</v>
      </c>
      <c r="C1056">
        <v>1947</v>
      </c>
      <c r="D1056" t="s">
        <v>8</v>
      </c>
      <c r="E1056" t="s">
        <v>18</v>
      </c>
      <c r="F1056" t="s">
        <v>9</v>
      </c>
      <c r="G1056">
        <v>91712</v>
      </c>
      <c r="H1056">
        <v>0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f>SUM(Table1[[#This Row],[Gold Spending]]+Table1[[#This Row],[Sweet Spending]]+Table1[[#This Row],[Fish Spending]]+Table1[[#This Row],[Meat Spending]]+Table1[[#This Row],[Fruits Spending]]+Table1[[#This Row],[Wine Spending ]])</f>
        <v>2217</v>
      </c>
      <c r="Q1056">
        <v>0</v>
      </c>
      <c r="R1056">
        <v>9</v>
      </c>
      <c r="S1056">
        <v>7</v>
      </c>
      <c r="T1056">
        <v>11</v>
      </c>
      <c r="U1056">
        <f>SUM(Table1[[#This Row],[Store_Purchases]]+Table1[[#This Row],[Catalog_Purchases]]+Table1[[#This Row],[Web_Purchases]]+Table1[[#This Row],[Deal_Purchases]])</f>
        <v>27</v>
      </c>
      <c r="V1056">
        <v>3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f>SUM(Table1[[#This Row],[Accepted_Campaign_2]]+Table1[[#This Row],[Accepted_Campaign_1]]+Table1[[#This Row],[Accepted_Campaign_5]]+Table1[[#This Row],[Accepted_Campaign_4]]+Table1[[#This Row],[Accepted_Campaign_3]])</f>
        <v>1</v>
      </c>
      <c r="AC1056">
        <v>1</v>
      </c>
      <c r="AD1056">
        <v>0</v>
      </c>
    </row>
    <row r="1057" spans="1:30" x14ac:dyDescent="0.25">
      <c r="A1057">
        <v>41547</v>
      </c>
      <c r="B1057">
        <v>7428</v>
      </c>
      <c r="C1057">
        <v>1975</v>
      </c>
      <c r="D1057" t="s">
        <v>13</v>
      </c>
      <c r="E1057" t="s">
        <v>6</v>
      </c>
      <c r="F1057" t="s">
        <v>12</v>
      </c>
      <c r="G1057">
        <v>80144</v>
      </c>
      <c r="H1057">
        <v>0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f>SUM(Table1[[#This Row],[Gold Spending]]+Table1[[#This Row],[Sweet Spending]]+Table1[[#This Row],[Fish Spending]]+Table1[[#This Row],[Meat Spending]]+Table1[[#This Row],[Fruits Spending]]+Table1[[#This Row],[Wine Spending ]])</f>
        <v>1367</v>
      </c>
      <c r="Q1057">
        <v>1</v>
      </c>
      <c r="R1057">
        <v>3</v>
      </c>
      <c r="S1057">
        <v>7</v>
      </c>
      <c r="T1057">
        <v>8</v>
      </c>
      <c r="U1057">
        <f>SUM(Table1[[#This Row],[Store_Purchases]]+Table1[[#This Row],[Catalog_Purchases]]+Table1[[#This Row],[Web_Purchases]]+Table1[[#This Row],[Deal_Purchases]])</f>
        <v>19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f>SUM(Table1[[#This Row],[Accepted_Campaign_2]]+Table1[[#This Row],[Accepted_Campaign_1]]+Table1[[#This Row],[Accepted_Campaign_5]]+Table1[[#This Row],[Accepted_Campaign_4]]+Table1[[#This Row],[Accepted_Campaign_3]])</f>
        <v>0</v>
      </c>
      <c r="AC1057">
        <v>0</v>
      </c>
      <c r="AD1057">
        <v>0</v>
      </c>
    </row>
    <row r="1058" spans="1:30" x14ac:dyDescent="0.25">
      <c r="A1058">
        <v>41528</v>
      </c>
      <c r="B1058">
        <v>3075</v>
      </c>
      <c r="C1058">
        <v>1972</v>
      </c>
      <c r="D1058" t="s">
        <v>8</v>
      </c>
      <c r="E1058" t="s">
        <v>14</v>
      </c>
      <c r="F1058" t="s">
        <v>11</v>
      </c>
      <c r="G1058">
        <v>59973</v>
      </c>
      <c r="H1058">
        <v>0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f>SUM(Table1[[#This Row],[Gold Spending]]+Table1[[#This Row],[Sweet Spending]]+Table1[[#This Row],[Fish Spending]]+Table1[[#This Row],[Meat Spending]]+Table1[[#This Row],[Fruits Spending]]+Table1[[#This Row],[Wine Spending ]])</f>
        <v>382</v>
      </c>
      <c r="Q1058">
        <v>1</v>
      </c>
      <c r="R1058">
        <v>3</v>
      </c>
      <c r="S1058">
        <v>4</v>
      </c>
      <c r="T1058">
        <v>7</v>
      </c>
      <c r="U1058">
        <f>SUM(Table1[[#This Row],[Store_Purchases]]+Table1[[#This Row],[Catalog_Purchases]]+Table1[[#This Row],[Web_Purchases]]+Table1[[#This Row],[Deal_Purchases]])</f>
        <v>15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f>SUM(Table1[[#This Row],[Accepted_Campaign_2]]+Table1[[#This Row],[Accepted_Campaign_1]]+Table1[[#This Row],[Accepted_Campaign_5]]+Table1[[#This Row],[Accepted_Campaign_4]]+Table1[[#This Row],[Accepted_Campaign_3]])</f>
        <v>0</v>
      </c>
      <c r="AC1058">
        <v>0</v>
      </c>
      <c r="AD1058">
        <v>0</v>
      </c>
    </row>
    <row r="1059" spans="1:30" x14ac:dyDescent="0.25">
      <c r="A1059">
        <v>41514</v>
      </c>
      <c r="B1059">
        <v>2937</v>
      </c>
      <c r="C1059">
        <v>1974</v>
      </c>
      <c r="D1059" t="s">
        <v>10</v>
      </c>
      <c r="E1059" t="s">
        <v>14</v>
      </c>
      <c r="F1059" t="s">
        <v>9</v>
      </c>
      <c r="G1059">
        <v>68352</v>
      </c>
      <c r="H1059">
        <v>1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f>SUM(Table1[[#This Row],[Gold Spending]]+Table1[[#This Row],[Sweet Spending]]+Table1[[#This Row],[Fish Spending]]+Table1[[#This Row],[Meat Spending]]+Table1[[#This Row],[Fruits Spending]]+Table1[[#This Row],[Wine Spending ]])</f>
        <v>871</v>
      </c>
      <c r="Q1059">
        <v>3</v>
      </c>
      <c r="R1059">
        <v>8</v>
      </c>
      <c r="S1059">
        <v>5</v>
      </c>
      <c r="T1059">
        <v>9</v>
      </c>
      <c r="U1059">
        <f>SUM(Table1[[#This Row],[Store_Purchases]]+Table1[[#This Row],[Catalog_Purchases]]+Table1[[#This Row],[Web_Purchases]]+Table1[[#This Row],[Deal_Purchases]])</f>
        <v>25</v>
      </c>
      <c r="V1059">
        <v>6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f>SUM(Table1[[#This Row],[Accepted_Campaign_2]]+Table1[[#This Row],[Accepted_Campaign_1]]+Table1[[#This Row],[Accepted_Campaign_5]]+Table1[[#This Row],[Accepted_Campaign_4]]+Table1[[#This Row],[Accepted_Campaign_3]])</f>
        <v>0</v>
      </c>
      <c r="AC1059">
        <v>0</v>
      </c>
      <c r="AD1059">
        <v>0</v>
      </c>
    </row>
    <row r="1060" spans="1:30" x14ac:dyDescent="0.25">
      <c r="A1060">
        <v>41378</v>
      </c>
      <c r="B1060">
        <v>203</v>
      </c>
      <c r="C1060">
        <v>1975</v>
      </c>
      <c r="D1060" t="s">
        <v>8</v>
      </c>
      <c r="E1060" t="s">
        <v>18</v>
      </c>
      <c r="F1060" t="s">
        <v>9</v>
      </c>
      <c r="G1060">
        <v>81169</v>
      </c>
      <c r="H1060">
        <v>0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f>SUM(Table1[[#This Row],[Gold Spending]]+Table1[[#This Row],[Sweet Spending]]+Table1[[#This Row],[Fish Spending]]+Table1[[#This Row],[Meat Spending]]+Table1[[#This Row],[Fruits Spending]]+Table1[[#This Row],[Wine Spending ]])</f>
        <v>2089</v>
      </c>
      <c r="Q1060">
        <v>1</v>
      </c>
      <c r="R1060">
        <v>5</v>
      </c>
      <c r="S1060">
        <v>7</v>
      </c>
      <c r="T1060">
        <v>9</v>
      </c>
      <c r="U1060">
        <f>SUM(Table1[[#This Row],[Store_Purchases]]+Table1[[#This Row],[Catalog_Purchases]]+Table1[[#This Row],[Web_Purchases]]+Table1[[#This Row],[Deal_Purchases]])</f>
        <v>22</v>
      </c>
      <c r="V1060">
        <v>2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f>SUM(Table1[[#This Row],[Accepted_Campaign_2]]+Table1[[#This Row],[Accepted_Campaign_1]]+Table1[[#This Row],[Accepted_Campaign_5]]+Table1[[#This Row],[Accepted_Campaign_4]]+Table1[[#This Row],[Accepted_Campaign_3]])</f>
        <v>0</v>
      </c>
      <c r="AC1060">
        <v>0</v>
      </c>
      <c r="AD1060">
        <v>0</v>
      </c>
    </row>
    <row r="1061" spans="1:30" x14ac:dyDescent="0.25">
      <c r="A1061">
        <v>41360</v>
      </c>
      <c r="B1061">
        <v>2021</v>
      </c>
      <c r="C1061">
        <v>1975</v>
      </c>
      <c r="D1061" t="s">
        <v>8</v>
      </c>
      <c r="E1061" t="s">
        <v>6</v>
      </c>
      <c r="F1061" t="s">
        <v>11</v>
      </c>
      <c r="G1061">
        <v>61456</v>
      </c>
      <c r="H1061">
        <v>1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f>SUM(Table1[[#This Row],[Gold Spending]]+Table1[[#This Row],[Sweet Spending]]+Table1[[#This Row],[Fish Spending]]+Table1[[#This Row],[Meat Spending]]+Table1[[#This Row],[Fruits Spending]]+Table1[[#This Row],[Wine Spending ]])</f>
        <v>1388</v>
      </c>
      <c r="Q1061">
        <v>4</v>
      </c>
      <c r="R1061">
        <v>6</v>
      </c>
      <c r="S1061">
        <v>10</v>
      </c>
      <c r="T1061">
        <v>13</v>
      </c>
      <c r="U1061">
        <f>SUM(Table1[[#This Row],[Store_Purchases]]+Table1[[#This Row],[Catalog_Purchases]]+Table1[[#This Row],[Web_Purchases]]+Table1[[#This Row],[Deal_Purchases]])</f>
        <v>33</v>
      </c>
      <c r="V1061">
        <v>4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f>SUM(Table1[[#This Row],[Accepted_Campaign_2]]+Table1[[#This Row],[Accepted_Campaign_1]]+Table1[[#This Row],[Accepted_Campaign_5]]+Table1[[#This Row],[Accepted_Campaign_4]]+Table1[[#This Row],[Accepted_Campaign_3]])</f>
        <v>0</v>
      </c>
      <c r="AC1061">
        <v>0</v>
      </c>
      <c r="AD1061">
        <v>0</v>
      </c>
    </row>
    <row r="1062" spans="1:30" x14ac:dyDescent="0.25">
      <c r="A1062">
        <v>41290</v>
      </c>
      <c r="B1062">
        <v>880</v>
      </c>
      <c r="C1062">
        <v>1966</v>
      </c>
      <c r="D1062" t="s">
        <v>8</v>
      </c>
      <c r="E1062" t="s">
        <v>21</v>
      </c>
      <c r="F1062" t="s">
        <v>12</v>
      </c>
      <c r="G1062">
        <v>22634</v>
      </c>
      <c r="H1062">
        <v>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f>SUM(Table1[[#This Row],[Gold Spending]]+Table1[[#This Row],[Sweet Spending]]+Table1[[#This Row],[Fish Spending]]+Table1[[#This Row],[Meat Spending]]+Table1[[#This Row],[Fruits Spending]]+Table1[[#This Row],[Wine Spending ]])</f>
        <v>96</v>
      </c>
      <c r="Q1062">
        <v>1</v>
      </c>
      <c r="R1062">
        <v>2</v>
      </c>
      <c r="S1062">
        <v>1</v>
      </c>
      <c r="T1062">
        <v>2</v>
      </c>
      <c r="U1062">
        <f>SUM(Table1[[#This Row],[Store_Purchases]]+Table1[[#This Row],[Catalog_Purchases]]+Table1[[#This Row],[Web_Purchases]]+Table1[[#This Row],[Deal_Purchases]])</f>
        <v>6</v>
      </c>
      <c r="V1062">
        <v>8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f>SUM(Table1[[#This Row],[Accepted_Campaign_2]]+Table1[[#This Row],[Accepted_Campaign_1]]+Table1[[#This Row],[Accepted_Campaign_5]]+Table1[[#This Row],[Accepted_Campaign_4]]+Table1[[#This Row],[Accepted_Campaign_3]])</f>
        <v>0</v>
      </c>
      <c r="AC1062">
        <v>0</v>
      </c>
      <c r="AD1062">
        <v>0</v>
      </c>
    </row>
    <row r="1063" spans="1:30" x14ac:dyDescent="0.25">
      <c r="A1063">
        <v>41290</v>
      </c>
      <c r="B1063">
        <v>524</v>
      </c>
      <c r="C1063">
        <v>1966</v>
      </c>
      <c r="D1063" t="s">
        <v>13</v>
      </c>
      <c r="E1063" t="s">
        <v>21</v>
      </c>
      <c r="F1063" t="s">
        <v>12</v>
      </c>
      <c r="G1063">
        <v>22634</v>
      </c>
      <c r="H1063">
        <v>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f>SUM(Table1[[#This Row],[Gold Spending]]+Table1[[#This Row],[Sweet Spending]]+Table1[[#This Row],[Fish Spending]]+Table1[[#This Row],[Meat Spending]]+Table1[[#This Row],[Fruits Spending]]+Table1[[#This Row],[Wine Spending ]])</f>
        <v>96</v>
      </c>
      <c r="Q1063">
        <v>1</v>
      </c>
      <c r="R1063">
        <v>2</v>
      </c>
      <c r="S1063">
        <v>1</v>
      </c>
      <c r="T1063">
        <v>2</v>
      </c>
      <c r="U1063">
        <f>SUM(Table1[[#This Row],[Store_Purchases]]+Table1[[#This Row],[Catalog_Purchases]]+Table1[[#This Row],[Web_Purchases]]+Table1[[#This Row],[Deal_Purchases]])</f>
        <v>6</v>
      </c>
      <c r="V1063">
        <v>8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f>SUM(Table1[[#This Row],[Accepted_Campaign_2]]+Table1[[#This Row],[Accepted_Campaign_1]]+Table1[[#This Row],[Accepted_Campaign_5]]+Table1[[#This Row],[Accepted_Campaign_4]]+Table1[[#This Row],[Accepted_Campaign_3]])</f>
        <v>0</v>
      </c>
      <c r="AC1063">
        <v>0</v>
      </c>
      <c r="AD1063">
        <v>0</v>
      </c>
    </row>
    <row r="1064" spans="1:30" x14ac:dyDescent="0.25">
      <c r="A1064">
        <v>41210</v>
      </c>
      <c r="B1064">
        <v>10837</v>
      </c>
      <c r="C1064">
        <v>1975</v>
      </c>
      <c r="D1064" t="s">
        <v>10</v>
      </c>
      <c r="E1064" t="s">
        <v>6</v>
      </c>
      <c r="F1064" t="s">
        <v>11</v>
      </c>
      <c r="G1064">
        <v>23957</v>
      </c>
      <c r="H1064">
        <v>1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f>SUM(Table1[[#This Row],[Gold Spending]]+Table1[[#This Row],[Sweet Spending]]+Table1[[#This Row],[Fish Spending]]+Table1[[#This Row],[Meat Spending]]+Table1[[#This Row],[Fruits Spending]]+Table1[[#This Row],[Wine Spending ]])</f>
        <v>68</v>
      </c>
      <c r="Q1064">
        <v>1</v>
      </c>
      <c r="R1064">
        <v>2</v>
      </c>
      <c r="S1064">
        <v>0</v>
      </c>
      <c r="T1064">
        <v>3</v>
      </c>
      <c r="U1064">
        <f>SUM(Table1[[#This Row],[Store_Purchases]]+Table1[[#This Row],[Catalog_Purchases]]+Table1[[#This Row],[Web_Purchases]]+Table1[[#This Row],[Deal_Purchases]])</f>
        <v>6</v>
      </c>
      <c r="V1064">
        <v>6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f>SUM(Table1[[#This Row],[Accepted_Campaign_2]]+Table1[[#This Row],[Accepted_Campaign_1]]+Table1[[#This Row],[Accepted_Campaign_5]]+Table1[[#This Row],[Accepted_Campaign_4]]+Table1[[#This Row],[Accepted_Campaign_3]])</f>
        <v>0</v>
      </c>
      <c r="AC1064">
        <v>1</v>
      </c>
      <c r="AD1064">
        <v>0</v>
      </c>
    </row>
    <row r="1065" spans="1:30" x14ac:dyDescent="0.25">
      <c r="A1065">
        <v>41194</v>
      </c>
      <c r="B1065">
        <v>7011</v>
      </c>
      <c r="C1065">
        <v>1973</v>
      </c>
      <c r="D1065" t="s">
        <v>20</v>
      </c>
      <c r="E1065" t="s">
        <v>6</v>
      </c>
      <c r="F1065" t="s">
        <v>11</v>
      </c>
      <c r="G1065">
        <v>33471</v>
      </c>
      <c r="H1065">
        <v>1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f>SUM(Table1[[#This Row],[Gold Spending]]+Table1[[#This Row],[Sweet Spending]]+Table1[[#This Row],[Fish Spending]]+Table1[[#This Row],[Meat Spending]]+Table1[[#This Row],[Fruits Spending]]+Table1[[#This Row],[Wine Spending ]])</f>
        <v>93</v>
      </c>
      <c r="Q1065">
        <v>3</v>
      </c>
      <c r="R1065">
        <v>3</v>
      </c>
      <c r="S1065">
        <v>0</v>
      </c>
      <c r="T1065">
        <v>4</v>
      </c>
      <c r="U1065">
        <f>SUM(Table1[[#This Row],[Store_Purchases]]+Table1[[#This Row],[Catalog_Purchases]]+Table1[[#This Row],[Web_Purchases]]+Table1[[#This Row],[Deal_Purchases]])</f>
        <v>10</v>
      </c>
      <c r="V1065">
        <v>7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f>SUM(Table1[[#This Row],[Accepted_Campaign_2]]+Table1[[#This Row],[Accepted_Campaign_1]]+Table1[[#This Row],[Accepted_Campaign_5]]+Table1[[#This Row],[Accepted_Campaign_4]]+Table1[[#This Row],[Accepted_Campaign_3]])</f>
        <v>0</v>
      </c>
      <c r="AC1065">
        <v>0</v>
      </c>
      <c r="AD1065">
        <v>0</v>
      </c>
    </row>
    <row r="1066" spans="1:30" x14ac:dyDescent="0.25">
      <c r="A1066">
        <v>41797</v>
      </c>
      <c r="B1066">
        <v>4184</v>
      </c>
      <c r="C1066">
        <v>1950</v>
      </c>
      <c r="D1066" t="s">
        <v>8</v>
      </c>
      <c r="E1066" t="s">
        <v>14</v>
      </c>
      <c r="F1066" t="s">
        <v>12</v>
      </c>
      <c r="G1066">
        <v>52157</v>
      </c>
      <c r="H1066">
        <v>1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f>SUM(Table1[[#This Row],[Gold Spending]]+Table1[[#This Row],[Sweet Spending]]+Table1[[#This Row],[Fish Spending]]+Table1[[#This Row],[Meat Spending]]+Table1[[#This Row],[Fruits Spending]]+Table1[[#This Row],[Wine Spending ]])</f>
        <v>265</v>
      </c>
      <c r="Q1066">
        <v>2</v>
      </c>
      <c r="R1066">
        <v>3</v>
      </c>
      <c r="S1066">
        <v>2</v>
      </c>
      <c r="T1066">
        <v>5</v>
      </c>
      <c r="U1066">
        <f>SUM(Table1[[#This Row],[Store_Purchases]]+Table1[[#This Row],[Catalog_Purchases]]+Table1[[#This Row],[Web_Purchases]]+Table1[[#This Row],[Deal_Purchases]])</f>
        <v>12</v>
      </c>
      <c r="V1066">
        <v>4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f>SUM(Table1[[#This Row],[Accepted_Campaign_2]]+Table1[[#This Row],[Accepted_Campaign_1]]+Table1[[#This Row],[Accepted_Campaign_5]]+Table1[[#This Row],[Accepted_Campaign_4]]+Table1[[#This Row],[Accepted_Campaign_3]])</f>
        <v>0</v>
      </c>
      <c r="AC1066">
        <v>0</v>
      </c>
      <c r="AD1066">
        <v>0</v>
      </c>
    </row>
    <row r="1067" spans="1:30" x14ac:dyDescent="0.25">
      <c r="A1067">
        <v>41778</v>
      </c>
      <c r="B1067">
        <v>7679</v>
      </c>
      <c r="C1067">
        <v>1985</v>
      </c>
      <c r="D1067" t="s">
        <v>8</v>
      </c>
      <c r="E1067" t="s">
        <v>14</v>
      </c>
      <c r="F1067" t="s">
        <v>9</v>
      </c>
      <c r="G1067">
        <v>30298</v>
      </c>
      <c r="H1067">
        <v>0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f>SUM(Table1[[#This Row],[Gold Spending]]+Table1[[#This Row],[Sweet Spending]]+Table1[[#This Row],[Fish Spending]]+Table1[[#This Row],[Meat Spending]]+Table1[[#This Row],[Fruits Spending]]+Table1[[#This Row],[Wine Spending ]])</f>
        <v>28</v>
      </c>
      <c r="Q1067">
        <v>1</v>
      </c>
      <c r="R1067">
        <v>1</v>
      </c>
      <c r="S1067">
        <v>1</v>
      </c>
      <c r="T1067">
        <v>3</v>
      </c>
      <c r="U1067">
        <f>SUM(Table1[[#This Row],[Store_Purchases]]+Table1[[#This Row],[Catalog_Purchases]]+Table1[[#This Row],[Web_Purchases]]+Table1[[#This Row],[Deal_Purchases]])</f>
        <v>6</v>
      </c>
      <c r="V1067">
        <v>3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f>SUM(Table1[[#This Row],[Accepted_Campaign_2]]+Table1[[#This Row],[Accepted_Campaign_1]]+Table1[[#This Row],[Accepted_Campaign_5]]+Table1[[#This Row],[Accepted_Campaign_4]]+Table1[[#This Row],[Accepted_Campaign_3]])</f>
        <v>0</v>
      </c>
      <c r="AC1067">
        <v>0</v>
      </c>
      <c r="AD1067">
        <v>0</v>
      </c>
    </row>
    <row r="1068" spans="1:30" x14ac:dyDescent="0.25">
      <c r="A1068">
        <v>41766</v>
      </c>
      <c r="B1068">
        <v>7485</v>
      </c>
      <c r="C1068">
        <v>1950</v>
      </c>
      <c r="D1068" t="s">
        <v>20</v>
      </c>
      <c r="E1068" t="s">
        <v>14</v>
      </c>
      <c r="F1068" t="s">
        <v>19</v>
      </c>
      <c r="G1068">
        <v>56551</v>
      </c>
      <c r="H1068">
        <v>2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f>SUM(Table1[[#This Row],[Gold Spending]]+Table1[[#This Row],[Sweet Spending]]+Table1[[#This Row],[Fish Spending]]+Table1[[#This Row],[Meat Spending]]+Table1[[#This Row],[Fruits Spending]]+Table1[[#This Row],[Wine Spending ]])</f>
        <v>138</v>
      </c>
      <c r="Q1068">
        <v>3</v>
      </c>
      <c r="R1068">
        <v>2</v>
      </c>
      <c r="S1068">
        <v>1</v>
      </c>
      <c r="T1068">
        <v>4</v>
      </c>
      <c r="U1068">
        <f>SUM(Table1[[#This Row],[Store_Purchases]]+Table1[[#This Row],[Catalog_Purchases]]+Table1[[#This Row],[Web_Purchases]]+Table1[[#This Row],[Deal_Purchases]])</f>
        <v>10</v>
      </c>
      <c r="V1068">
        <v>4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f>SUM(Table1[[#This Row],[Accepted_Campaign_2]]+Table1[[#This Row],[Accepted_Campaign_1]]+Table1[[#This Row],[Accepted_Campaign_5]]+Table1[[#This Row],[Accepted_Campaign_4]]+Table1[[#This Row],[Accepted_Campaign_3]])</f>
        <v>0</v>
      </c>
      <c r="AC1068">
        <v>0</v>
      </c>
      <c r="AD1068">
        <v>0</v>
      </c>
    </row>
    <row r="1069" spans="1:30" x14ac:dyDescent="0.25">
      <c r="A1069">
        <v>41766</v>
      </c>
      <c r="B1069">
        <v>7530</v>
      </c>
      <c r="C1069">
        <v>1950</v>
      </c>
      <c r="D1069" t="s">
        <v>8</v>
      </c>
      <c r="E1069" t="s">
        <v>14</v>
      </c>
      <c r="F1069" t="s">
        <v>19</v>
      </c>
      <c r="G1069">
        <v>56551</v>
      </c>
      <c r="H1069">
        <v>2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f>SUM(Table1[[#This Row],[Gold Spending]]+Table1[[#This Row],[Sweet Spending]]+Table1[[#This Row],[Fish Spending]]+Table1[[#This Row],[Meat Spending]]+Table1[[#This Row],[Fruits Spending]]+Table1[[#This Row],[Wine Spending ]])</f>
        <v>138</v>
      </c>
      <c r="Q1069">
        <v>3</v>
      </c>
      <c r="R1069">
        <v>2</v>
      </c>
      <c r="S1069">
        <v>1</v>
      </c>
      <c r="T1069">
        <v>4</v>
      </c>
      <c r="U1069">
        <f>SUM(Table1[[#This Row],[Store_Purchases]]+Table1[[#This Row],[Catalog_Purchases]]+Table1[[#This Row],[Web_Purchases]]+Table1[[#This Row],[Deal_Purchases]])</f>
        <v>10</v>
      </c>
      <c r="V1069">
        <v>4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f>SUM(Table1[[#This Row],[Accepted_Campaign_2]]+Table1[[#This Row],[Accepted_Campaign_1]]+Table1[[#This Row],[Accepted_Campaign_5]]+Table1[[#This Row],[Accepted_Campaign_4]]+Table1[[#This Row],[Accepted_Campaign_3]])</f>
        <v>0</v>
      </c>
      <c r="AC1069">
        <v>0</v>
      </c>
      <c r="AD1069">
        <v>0</v>
      </c>
    </row>
    <row r="1070" spans="1:30" x14ac:dyDescent="0.25">
      <c r="A1070">
        <v>41649</v>
      </c>
      <c r="B1070">
        <v>4369</v>
      </c>
      <c r="C1070">
        <v>1957</v>
      </c>
      <c r="D1070" t="s">
        <v>10</v>
      </c>
      <c r="E1070" t="s">
        <v>18</v>
      </c>
      <c r="F1070" t="s">
        <v>9</v>
      </c>
      <c r="G1070">
        <v>65487</v>
      </c>
      <c r="H1070">
        <v>0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f>SUM(Table1[[#This Row],[Gold Spending]]+Table1[[#This Row],[Sweet Spending]]+Table1[[#This Row],[Fish Spending]]+Table1[[#This Row],[Meat Spending]]+Table1[[#This Row],[Fruits Spending]]+Table1[[#This Row],[Wine Spending ]])</f>
        <v>1169</v>
      </c>
      <c r="Q1070">
        <v>3</v>
      </c>
      <c r="R1070">
        <v>3</v>
      </c>
      <c r="S1070">
        <v>5</v>
      </c>
      <c r="T1070">
        <v>6</v>
      </c>
      <c r="U1070">
        <f>SUM(Table1[[#This Row],[Store_Purchases]]+Table1[[#This Row],[Catalog_Purchases]]+Table1[[#This Row],[Web_Purchases]]+Table1[[#This Row],[Deal_Purchases]])</f>
        <v>17</v>
      </c>
      <c r="V1070">
        <v>2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f>SUM(Table1[[#This Row],[Accepted_Campaign_2]]+Table1[[#This Row],[Accepted_Campaign_1]]+Table1[[#This Row],[Accepted_Campaign_5]]+Table1[[#This Row],[Accepted_Campaign_4]]+Table1[[#This Row],[Accepted_Campaign_3]])</f>
        <v>0</v>
      </c>
      <c r="AC1070">
        <v>0</v>
      </c>
      <c r="AD1070">
        <v>0</v>
      </c>
    </row>
    <row r="1071" spans="1:30" x14ac:dyDescent="0.25">
      <c r="A1071">
        <v>41649</v>
      </c>
      <c r="B1071">
        <v>10652</v>
      </c>
      <c r="C1071">
        <v>1957</v>
      </c>
      <c r="D1071" t="s">
        <v>10</v>
      </c>
      <c r="E1071" t="s">
        <v>18</v>
      </c>
      <c r="F1071" t="s">
        <v>12</v>
      </c>
      <c r="G1071">
        <v>65487</v>
      </c>
      <c r="H1071">
        <v>0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f>SUM(Table1[[#This Row],[Gold Spending]]+Table1[[#This Row],[Sweet Spending]]+Table1[[#This Row],[Fish Spending]]+Table1[[#This Row],[Meat Spending]]+Table1[[#This Row],[Fruits Spending]]+Table1[[#This Row],[Wine Spending ]])</f>
        <v>1169</v>
      </c>
      <c r="Q1071">
        <v>3</v>
      </c>
      <c r="R1071">
        <v>3</v>
      </c>
      <c r="S1071">
        <v>5</v>
      </c>
      <c r="T1071">
        <v>6</v>
      </c>
      <c r="U1071">
        <f>SUM(Table1[[#This Row],[Store_Purchases]]+Table1[[#This Row],[Catalog_Purchases]]+Table1[[#This Row],[Web_Purchases]]+Table1[[#This Row],[Deal_Purchases]])</f>
        <v>17</v>
      </c>
      <c r="V1071">
        <v>2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f>SUM(Table1[[#This Row],[Accepted_Campaign_2]]+Table1[[#This Row],[Accepted_Campaign_1]]+Table1[[#This Row],[Accepted_Campaign_5]]+Table1[[#This Row],[Accepted_Campaign_4]]+Table1[[#This Row],[Accepted_Campaign_3]])</f>
        <v>0</v>
      </c>
      <c r="AC1071">
        <v>0</v>
      </c>
      <c r="AD1071">
        <v>0</v>
      </c>
    </row>
    <row r="1072" spans="1:30" x14ac:dyDescent="0.25">
      <c r="A1072">
        <v>41607</v>
      </c>
      <c r="B1072">
        <v>286</v>
      </c>
      <c r="C1072">
        <v>1952</v>
      </c>
      <c r="D1072" t="s">
        <v>8</v>
      </c>
      <c r="E1072" t="s">
        <v>6</v>
      </c>
      <c r="F1072" t="s">
        <v>9</v>
      </c>
      <c r="G1072">
        <v>44213</v>
      </c>
      <c r="H1072">
        <v>2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f>SUM(Table1[[#This Row],[Gold Spending]]+Table1[[#This Row],[Sweet Spending]]+Table1[[#This Row],[Fish Spending]]+Table1[[#This Row],[Meat Spending]]+Table1[[#This Row],[Fruits Spending]]+Table1[[#This Row],[Wine Spending ]])</f>
        <v>152</v>
      </c>
      <c r="Q1072">
        <v>4</v>
      </c>
      <c r="R1072">
        <v>2</v>
      </c>
      <c r="S1072">
        <v>1</v>
      </c>
      <c r="T1072">
        <v>5</v>
      </c>
      <c r="U1072">
        <f>SUM(Table1[[#This Row],[Store_Purchases]]+Table1[[#This Row],[Catalog_Purchases]]+Table1[[#This Row],[Web_Purchases]]+Table1[[#This Row],[Deal_Purchases]])</f>
        <v>12</v>
      </c>
      <c r="V1072">
        <v>6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f>SUM(Table1[[#This Row],[Accepted_Campaign_2]]+Table1[[#This Row],[Accepted_Campaign_1]]+Table1[[#This Row],[Accepted_Campaign_5]]+Table1[[#This Row],[Accepted_Campaign_4]]+Table1[[#This Row],[Accepted_Campaign_3]])</f>
        <v>0</v>
      </c>
      <c r="AC1072">
        <v>0</v>
      </c>
      <c r="AD1072">
        <v>0</v>
      </c>
    </row>
    <row r="1073" spans="1:30" x14ac:dyDescent="0.25">
      <c r="A1073">
        <v>41560</v>
      </c>
      <c r="B1073">
        <v>5922</v>
      </c>
      <c r="C1073">
        <v>1974</v>
      </c>
      <c r="D1073" t="s">
        <v>8</v>
      </c>
      <c r="E1073" t="s">
        <v>14</v>
      </c>
      <c r="F1073" t="s">
        <v>11</v>
      </c>
      <c r="G1073">
        <v>40344</v>
      </c>
      <c r="H1073">
        <v>1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f>SUM(Table1[[#This Row],[Gold Spending]]+Table1[[#This Row],[Sweet Spending]]+Table1[[#This Row],[Fish Spending]]+Table1[[#This Row],[Meat Spending]]+Table1[[#This Row],[Fruits Spending]]+Table1[[#This Row],[Wine Spending ]])</f>
        <v>218</v>
      </c>
      <c r="Q1073">
        <v>2</v>
      </c>
      <c r="R1073">
        <v>4</v>
      </c>
      <c r="S1073">
        <v>1</v>
      </c>
      <c r="T1073">
        <v>5</v>
      </c>
      <c r="U1073">
        <f>SUM(Table1[[#This Row],[Store_Purchases]]+Table1[[#This Row],[Catalog_Purchases]]+Table1[[#This Row],[Web_Purchases]]+Table1[[#This Row],[Deal_Purchases]])</f>
        <v>12</v>
      </c>
      <c r="V1073">
        <v>7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f>SUM(Table1[[#This Row],[Accepted_Campaign_2]]+Table1[[#This Row],[Accepted_Campaign_1]]+Table1[[#This Row],[Accepted_Campaign_5]]+Table1[[#This Row],[Accepted_Campaign_4]]+Table1[[#This Row],[Accepted_Campaign_3]])</f>
        <v>0</v>
      </c>
      <c r="AC1073">
        <v>0</v>
      </c>
      <c r="AD1073">
        <v>0</v>
      </c>
    </row>
    <row r="1074" spans="1:30" x14ac:dyDescent="0.25">
      <c r="A1074">
        <v>41548</v>
      </c>
      <c r="B1074">
        <v>7250</v>
      </c>
      <c r="C1074">
        <v>1978</v>
      </c>
      <c r="D1074" t="s">
        <v>10</v>
      </c>
      <c r="E1074" t="s">
        <v>6</v>
      </c>
      <c r="F1074" t="s">
        <v>12</v>
      </c>
      <c r="G1074">
        <v>57867</v>
      </c>
      <c r="H1074">
        <v>1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f>SUM(Table1[[#This Row],[Gold Spending]]+Table1[[#This Row],[Sweet Spending]]+Table1[[#This Row],[Fish Spending]]+Table1[[#This Row],[Meat Spending]]+Table1[[#This Row],[Fruits Spending]]+Table1[[#This Row],[Wine Spending ]])</f>
        <v>612</v>
      </c>
      <c r="Q1074">
        <v>7</v>
      </c>
      <c r="R1074">
        <v>7</v>
      </c>
      <c r="S1074">
        <v>2</v>
      </c>
      <c r="T1074">
        <v>9</v>
      </c>
      <c r="U1074">
        <f>SUM(Table1[[#This Row],[Store_Purchases]]+Table1[[#This Row],[Catalog_Purchases]]+Table1[[#This Row],[Web_Purchases]]+Table1[[#This Row],[Deal_Purchases]])</f>
        <v>25</v>
      </c>
      <c r="V1074">
        <v>6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f>SUM(Table1[[#This Row],[Accepted_Campaign_2]]+Table1[[#This Row],[Accepted_Campaign_1]]+Table1[[#This Row],[Accepted_Campaign_5]]+Table1[[#This Row],[Accepted_Campaign_4]]+Table1[[#This Row],[Accepted_Campaign_3]])</f>
        <v>0</v>
      </c>
      <c r="AC1074">
        <v>0</v>
      </c>
      <c r="AD1074">
        <v>0</v>
      </c>
    </row>
    <row r="1075" spans="1:30" x14ac:dyDescent="0.25">
      <c r="A1075">
        <v>41517</v>
      </c>
      <c r="B1075">
        <v>2478</v>
      </c>
      <c r="C1075">
        <v>1973</v>
      </c>
      <c r="D1075" t="s">
        <v>8</v>
      </c>
      <c r="E1075" t="s">
        <v>6</v>
      </c>
      <c r="F1075" t="s">
        <v>11</v>
      </c>
      <c r="G1075">
        <v>25410</v>
      </c>
      <c r="H1075">
        <v>1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f>SUM(Table1[[#This Row],[Gold Spending]]+Table1[[#This Row],[Sweet Spending]]+Table1[[#This Row],[Fish Spending]]+Table1[[#This Row],[Meat Spending]]+Table1[[#This Row],[Fruits Spending]]+Table1[[#This Row],[Wine Spending ]])</f>
        <v>38</v>
      </c>
      <c r="Q1075">
        <v>1</v>
      </c>
      <c r="R1075">
        <v>1</v>
      </c>
      <c r="S1075">
        <v>0</v>
      </c>
      <c r="T1075">
        <v>4</v>
      </c>
      <c r="U1075">
        <f>SUM(Table1[[#This Row],[Store_Purchases]]+Table1[[#This Row],[Catalog_Purchases]]+Table1[[#This Row],[Web_Purchases]]+Table1[[#This Row],[Deal_Purchases]])</f>
        <v>6</v>
      </c>
      <c r="V1075">
        <v>4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f>SUM(Table1[[#This Row],[Accepted_Campaign_2]]+Table1[[#This Row],[Accepted_Campaign_1]]+Table1[[#This Row],[Accepted_Campaign_5]]+Table1[[#This Row],[Accepted_Campaign_4]]+Table1[[#This Row],[Accepted_Campaign_3]])</f>
        <v>0</v>
      </c>
      <c r="AC1075">
        <v>0</v>
      </c>
      <c r="AD1075">
        <v>0</v>
      </c>
    </row>
    <row r="1076" spans="1:30" x14ac:dyDescent="0.25">
      <c r="A1076">
        <v>41509</v>
      </c>
      <c r="B1076">
        <v>1160</v>
      </c>
      <c r="C1076">
        <v>1970</v>
      </c>
      <c r="D1076" t="s">
        <v>8</v>
      </c>
      <c r="E1076" t="s">
        <v>6</v>
      </c>
      <c r="F1076" t="s">
        <v>11</v>
      </c>
      <c r="G1076">
        <v>13260</v>
      </c>
      <c r="H1076">
        <v>2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f>SUM(Table1[[#This Row],[Gold Spending]]+Table1[[#This Row],[Sweet Spending]]+Table1[[#This Row],[Fish Spending]]+Table1[[#This Row],[Meat Spending]]+Table1[[#This Row],[Fruits Spending]]+Table1[[#This Row],[Wine Spending ]])</f>
        <v>49</v>
      </c>
      <c r="Q1076">
        <v>4</v>
      </c>
      <c r="R1076">
        <v>3</v>
      </c>
      <c r="S1076">
        <v>0</v>
      </c>
      <c r="T1076">
        <v>3</v>
      </c>
      <c r="U1076">
        <f>SUM(Table1[[#This Row],[Store_Purchases]]+Table1[[#This Row],[Catalog_Purchases]]+Table1[[#This Row],[Web_Purchases]]+Table1[[#This Row],[Deal_Purchases]])</f>
        <v>10</v>
      </c>
      <c r="V1076">
        <v>8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f>SUM(Table1[[#This Row],[Accepted_Campaign_2]]+Table1[[#This Row],[Accepted_Campaign_1]]+Table1[[#This Row],[Accepted_Campaign_5]]+Table1[[#This Row],[Accepted_Campaign_4]]+Table1[[#This Row],[Accepted_Campaign_3]])</f>
        <v>0</v>
      </c>
      <c r="AC1076">
        <v>0</v>
      </c>
      <c r="AD1076">
        <v>0</v>
      </c>
    </row>
    <row r="1077" spans="1:30" x14ac:dyDescent="0.25">
      <c r="A1077">
        <v>41502</v>
      </c>
      <c r="B1077">
        <v>9214</v>
      </c>
      <c r="C1077">
        <v>1991</v>
      </c>
      <c r="D1077" t="s">
        <v>8</v>
      </c>
      <c r="E1077" t="s">
        <v>6</v>
      </c>
      <c r="F1077" t="s">
        <v>11</v>
      </c>
      <c r="G1077">
        <v>42691</v>
      </c>
      <c r="H1077">
        <v>0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f>SUM(Table1[[#This Row],[Gold Spending]]+Table1[[#This Row],[Sweet Spending]]+Table1[[#This Row],[Fish Spending]]+Table1[[#This Row],[Meat Spending]]+Table1[[#This Row],[Fruits Spending]]+Table1[[#This Row],[Wine Spending ]])</f>
        <v>358</v>
      </c>
      <c r="Q1077">
        <v>1</v>
      </c>
      <c r="R1077">
        <v>5</v>
      </c>
      <c r="S1077">
        <v>1</v>
      </c>
      <c r="T1077">
        <v>6</v>
      </c>
      <c r="U1077">
        <f>SUM(Table1[[#This Row],[Store_Purchases]]+Table1[[#This Row],[Catalog_Purchases]]+Table1[[#This Row],[Web_Purchases]]+Table1[[#This Row],[Deal_Purchases]])</f>
        <v>13</v>
      </c>
      <c r="V1077">
        <v>5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f>SUM(Table1[[#This Row],[Accepted_Campaign_2]]+Table1[[#This Row],[Accepted_Campaign_1]]+Table1[[#This Row],[Accepted_Campaign_5]]+Table1[[#This Row],[Accepted_Campaign_4]]+Table1[[#This Row],[Accepted_Campaign_3]])</f>
        <v>0</v>
      </c>
      <c r="AC1077">
        <v>0</v>
      </c>
      <c r="AD1077">
        <v>0</v>
      </c>
    </row>
    <row r="1078" spans="1:30" x14ac:dyDescent="0.25">
      <c r="A1078">
        <v>41471</v>
      </c>
      <c r="B1078">
        <v>273</v>
      </c>
      <c r="C1078">
        <v>1970</v>
      </c>
      <c r="D1078" t="s">
        <v>16</v>
      </c>
      <c r="E1078" t="s">
        <v>18</v>
      </c>
      <c r="F1078" t="s">
        <v>11</v>
      </c>
      <c r="G1078">
        <v>36138</v>
      </c>
      <c r="H1078">
        <v>2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f>SUM(Table1[[#This Row],[Gold Spending]]+Table1[[#This Row],[Sweet Spending]]+Table1[[#This Row],[Fish Spending]]+Table1[[#This Row],[Meat Spending]]+Table1[[#This Row],[Fruits Spending]]+Table1[[#This Row],[Wine Spending ]])</f>
        <v>151</v>
      </c>
      <c r="Q1078">
        <v>5</v>
      </c>
      <c r="R1078">
        <v>3</v>
      </c>
      <c r="S1078">
        <v>1</v>
      </c>
      <c r="T1078">
        <v>4</v>
      </c>
      <c r="U1078">
        <f>SUM(Table1[[#This Row],[Store_Purchases]]+Table1[[#This Row],[Catalog_Purchases]]+Table1[[#This Row],[Web_Purchases]]+Table1[[#This Row],[Deal_Purchases]])</f>
        <v>13</v>
      </c>
      <c r="V1078">
        <v>7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f>SUM(Table1[[#This Row],[Accepted_Campaign_2]]+Table1[[#This Row],[Accepted_Campaign_1]]+Table1[[#This Row],[Accepted_Campaign_5]]+Table1[[#This Row],[Accepted_Campaign_4]]+Table1[[#This Row],[Accepted_Campaign_3]])</f>
        <v>1</v>
      </c>
      <c r="AC1078">
        <v>0</v>
      </c>
      <c r="AD1078">
        <v>0</v>
      </c>
    </row>
    <row r="1079" spans="1:30" x14ac:dyDescent="0.25">
      <c r="A1079">
        <v>41464</v>
      </c>
      <c r="B1079">
        <v>851</v>
      </c>
      <c r="C1079">
        <v>1972</v>
      </c>
      <c r="D1079" t="s">
        <v>10</v>
      </c>
      <c r="E1079" t="s">
        <v>18</v>
      </c>
      <c r="F1079" t="s">
        <v>11</v>
      </c>
      <c r="G1079">
        <v>57136</v>
      </c>
      <c r="H1079">
        <v>2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f>SUM(Table1[[#This Row],[Gold Spending]]+Table1[[#This Row],[Sweet Spending]]+Table1[[#This Row],[Fish Spending]]+Table1[[#This Row],[Meat Spending]]+Table1[[#This Row],[Fruits Spending]]+Table1[[#This Row],[Wine Spending ]])</f>
        <v>642</v>
      </c>
      <c r="Q1079">
        <v>9</v>
      </c>
      <c r="R1079">
        <v>5</v>
      </c>
      <c r="S1079">
        <v>2</v>
      </c>
      <c r="T1079">
        <v>10</v>
      </c>
      <c r="U1079">
        <f>SUM(Table1[[#This Row],[Store_Purchases]]+Table1[[#This Row],[Catalog_Purchases]]+Table1[[#This Row],[Web_Purchases]]+Table1[[#This Row],[Deal_Purchases]])</f>
        <v>26</v>
      </c>
      <c r="V1079">
        <v>6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f>SUM(Table1[[#This Row],[Accepted_Campaign_2]]+Table1[[#This Row],[Accepted_Campaign_1]]+Table1[[#This Row],[Accepted_Campaign_5]]+Table1[[#This Row],[Accepted_Campaign_4]]+Table1[[#This Row],[Accepted_Campaign_3]])</f>
        <v>0</v>
      </c>
      <c r="AC1079">
        <v>0</v>
      </c>
      <c r="AD1079">
        <v>0</v>
      </c>
    </row>
    <row r="1080" spans="1:30" x14ac:dyDescent="0.25">
      <c r="A1080">
        <v>41427</v>
      </c>
      <c r="B1080">
        <v>9729</v>
      </c>
      <c r="C1080">
        <v>1955</v>
      </c>
      <c r="D1080" t="s">
        <v>16</v>
      </c>
      <c r="E1080" t="s">
        <v>6</v>
      </c>
      <c r="F1080" t="s">
        <v>19</v>
      </c>
      <c r="G1080">
        <v>58275</v>
      </c>
      <c r="H1080">
        <v>2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f>SUM(Table1[[#This Row],[Gold Spending]]+Table1[[#This Row],[Sweet Spending]]+Table1[[#This Row],[Fish Spending]]+Table1[[#This Row],[Meat Spending]]+Table1[[#This Row],[Fruits Spending]]+Table1[[#This Row],[Wine Spending ]])</f>
        <v>615</v>
      </c>
      <c r="Q1080">
        <v>6</v>
      </c>
      <c r="R1080">
        <v>8</v>
      </c>
      <c r="S1080">
        <v>2</v>
      </c>
      <c r="T1080">
        <v>7</v>
      </c>
      <c r="U1080">
        <f>SUM(Table1[[#This Row],[Store_Purchases]]+Table1[[#This Row],[Catalog_Purchases]]+Table1[[#This Row],[Web_Purchases]]+Table1[[#This Row],[Deal_Purchases]])</f>
        <v>23</v>
      </c>
      <c r="V1080">
        <v>7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f>SUM(Table1[[#This Row],[Accepted_Campaign_2]]+Table1[[#This Row],[Accepted_Campaign_1]]+Table1[[#This Row],[Accepted_Campaign_5]]+Table1[[#This Row],[Accepted_Campaign_4]]+Table1[[#This Row],[Accepted_Campaign_3]])</f>
        <v>0</v>
      </c>
      <c r="AC1080">
        <v>0</v>
      </c>
      <c r="AD1080">
        <v>0</v>
      </c>
    </row>
    <row r="1081" spans="1:30" x14ac:dyDescent="0.25">
      <c r="A1081">
        <v>41391</v>
      </c>
      <c r="B1081">
        <v>9665</v>
      </c>
      <c r="C1081">
        <v>1957</v>
      </c>
      <c r="D1081" t="s">
        <v>20</v>
      </c>
      <c r="E1081" t="s">
        <v>14</v>
      </c>
      <c r="F1081" t="s">
        <v>7</v>
      </c>
      <c r="G1081">
        <v>54237</v>
      </c>
      <c r="H1081">
        <v>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f>SUM(Table1[[#This Row],[Gold Spending]]+Table1[[#This Row],[Sweet Spending]]+Table1[[#This Row],[Fish Spending]]+Table1[[#This Row],[Meat Spending]]+Table1[[#This Row],[Fruits Spending]]+Table1[[#This Row],[Wine Spending ]])</f>
        <v>361</v>
      </c>
      <c r="Q1081">
        <v>4</v>
      </c>
      <c r="R1081">
        <v>5</v>
      </c>
      <c r="S1081">
        <v>2</v>
      </c>
      <c r="T1081">
        <v>5</v>
      </c>
      <c r="U1081">
        <f>SUM(Table1[[#This Row],[Store_Purchases]]+Table1[[#This Row],[Catalog_Purchases]]+Table1[[#This Row],[Web_Purchases]]+Table1[[#This Row],[Deal_Purchases]])</f>
        <v>16</v>
      </c>
      <c r="V1081">
        <v>6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f>SUM(Table1[[#This Row],[Accepted_Campaign_2]]+Table1[[#This Row],[Accepted_Campaign_1]]+Table1[[#This Row],[Accepted_Campaign_5]]+Table1[[#This Row],[Accepted_Campaign_4]]+Table1[[#This Row],[Accepted_Campaign_3]])</f>
        <v>0</v>
      </c>
      <c r="AC1081">
        <v>0</v>
      </c>
      <c r="AD1081">
        <v>0</v>
      </c>
    </row>
    <row r="1082" spans="1:30" x14ac:dyDescent="0.25">
      <c r="A1082">
        <v>41377</v>
      </c>
      <c r="B1082">
        <v>2620</v>
      </c>
      <c r="C1082">
        <v>1974</v>
      </c>
      <c r="D1082" t="s">
        <v>20</v>
      </c>
      <c r="E1082" t="s">
        <v>14</v>
      </c>
      <c r="F1082" t="s">
        <v>11</v>
      </c>
      <c r="G1082">
        <v>34596</v>
      </c>
      <c r="H1082">
        <v>1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f>SUM(Table1[[#This Row],[Gold Spending]]+Table1[[#This Row],[Sweet Spending]]+Table1[[#This Row],[Fish Spending]]+Table1[[#This Row],[Meat Spending]]+Table1[[#This Row],[Fruits Spending]]+Table1[[#This Row],[Wine Spending ]])</f>
        <v>23</v>
      </c>
      <c r="Q1082">
        <v>1</v>
      </c>
      <c r="R1082">
        <v>1</v>
      </c>
      <c r="S1082">
        <v>0</v>
      </c>
      <c r="T1082">
        <v>2</v>
      </c>
      <c r="U1082">
        <f>SUM(Table1[[#This Row],[Store_Purchases]]+Table1[[#This Row],[Catalog_Purchases]]+Table1[[#This Row],[Web_Purchases]]+Table1[[#This Row],[Deal_Purchases]])</f>
        <v>4</v>
      </c>
      <c r="V1082">
        <v>8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f>SUM(Table1[[#This Row],[Accepted_Campaign_2]]+Table1[[#This Row],[Accepted_Campaign_1]]+Table1[[#This Row],[Accepted_Campaign_5]]+Table1[[#This Row],[Accepted_Campaign_4]]+Table1[[#This Row],[Accepted_Campaign_3]])</f>
        <v>0</v>
      </c>
      <c r="AC1082">
        <v>1</v>
      </c>
      <c r="AD1082">
        <v>0</v>
      </c>
    </row>
    <row r="1083" spans="1:30" x14ac:dyDescent="0.25">
      <c r="A1083">
        <v>41377</v>
      </c>
      <c r="B1083">
        <v>8254</v>
      </c>
      <c r="C1083">
        <v>1974</v>
      </c>
      <c r="D1083" t="s">
        <v>16</v>
      </c>
      <c r="E1083" t="s">
        <v>14</v>
      </c>
      <c r="F1083" t="s">
        <v>11</v>
      </c>
      <c r="G1083">
        <v>34596</v>
      </c>
      <c r="H1083">
        <v>1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f>SUM(Table1[[#This Row],[Gold Spending]]+Table1[[#This Row],[Sweet Spending]]+Table1[[#This Row],[Fish Spending]]+Table1[[#This Row],[Meat Spending]]+Table1[[#This Row],[Fruits Spending]]+Table1[[#This Row],[Wine Spending ]])</f>
        <v>23</v>
      </c>
      <c r="Q1083">
        <v>1</v>
      </c>
      <c r="R1083">
        <v>1</v>
      </c>
      <c r="S1083">
        <v>0</v>
      </c>
      <c r="T1083">
        <v>2</v>
      </c>
      <c r="U1083">
        <f>SUM(Table1[[#This Row],[Store_Purchases]]+Table1[[#This Row],[Catalog_Purchases]]+Table1[[#This Row],[Web_Purchases]]+Table1[[#This Row],[Deal_Purchases]])</f>
        <v>4</v>
      </c>
      <c r="V1083">
        <v>8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f>SUM(Table1[[#This Row],[Accepted_Campaign_2]]+Table1[[#This Row],[Accepted_Campaign_1]]+Table1[[#This Row],[Accepted_Campaign_5]]+Table1[[#This Row],[Accepted_Campaign_4]]+Table1[[#This Row],[Accepted_Campaign_3]])</f>
        <v>0</v>
      </c>
      <c r="AC1083">
        <v>0</v>
      </c>
      <c r="AD1083">
        <v>0</v>
      </c>
    </row>
    <row r="1084" spans="1:30" x14ac:dyDescent="0.25">
      <c r="A1084">
        <v>41341</v>
      </c>
      <c r="B1084">
        <v>3852</v>
      </c>
      <c r="C1084">
        <v>1961</v>
      </c>
      <c r="D1084" t="s">
        <v>17</v>
      </c>
      <c r="E1084" t="s">
        <v>18</v>
      </c>
      <c r="F1084" t="s">
        <v>12</v>
      </c>
      <c r="G1084">
        <v>74881</v>
      </c>
      <c r="H1084">
        <v>2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f>SUM(Table1[[#This Row],[Gold Spending]]+Table1[[#This Row],[Sweet Spending]]+Table1[[#This Row],[Fish Spending]]+Table1[[#This Row],[Meat Spending]]+Table1[[#This Row],[Fruits Spending]]+Table1[[#This Row],[Wine Spending ]])</f>
        <v>964</v>
      </c>
      <c r="Q1084">
        <v>4</v>
      </c>
      <c r="R1084">
        <v>9</v>
      </c>
      <c r="S1084">
        <v>2</v>
      </c>
      <c r="T1084">
        <v>12</v>
      </c>
      <c r="U1084">
        <f>SUM(Table1[[#This Row],[Store_Purchases]]+Table1[[#This Row],[Catalog_Purchases]]+Table1[[#This Row],[Web_Purchases]]+Table1[[#This Row],[Deal_Purchases]])</f>
        <v>27</v>
      </c>
      <c r="V1084">
        <v>5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f>SUM(Table1[[#This Row],[Accepted_Campaign_2]]+Table1[[#This Row],[Accepted_Campaign_1]]+Table1[[#This Row],[Accepted_Campaign_5]]+Table1[[#This Row],[Accepted_Campaign_4]]+Table1[[#This Row],[Accepted_Campaign_3]])</f>
        <v>0</v>
      </c>
      <c r="AC1084">
        <v>0</v>
      </c>
      <c r="AD1084">
        <v>0</v>
      </c>
    </row>
    <row r="1085" spans="1:30" x14ac:dyDescent="0.25">
      <c r="A1085">
        <v>41341</v>
      </c>
      <c r="B1085">
        <v>1000</v>
      </c>
      <c r="C1085">
        <v>1961</v>
      </c>
      <c r="D1085" t="s">
        <v>8</v>
      </c>
      <c r="E1085" t="s">
        <v>18</v>
      </c>
      <c r="F1085" t="s">
        <v>12</v>
      </c>
      <c r="G1085">
        <v>74881</v>
      </c>
      <c r="H1085">
        <v>2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f>SUM(Table1[[#This Row],[Gold Spending]]+Table1[[#This Row],[Sweet Spending]]+Table1[[#This Row],[Fish Spending]]+Table1[[#This Row],[Meat Spending]]+Table1[[#This Row],[Fruits Spending]]+Table1[[#This Row],[Wine Spending ]])</f>
        <v>964</v>
      </c>
      <c r="Q1085">
        <v>4</v>
      </c>
      <c r="R1085">
        <v>9</v>
      </c>
      <c r="S1085">
        <v>2</v>
      </c>
      <c r="T1085">
        <v>12</v>
      </c>
      <c r="U1085">
        <f>SUM(Table1[[#This Row],[Store_Purchases]]+Table1[[#This Row],[Catalog_Purchases]]+Table1[[#This Row],[Web_Purchases]]+Table1[[#This Row],[Deal_Purchases]])</f>
        <v>27</v>
      </c>
      <c r="V1085">
        <v>5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f>SUM(Table1[[#This Row],[Accepted_Campaign_2]]+Table1[[#This Row],[Accepted_Campaign_1]]+Table1[[#This Row],[Accepted_Campaign_5]]+Table1[[#This Row],[Accepted_Campaign_4]]+Table1[[#This Row],[Accepted_Campaign_3]])</f>
        <v>0</v>
      </c>
      <c r="AC1085">
        <v>0</v>
      </c>
      <c r="AD1085">
        <v>0</v>
      </c>
    </row>
    <row r="1086" spans="1:30" x14ac:dyDescent="0.25">
      <c r="A1086">
        <v>41330</v>
      </c>
      <c r="B1086">
        <v>3099</v>
      </c>
      <c r="C1086">
        <v>1970</v>
      </c>
      <c r="D1086" t="s">
        <v>8</v>
      </c>
      <c r="E1086" t="s">
        <v>6</v>
      </c>
      <c r="F1086" t="s">
        <v>7</v>
      </c>
      <c r="G1086">
        <v>44267</v>
      </c>
      <c r="H1086">
        <v>2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f>SUM(Table1[[#This Row],[Gold Spending]]+Table1[[#This Row],[Sweet Spending]]+Table1[[#This Row],[Fish Spending]]+Table1[[#This Row],[Meat Spending]]+Table1[[#This Row],[Fruits Spending]]+Table1[[#This Row],[Wine Spending ]])</f>
        <v>310</v>
      </c>
      <c r="Q1086">
        <v>5</v>
      </c>
      <c r="R1086">
        <v>5</v>
      </c>
      <c r="S1086">
        <v>2</v>
      </c>
      <c r="T1086">
        <v>4</v>
      </c>
      <c r="U1086">
        <f>SUM(Table1[[#This Row],[Store_Purchases]]+Table1[[#This Row],[Catalog_Purchases]]+Table1[[#This Row],[Web_Purchases]]+Table1[[#This Row],[Deal_Purchases]])</f>
        <v>16</v>
      </c>
      <c r="V1086">
        <v>9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f>SUM(Table1[[#This Row],[Accepted_Campaign_2]]+Table1[[#This Row],[Accepted_Campaign_1]]+Table1[[#This Row],[Accepted_Campaign_5]]+Table1[[#This Row],[Accepted_Campaign_4]]+Table1[[#This Row],[Accepted_Campaign_3]])</f>
        <v>0</v>
      </c>
      <c r="AC1086">
        <v>0</v>
      </c>
      <c r="AD1086">
        <v>0</v>
      </c>
    </row>
    <row r="1087" spans="1:30" x14ac:dyDescent="0.25">
      <c r="A1087">
        <v>41287</v>
      </c>
      <c r="B1087">
        <v>6318</v>
      </c>
      <c r="C1087">
        <v>1988</v>
      </c>
      <c r="D1087" t="s">
        <v>10</v>
      </c>
      <c r="E1087" t="s">
        <v>6</v>
      </c>
      <c r="F1087" t="s">
        <v>11</v>
      </c>
      <c r="G1087">
        <v>68487</v>
      </c>
      <c r="H1087">
        <v>0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f>SUM(Table1[[#This Row],[Gold Spending]]+Table1[[#This Row],[Sweet Spending]]+Table1[[#This Row],[Fish Spending]]+Table1[[#This Row],[Meat Spending]]+Table1[[#This Row],[Fruits Spending]]+Table1[[#This Row],[Wine Spending ]])</f>
        <v>1366</v>
      </c>
      <c r="Q1087">
        <v>1</v>
      </c>
      <c r="R1087">
        <v>9</v>
      </c>
      <c r="S1087">
        <v>7</v>
      </c>
      <c r="T1087">
        <v>13</v>
      </c>
      <c r="U1087">
        <f>SUM(Table1[[#This Row],[Store_Purchases]]+Table1[[#This Row],[Catalog_Purchases]]+Table1[[#This Row],[Web_Purchases]]+Table1[[#This Row],[Deal_Purchases]])</f>
        <v>30</v>
      </c>
      <c r="V1087">
        <v>4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f>SUM(Table1[[#This Row],[Accepted_Campaign_2]]+Table1[[#This Row],[Accepted_Campaign_1]]+Table1[[#This Row],[Accepted_Campaign_5]]+Table1[[#This Row],[Accepted_Campaign_4]]+Table1[[#This Row],[Accepted_Campaign_3]])</f>
        <v>0</v>
      </c>
      <c r="AC1087">
        <v>0</v>
      </c>
      <c r="AD1087">
        <v>0</v>
      </c>
    </row>
    <row r="1088" spans="1:30" x14ac:dyDescent="0.25">
      <c r="A1088">
        <v>41287</v>
      </c>
      <c r="B1088">
        <v>5396</v>
      </c>
      <c r="C1088">
        <v>1988</v>
      </c>
      <c r="D1088" t="s">
        <v>13</v>
      </c>
      <c r="E1088" t="s">
        <v>6</v>
      </c>
      <c r="F1088" t="s">
        <v>11</v>
      </c>
      <c r="G1088">
        <v>68487</v>
      </c>
      <c r="H1088">
        <v>0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f>SUM(Table1[[#This Row],[Gold Spending]]+Table1[[#This Row],[Sweet Spending]]+Table1[[#This Row],[Fish Spending]]+Table1[[#This Row],[Meat Spending]]+Table1[[#This Row],[Fruits Spending]]+Table1[[#This Row],[Wine Spending ]])</f>
        <v>1366</v>
      </c>
      <c r="Q1088">
        <v>1</v>
      </c>
      <c r="R1088">
        <v>9</v>
      </c>
      <c r="S1088">
        <v>7</v>
      </c>
      <c r="T1088">
        <v>13</v>
      </c>
      <c r="U1088">
        <f>SUM(Table1[[#This Row],[Store_Purchases]]+Table1[[#This Row],[Catalog_Purchases]]+Table1[[#This Row],[Web_Purchases]]+Table1[[#This Row],[Deal_Purchases]])</f>
        <v>30</v>
      </c>
      <c r="V1088">
        <v>4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f>SUM(Table1[[#This Row],[Accepted_Campaign_2]]+Table1[[#This Row],[Accepted_Campaign_1]]+Table1[[#This Row],[Accepted_Campaign_5]]+Table1[[#This Row],[Accepted_Campaign_4]]+Table1[[#This Row],[Accepted_Campaign_3]])</f>
        <v>0</v>
      </c>
      <c r="AC1088">
        <v>0</v>
      </c>
      <c r="AD1088">
        <v>0</v>
      </c>
    </row>
    <row r="1089" spans="1:30" x14ac:dyDescent="0.25">
      <c r="A1089">
        <v>41282</v>
      </c>
      <c r="B1089">
        <v>7966</v>
      </c>
      <c r="C1089">
        <v>1959</v>
      </c>
      <c r="D1089" t="s">
        <v>8</v>
      </c>
      <c r="E1089" t="s">
        <v>6</v>
      </c>
      <c r="F1089" t="s">
        <v>9</v>
      </c>
      <c r="G1089">
        <v>80982</v>
      </c>
      <c r="H1089">
        <v>2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f>SUM(Table1[[#This Row],[Gold Spending]]+Table1[[#This Row],[Sweet Spending]]+Table1[[#This Row],[Fish Spending]]+Table1[[#This Row],[Meat Spending]]+Table1[[#This Row],[Fruits Spending]]+Table1[[#This Row],[Wine Spending ]])</f>
        <v>1191</v>
      </c>
      <c r="Q1089">
        <v>3</v>
      </c>
      <c r="R1089">
        <v>11</v>
      </c>
      <c r="S1089">
        <v>5</v>
      </c>
      <c r="T1089">
        <v>11</v>
      </c>
      <c r="U1089">
        <f>SUM(Table1[[#This Row],[Store_Purchases]]+Table1[[#This Row],[Catalog_Purchases]]+Table1[[#This Row],[Web_Purchases]]+Table1[[#This Row],[Deal_Purchases]])</f>
        <v>30</v>
      </c>
      <c r="V1089">
        <v>5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f>SUM(Table1[[#This Row],[Accepted_Campaign_2]]+Table1[[#This Row],[Accepted_Campaign_1]]+Table1[[#This Row],[Accepted_Campaign_5]]+Table1[[#This Row],[Accepted_Campaign_4]]+Table1[[#This Row],[Accepted_Campaign_3]])</f>
        <v>0</v>
      </c>
      <c r="AC1089">
        <v>0</v>
      </c>
      <c r="AD1089">
        <v>1</v>
      </c>
    </row>
    <row r="1090" spans="1:30" x14ac:dyDescent="0.25">
      <c r="A1090">
        <v>41227</v>
      </c>
      <c r="B1090">
        <v>454</v>
      </c>
      <c r="C1090">
        <v>1980</v>
      </c>
      <c r="D1090" t="s">
        <v>20</v>
      </c>
      <c r="E1090" t="s">
        <v>6</v>
      </c>
      <c r="F1090" t="s">
        <v>12</v>
      </c>
      <c r="G1090">
        <v>69508</v>
      </c>
      <c r="H1090">
        <v>1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f>SUM(Table1[[#This Row],[Gold Spending]]+Table1[[#This Row],[Sweet Spending]]+Table1[[#This Row],[Fish Spending]]+Table1[[#This Row],[Meat Spending]]+Table1[[#This Row],[Fruits Spending]]+Table1[[#This Row],[Wine Spending ]])</f>
        <v>1135</v>
      </c>
      <c r="Q1090">
        <v>2</v>
      </c>
      <c r="R1090">
        <v>11</v>
      </c>
      <c r="S1090">
        <v>4</v>
      </c>
      <c r="T1090">
        <v>11</v>
      </c>
      <c r="U1090">
        <f>SUM(Table1[[#This Row],[Store_Purchases]]+Table1[[#This Row],[Catalog_Purchases]]+Table1[[#This Row],[Web_Purchases]]+Table1[[#This Row],[Deal_Purchases]])</f>
        <v>28</v>
      </c>
      <c r="V1090">
        <v>6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f>SUM(Table1[[#This Row],[Accepted_Campaign_2]]+Table1[[#This Row],[Accepted_Campaign_1]]+Table1[[#This Row],[Accepted_Campaign_5]]+Table1[[#This Row],[Accepted_Campaign_4]]+Table1[[#This Row],[Accepted_Campaign_3]])</f>
        <v>0</v>
      </c>
      <c r="AC1090">
        <v>0</v>
      </c>
      <c r="AD1090">
        <v>0</v>
      </c>
    </row>
    <row r="1091" spans="1:30" x14ac:dyDescent="0.25">
      <c r="A1091">
        <v>41198</v>
      </c>
      <c r="B1091">
        <v>309</v>
      </c>
      <c r="C1091">
        <v>1961</v>
      </c>
      <c r="D1091" t="s">
        <v>20</v>
      </c>
      <c r="E1091" t="s">
        <v>14</v>
      </c>
      <c r="F1091" t="s">
        <v>12</v>
      </c>
      <c r="G1091">
        <v>63342</v>
      </c>
      <c r="H1091">
        <v>1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f>SUM(Table1[[#This Row],[Gold Spending]]+Table1[[#This Row],[Sweet Spending]]+Table1[[#This Row],[Fish Spending]]+Table1[[#This Row],[Meat Spending]]+Table1[[#This Row],[Fruits Spending]]+Table1[[#This Row],[Wine Spending ]])</f>
        <v>1101</v>
      </c>
      <c r="Q1091">
        <v>3</v>
      </c>
      <c r="R1091">
        <v>8</v>
      </c>
      <c r="S1091">
        <v>3</v>
      </c>
      <c r="T1091">
        <v>5</v>
      </c>
      <c r="U1091">
        <f>SUM(Table1[[#This Row],[Store_Purchases]]+Table1[[#This Row],[Catalog_Purchases]]+Table1[[#This Row],[Web_Purchases]]+Table1[[#This Row],[Deal_Purchases]])</f>
        <v>19</v>
      </c>
      <c r="V1091">
        <v>6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f>SUM(Table1[[#This Row],[Accepted_Campaign_2]]+Table1[[#This Row],[Accepted_Campaign_1]]+Table1[[#This Row],[Accepted_Campaign_5]]+Table1[[#This Row],[Accepted_Campaign_4]]+Table1[[#This Row],[Accepted_Campaign_3]])</f>
        <v>1</v>
      </c>
      <c r="AC1091">
        <v>0</v>
      </c>
      <c r="AD1091">
        <v>0</v>
      </c>
    </row>
    <row r="1092" spans="1:30" x14ac:dyDescent="0.25">
      <c r="A1092">
        <v>41198</v>
      </c>
      <c r="B1092">
        <v>3571</v>
      </c>
      <c r="C1092">
        <v>1961</v>
      </c>
      <c r="D1092" t="s">
        <v>8</v>
      </c>
      <c r="E1092" t="s">
        <v>14</v>
      </c>
      <c r="F1092" t="s">
        <v>12</v>
      </c>
      <c r="G1092">
        <v>63342</v>
      </c>
      <c r="H1092">
        <v>1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f>SUM(Table1[[#This Row],[Gold Spending]]+Table1[[#This Row],[Sweet Spending]]+Table1[[#This Row],[Fish Spending]]+Table1[[#This Row],[Meat Spending]]+Table1[[#This Row],[Fruits Spending]]+Table1[[#This Row],[Wine Spending ]])</f>
        <v>1101</v>
      </c>
      <c r="Q1092">
        <v>3</v>
      </c>
      <c r="R1092">
        <v>8</v>
      </c>
      <c r="S1092">
        <v>3</v>
      </c>
      <c r="T1092">
        <v>5</v>
      </c>
      <c r="U1092">
        <f>SUM(Table1[[#This Row],[Store_Purchases]]+Table1[[#This Row],[Catalog_Purchases]]+Table1[[#This Row],[Web_Purchases]]+Table1[[#This Row],[Deal_Purchases]])</f>
        <v>19</v>
      </c>
      <c r="V1092">
        <v>6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f>SUM(Table1[[#This Row],[Accepted_Campaign_2]]+Table1[[#This Row],[Accepted_Campaign_1]]+Table1[[#This Row],[Accepted_Campaign_5]]+Table1[[#This Row],[Accepted_Campaign_4]]+Table1[[#This Row],[Accepted_Campaign_3]])</f>
        <v>1</v>
      </c>
      <c r="AC1092">
        <v>1</v>
      </c>
      <c r="AD1092">
        <v>0</v>
      </c>
    </row>
    <row r="1093" spans="1:30" x14ac:dyDescent="0.25">
      <c r="A1093">
        <v>41141</v>
      </c>
      <c r="B1093">
        <v>8395</v>
      </c>
      <c r="C1093">
        <v>1961</v>
      </c>
      <c r="D1093" t="s">
        <v>20</v>
      </c>
      <c r="E1093" t="s">
        <v>6</v>
      </c>
      <c r="F1093" t="s">
        <v>9</v>
      </c>
      <c r="G1093">
        <v>82014</v>
      </c>
      <c r="H1093">
        <v>0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f>SUM(Table1[[#This Row],[Gold Spending]]+Table1[[#This Row],[Sweet Spending]]+Table1[[#This Row],[Fish Spending]]+Table1[[#This Row],[Meat Spending]]+Table1[[#This Row],[Fruits Spending]]+Table1[[#This Row],[Wine Spending ]])</f>
        <v>1511</v>
      </c>
      <c r="Q1093">
        <v>1</v>
      </c>
      <c r="R1093">
        <v>3</v>
      </c>
      <c r="S1093">
        <v>6</v>
      </c>
      <c r="T1093">
        <v>12</v>
      </c>
      <c r="U1093">
        <f>SUM(Table1[[#This Row],[Store_Purchases]]+Table1[[#This Row],[Catalog_Purchases]]+Table1[[#This Row],[Web_Purchases]]+Table1[[#This Row],[Deal_Purchases]])</f>
        <v>22</v>
      </c>
      <c r="V1093">
        <v>6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f>SUM(Table1[[#This Row],[Accepted_Campaign_2]]+Table1[[#This Row],[Accepted_Campaign_1]]+Table1[[#This Row],[Accepted_Campaign_5]]+Table1[[#This Row],[Accepted_Campaign_4]]+Table1[[#This Row],[Accepted_Campaign_3]])</f>
        <v>0</v>
      </c>
      <c r="AC1093">
        <v>1</v>
      </c>
      <c r="AD1093">
        <v>0</v>
      </c>
    </row>
    <row r="1094" spans="1:30" x14ac:dyDescent="0.25">
      <c r="A1094">
        <v>41812</v>
      </c>
      <c r="B1094">
        <v>2591</v>
      </c>
      <c r="C1094">
        <v>1959</v>
      </c>
      <c r="D1094" t="s">
        <v>63</v>
      </c>
      <c r="E1094" t="s">
        <v>6</v>
      </c>
      <c r="F1094" t="s">
        <v>19</v>
      </c>
      <c r="G1094">
        <v>76320</v>
      </c>
      <c r="H1094">
        <v>1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f>SUM(Table1[[#This Row],[Gold Spending]]+Table1[[#This Row],[Sweet Spending]]+Table1[[#This Row],[Fish Spending]]+Table1[[#This Row],[Meat Spending]]+Table1[[#This Row],[Fruits Spending]]+Table1[[#This Row],[Wine Spending ]])</f>
        <v>932</v>
      </c>
      <c r="Q1094">
        <v>2</v>
      </c>
      <c r="R1094">
        <v>6</v>
      </c>
      <c r="S1094">
        <v>3</v>
      </c>
      <c r="T1094">
        <v>4</v>
      </c>
      <c r="U1094">
        <f>SUM(Table1[[#This Row],[Store_Purchases]]+Table1[[#This Row],[Catalog_Purchases]]+Table1[[#This Row],[Web_Purchases]]+Table1[[#This Row],[Deal_Purchases]])</f>
        <v>15</v>
      </c>
      <c r="V1094">
        <v>2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f>SUM(Table1[[#This Row],[Accepted_Campaign_2]]+Table1[[#This Row],[Accepted_Campaign_1]]+Table1[[#This Row],[Accepted_Campaign_5]]+Table1[[#This Row],[Accepted_Campaign_4]]+Table1[[#This Row],[Accepted_Campaign_3]])</f>
        <v>0</v>
      </c>
      <c r="AC1094">
        <v>0</v>
      </c>
      <c r="AD1094">
        <v>0</v>
      </c>
    </row>
    <row r="1095" spans="1:30" x14ac:dyDescent="0.25">
      <c r="A1095">
        <v>41812</v>
      </c>
      <c r="B1095">
        <v>1640</v>
      </c>
      <c r="C1095">
        <v>1954</v>
      </c>
      <c r="D1095" t="s">
        <v>8</v>
      </c>
      <c r="E1095" t="s">
        <v>6</v>
      </c>
      <c r="F1095" t="s">
        <v>7</v>
      </c>
      <c r="G1095">
        <v>64587</v>
      </c>
      <c r="H1095">
        <v>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f>SUM(Table1[[#This Row],[Gold Spending]]+Table1[[#This Row],[Sweet Spending]]+Table1[[#This Row],[Fish Spending]]+Table1[[#This Row],[Meat Spending]]+Table1[[#This Row],[Fruits Spending]]+Table1[[#This Row],[Wine Spending ]])</f>
        <v>108</v>
      </c>
      <c r="Q1095">
        <v>2</v>
      </c>
      <c r="R1095">
        <v>1</v>
      </c>
      <c r="S1095">
        <v>1</v>
      </c>
      <c r="T1095">
        <v>4</v>
      </c>
      <c r="U1095">
        <f>SUM(Table1[[#This Row],[Store_Purchases]]+Table1[[#This Row],[Catalog_Purchases]]+Table1[[#This Row],[Web_Purchases]]+Table1[[#This Row],[Deal_Purchases]])</f>
        <v>8</v>
      </c>
      <c r="V1095">
        <v>3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f>SUM(Table1[[#This Row],[Accepted_Campaign_2]]+Table1[[#This Row],[Accepted_Campaign_1]]+Table1[[#This Row],[Accepted_Campaign_5]]+Table1[[#This Row],[Accepted_Campaign_4]]+Table1[[#This Row],[Accepted_Campaign_3]])</f>
        <v>0</v>
      </c>
      <c r="AC1095">
        <v>0</v>
      </c>
      <c r="AD1095">
        <v>0</v>
      </c>
    </row>
    <row r="1096" spans="1:30" x14ac:dyDescent="0.25">
      <c r="A1096">
        <v>41771</v>
      </c>
      <c r="B1096">
        <v>810</v>
      </c>
      <c r="C1096">
        <v>1975</v>
      </c>
      <c r="D1096" t="s">
        <v>8</v>
      </c>
      <c r="E1096" t="s">
        <v>6</v>
      </c>
      <c r="F1096" t="s">
        <v>11</v>
      </c>
      <c r="G1096">
        <v>74190</v>
      </c>
      <c r="H1096">
        <v>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f>SUM(Table1[[#This Row],[Gold Spending]]+Table1[[#This Row],[Sweet Spending]]+Table1[[#This Row],[Fish Spending]]+Table1[[#This Row],[Meat Spending]]+Table1[[#This Row],[Fruits Spending]]+Table1[[#This Row],[Wine Spending ]])</f>
        <v>641</v>
      </c>
      <c r="Q1096">
        <v>2</v>
      </c>
      <c r="R1096">
        <v>4</v>
      </c>
      <c r="S1096">
        <v>2</v>
      </c>
      <c r="T1096">
        <v>11</v>
      </c>
      <c r="U1096">
        <f>SUM(Table1[[#This Row],[Store_Purchases]]+Table1[[#This Row],[Catalog_Purchases]]+Table1[[#This Row],[Web_Purchases]]+Table1[[#This Row],[Deal_Purchases]])</f>
        <v>19</v>
      </c>
      <c r="V1096">
        <v>2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f>SUM(Table1[[#This Row],[Accepted_Campaign_2]]+Table1[[#This Row],[Accepted_Campaign_1]]+Table1[[#This Row],[Accepted_Campaign_5]]+Table1[[#This Row],[Accepted_Campaign_4]]+Table1[[#This Row],[Accepted_Campaign_3]])</f>
        <v>0</v>
      </c>
      <c r="AC1096">
        <v>0</v>
      </c>
      <c r="AD1096">
        <v>0</v>
      </c>
    </row>
    <row r="1097" spans="1:30" x14ac:dyDescent="0.25">
      <c r="A1097">
        <v>41693</v>
      </c>
      <c r="B1097">
        <v>9423</v>
      </c>
      <c r="C1097">
        <v>1979</v>
      </c>
      <c r="D1097" t="s">
        <v>8</v>
      </c>
      <c r="E1097" t="s">
        <v>18</v>
      </c>
      <c r="F1097" t="s">
        <v>11</v>
      </c>
      <c r="G1097">
        <v>32765</v>
      </c>
      <c r="H1097">
        <v>1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1097">
        <v>2</v>
      </c>
      <c r="R1097">
        <v>2</v>
      </c>
      <c r="S1097">
        <v>0</v>
      </c>
      <c r="T1097">
        <v>4</v>
      </c>
      <c r="U1097">
        <f>SUM(Table1[[#This Row],[Store_Purchases]]+Table1[[#This Row],[Catalog_Purchases]]+Table1[[#This Row],[Web_Purchases]]+Table1[[#This Row],[Deal_Purchases]])</f>
        <v>8</v>
      </c>
      <c r="V1097">
        <v>5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f>SUM(Table1[[#This Row],[Accepted_Campaign_2]]+Table1[[#This Row],[Accepted_Campaign_1]]+Table1[[#This Row],[Accepted_Campaign_5]]+Table1[[#This Row],[Accepted_Campaign_4]]+Table1[[#This Row],[Accepted_Campaign_3]])</f>
        <v>0</v>
      </c>
      <c r="AC1097">
        <v>0</v>
      </c>
      <c r="AD1097">
        <v>0</v>
      </c>
    </row>
    <row r="1098" spans="1:30" x14ac:dyDescent="0.25">
      <c r="A1098">
        <v>41651</v>
      </c>
      <c r="B1098">
        <v>4345</v>
      </c>
      <c r="C1098">
        <v>1964</v>
      </c>
      <c r="D1098" t="s">
        <v>13</v>
      </c>
      <c r="E1098" t="s">
        <v>15</v>
      </c>
      <c r="F1098" t="s">
        <v>9</v>
      </c>
      <c r="G1098">
        <v>53790.45</v>
      </c>
      <c r="H1098">
        <v>2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f>SUM(Table1[[#This Row],[Gold Spending]]+Table1[[#This Row],[Sweet Spending]]+Table1[[#This Row],[Fish Spending]]+Table1[[#This Row],[Meat Spending]]+Table1[[#This Row],[Fruits Spending]]+Table1[[#This Row],[Wine Spending ]])</f>
        <v>21</v>
      </c>
      <c r="Q1098">
        <v>1</v>
      </c>
      <c r="R1098">
        <v>1</v>
      </c>
      <c r="S1098">
        <v>0</v>
      </c>
      <c r="T1098">
        <v>2</v>
      </c>
      <c r="U1098">
        <f>SUM(Table1[[#This Row],[Store_Purchases]]+Table1[[#This Row],[Catalog_Purchases]]+Table1[[#This Row],[Web_Purchases]]+Table1[[#This Row],[Deal_Purchases]])</f>
        <v>4</v>
      </c>
      <c r="V1098">
        <v>7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f>SUM(Table1[[#This Row],[Accepted_Campaign_2]]+Table1[[#This Row],[Accepted_Campaign_1]]+Table1[[#This Row],[Accepted_Campaign_5]]+Table1[[#This Row],[Accepted_Campaign_4]]+Table1[[#This Row],[Accepted_Campaign_3]])</f>
        <v>0</v>
      </c>
      <c r="AC1098">
        <v>0</v>
      </c>
      <c r="AD1098">
        <v>0</v>
      </c>
    </row>
    <row r="1099" spans="1:30" x14ac:dyDescent="0.25">
      <c r="A1099">
        <v>41617</v>
      </c>
      <c r="B1099">
        <v>89</v>
      </c>
      <c r="C1099">
        <v>1975</v>
      </c>
      <c r="D1099" t="s">
        <v>20</v>
      </c>
      <c r="E1099" t="s">
        <v>15</v>
      </c>
      <c r="F1099" t="s">
        <v>11</v>
      </c>
      <c r="G1099">
        <v>22212</v>
      </c>
      <c r="H1099">
        <v>1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f>SUM(Table1[[#This Row],[Gold Spending]]+Table1[[#This Row],[Sweet Spending]]+Table1[[#This Row],[Fish Spending]]+Table1[[#This Row],[Meat Spending]]+Table1[[#This Row],[Fruits Spending]]+Table1[[#This Row],[Wine Spending ]])</f>
        <v>69</v>
      </c>
      <c r="Q1099">
        <v>2</v>
      </c>
      <c r="R1099">
        <v>2</v>
      </c>
      <c r="S1099">
        <v>0</v>
      </c>
      <c r="T1099">
        <v>4</v>
      </c>
      <c r="U1099">
        <f>SUM(Table1[[#This Row],[Store_Purchases]]+Table1[[#This Row],[Catalog_Purchases]]+Table1[[#This Row],[Web_Purchases]]+Table1[[#This Row],[Deal_Purchases]])</f>
        <v>8</v>
      </c>
      <c r="V1099">
        <v>6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f>SUM(Table1[[#This Row],[Accepted_Campaign_2]]+Table1[[#This Row],[Accepted_Campaign_1]]+Table1[[#This Row],[Accepted_Campaign_5]]+Table1[[#This Row],[Accepted_Campaign_4]]+Table1[[#This Row],[Accepted_Campaign_3]])</f>
        <v>0</v>
      </c>
      <c r="AC1099">
        <v>0</v>
      </c>
      <c r="AD1099">
        <v>0</v>
      </c>
    </row>
    <row r="1100" spans="1:30" x14ac:dyDescent="0.25">
      <c r="A1100">
        <v>41598</v>
      </c>
      <c r="B1100">
        <v>5294</v>
      </c>
      <c r="C1100">
        <v>1989</v>
      </c>
      <c r="D1100" t="s">
        <v>8</v>
      </c>
      <c r="E1100" t="s">
        <v>6</v>
      </c>
      <c r="F1100" t="s">
        <v>9</v>
      </c>
      <c r="G1100">
        <v>18358</v>
      </c>
      <c r="H1100">
        <v>1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1100">
        <v>3</v>
      </c>
      <c r="R1100">
        <v>3</v>
      </c>
      <c r="S1100">
        <v>0</v>
      </c>
      <c r="T1100">
        <v>4</v>
      </c>
      <c r="U1100">
        <f>SUM(Table1[[#This Row],[Store_Purchases]]+Table1[[#This Row],[Catalog_Purchases]]+Table1[[#This Row],[Web_Purchases]]+Table1[[#This Row],[Deal_Purchases]])</f>
        <v>10</v>
      </c>
      <c r="V1100">
        <v>7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f>SUM(Table1[[#This Row],[Accepted_Campaign_2]]+Table1[[#This Row],[Accepted_Campaign_1]]+Table1[[#This Row],[Accepted_Campaign_5]]+Table1[[#This Row],[Accepted_Campaign_4]]+Table1[[#This Row],[Accepted_Campaign_3]])</f>
        <v>0</v>
      </c>
      <c r="AC1100">
        <v>0</v>
      </c>
      <c r="AD1100">
        <v>0</v>
      </c>
    </row>
    <row r="1101" spans="1:30" x14ac:dyDescent="0.25">
      <c r="A1101">
        <v>41582</v>
      </c>
      <c r="B1101">
        <v>1321</v>
      </c>
      <c r="C1101">
        <v>1974</v>
      </c>
      <c r="D1101" t="s">
        <v>10</v>
      </c>
      <c r="E1101" t="s">
        <v>6</v>
      </c>
      <c r="F1101" t="s">
        <v>11</v>
      </c>
      <c r="G1101">
        <v>26067</v>
      </c>
      <c r="H1101">
        <v>1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f>SUM(Table1[[#This Row],[Gold Spending]]+Table1[[#This Row],[Sweet Spending]]+Table1[[#This Row],[Fish Spending]]+Table1[[#This Row],[Meat Spending]]+Table1[[#This Row],[Fruits Spending]]+Table1[[#This Row],[Wine Spending ]])</f>
        <v>56</v>
      </c>
      <c r="Q1101">
        <v>3</v>
      </c>
      <c r="R1101">
        <v>3</v>
      </c>
      <c r="S1101">
        <v>0</v>
      </c>
      <c r="T1101">
        <v>3</v>
      </c>
      <c r="U1101">
        <f>SUM(Table1[[#This Row],[Store_Purchases]]+Table1[[#This Row],[Catalog_Purchases]]+Table1[[#This Row],[Web_Purchases]]+Table1[[#This Row],[Deal_Purchases]])</f>
        <v>9</v>
      </c>
      <c r="V1101">
        <v>8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f>SUM(Table1[[#This Row],[Accepted_Campaign_2]]+Table1[[#This Row],[Accepted_Campaign_1]]+Table1[[#This Row],[Accepted_Campaign_5]]+Table1[[#This Row],[Accepted_Campaign_4]]+Table1[[#This Row],[Accepted_Campaign_3]])</f>
        <v>0</v>
      </c>
      <c r="AC1101">
        <v>0</v>
      </c>
      <c r="AD1101">
        <v>0</v>
      </c>
    </row>
    <row r="1102" spans="1:30" x14ac:dyDescent="0.25">
      <c r="A1102">
        <v>41568</v>
      </c>
      <c r="B1102">
        <v>2686</v>
      </c>
      <c r="C1102">
        <v>1969</v>
      </c>
      <c r="D1102" t="s">
        <v>13</v>
      </c>
      <c r="E1102" t="s">
        <v>21</v>
      </c>
      <c r="F1102" t="s">
        <v>12</v>
      </c>
      <c r="G1102">
        <v>22390</v>
      </c>
      <c r="H1102">
        <v>0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f>SUM(Table1[[#This Row],[Gold Spending]]+Table1[[#This Row],[Sweet Spending]]+Table1[[#This Row],[Fish Spending]]+Table1[[#This Row],[Meat Spending]]+Table1[[#This Row],[Fruits Spending]]+Table1[[#This Row],[Wine Spending ]])</f>
        <v>26</v>
      </c>
      <c r="Q1102">
        <v>1</v>
      </c>
      <c r="R1102">
        <v>1</v>
      </c>
      <c r="S1102">
        <v>0</v>
      </c>
      <c r="T1102">
        <v>2</v>
      </c>
      <c r="U1102">
        <f>SUM(Table1[[#This Row],[Store_Purchases]]+Table1[[#This Row],[Catalog_Purchases]]+Table1[[#This Row],[Web_Purchases]]+Table1[[#This Row],[Deal_Purchases]])</f>
        <v>4</v>
      </c>
      <c r="V1102">
        <v>7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f>SUM(Table1[[#This Row],[Accepted_Campaign_2]]+Table1[[#This Row],[Accepted_Campaign_1]]+Table1[[#This Row],[Accepted_Campaign_5]]+Table1[[#This Row],[Accepted_Campaign_4]]+Table1[[#This Row],[Accepted_Campaign_3]])</f>
        <v>0</v>
      </c>
      <c r="AC1102">
        <v>0</v>
      </c>
      <c r="AD1102">
        <v>0</v>
      </c>
    </row>
    <row r="1103" spans="1:30" x14ac:dyDescent="0.25">
      <c r="A1103">
        <v>41555</v>
      </c>
      <c r="B1103">
        <v>1215</v>
      </c>
      <c r="C1103">
        <v>1978</v>
      </c>
      <c r="D1103" t="s">
        <v>8</v>
      </c>
      <c r="E1103" t="s">
        <v>6</v>
      </c>
      <c r="F1103" t="s">
        <v>12</v>
      </c>
      <c r="G1103">
        <v>70440</v>
      </c>
      <c r="H1103">
        <v>0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f>SUM(Table1[[#This Row],[Gold Spending]]+Table1[[#This Row],[Sweet Spending]]+Table1[[#This Row],[Fish Spending]]+Table1[[#This Row],[Meat Spending]]+Table1[[#This Row],[Fruits Spending]]+Table1[[#This Row],[Wine Spending ]])</f>
        <v>1572</v>
      </c>
      <c r="Q1103">
        <v>1</v>
      </c>
      <c r="R1103">
        <v>5</v>
      </c>
      <c r="S1103">
        <v>10</v>
      </c>
      <c r="T1103">
        <v>7</v>
      </c>
      <c r="U1103">
        <f>SUM(Table1[[#This Row],[Store_Purchases]]+Table1[[#This Row],[Catalog_Purchases]]+Table1[[#This Row],[Web_Purchases]]+Table1[[#This Row],[Deal_Purchases]])</f>
        <v>23</v>
      </c>
      <c r="V1103">
        <v>3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f>SUM(Table1[[#This Row],[Accepted_Campaign_2]]+Table1[[#This Row],[Accepted_Campaign_1]]+Table1[[#This Row],[Accepted_Campaign_5]]+Table1[[#This Row],[Accepted_Campaign_4]]+Table1[[#This Row],[Accepted_Campaign_3]])</f>
        <v>1</v>
      </c>
      <c r="AC1103">
        <v>0</v>
      </c>
      <c r="AD1103">
        <v>0</v>
      </c>
    </row>
    <row r="1104" spans="1:30" x14ac:dyDescent="0.25">
      <c r="A1104">
        <v>41529</v>
      </c>
      <c r="B1104">
        <v>9283</v>
      </c>
      <c r="C1104">
        <v>1978</v>
      </c>
      <c r="D1104" t="s">
        <v>10</v>
      </c>
      <c r="E1104" t="s">
        <v>6</v>
      </c>
      <c r="F1104" t="s">
        <v>9</v>
      </c>
      <c r="G1104">
        <v>60199</v>
      </c>
      <c r="H1104">
        <v>3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f>SUM(Table1[[#This Row],[Gold Spending]]+Table1[[#This Row],[Sweet Spending]]+Table1[[#This Row],[Fish Spending]]+Table1[[#This Row],[Meat Spending]]+Table1[[#This Row],[Fruits Spending]]+Table1[[#This Row],[Wine Spending ]])</f>
        <v>18</v>
      </c>
      <c r="Q1104">
        <v>1</v>
      </c>
      <c r="R1104">
        <v>0</v>
      </c>
      <c r="S1104">
        <v>0</v>
      </c>
      <c r="T1104">
        <v>3</v>
      </c>
      <c r="U1104">
        <f>SUM(Table1[[#This Row],[Store_Purchases]]+Table1[[#This Row],[Catalog_Purchases]]+Table1[[#This Row],[Web_Purchases]]+Table1[[#This Row],[Deal_Purchases]])</f>
        <v>4</v>
      </c>
      <c r="V1104">
        <v>4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f>SUM(Table1[[#This Row],[Accepted_Campaign_2]]+Table1[[#This Row],[Accepted_Campaign_1]]+Table1[[#This Row],[Accepted_Campaign_5]]+Table1[[#This Row],[Accepted_Campaign_4]]+Table1[[#This Row],[Accepted_Campaign_3]])</f>
        <v>0</v>
      </c>
      <c r="AC1104">
        <v>0</v>
      </c>
      <c r="AD1104">
        <v>0</v>
      </c>
    </row>
    <row r="1105" spans="1:30" x14ac:dyDescent="0.25">
      <c r="A1105">
        <v>41514</v>
      </c>
      <c r="B1105">
        <v>3120</v>
      </c>
      <c r="C1105">
        <v>1981</v>
      </c>
      <c r="D1105" t="s">
        <v>10</v>
      </c>
      <c r="E1105" t="s">
        <v>6</v>
      </c>
      <c r="F1105" t="s">
        <v>12</v>
      </c>
      <c r="G1105">
        <v>38547</v>
      </c>
      <c r="H1105">
        <v>1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1105">
        <v>1</v>
      </c>
      <c r="R1105">
        <v>1</v>
      </c>
      <c r="S1105">
        <v>0</v>
      </c>
      <c r="T1105">
        <v>2</v>
      </c>
      <c r="U1105">
        <f>SUM(Table1[[#This Row],[Store_Purchases]]+Table1[[#This Row],[Catalog_Purchases]]+Table1[[#This Row],[Web_Purchases]]+Table1[[#This Row],[Deal_Purchases]])</f>
        <v>4</v>
      </c>
      <c r="V1105">
        <v>8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f>SUM(Table1[[#This Row],[Accepted_Campaign_2]]+Table1[[#This Row],[Accepted_Campaign_1]]+Table1[[#This Row],[Accepted_Campaign_5]]+Table1[[#This Row],[Accepted_Campaign_4]]+Table1[[#This Row],[Accepted_Campaign_3]])</f>
        <v>0</v>
      </c>
      <c r="AC1105">
        <v>0</v>
      </c>
      <c r="AD1105">
        <v>1</v>
      </c>
    </row>
    <row r="1106" spans="1:30" x14ac:dyDescent="0.25">
      <c r="A1106">
        <v>41508</v>
      </c>
      <c r="B1106">
        <v>5868</v>
      </c>
      <c r="C1106">
        <v>1980</v>
      </c>
      <c r="D1106" t="s">
        <v>10</v>
      </c>
      <c r="E1106" t="s">
        <v>6</v>
      </c>
      <c r="F1106" t="s">
        <v>11</v>
      </c>
      <c r="G1106">
        <v>19107</v>
      </c>
      <c r="H1106">
        <v>1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1106">
        <v>2</v>
      </c>
      <c r="R1106">
        <v>1</v>
      </c>
      <c r="S1106">
        <v>0</v>
      </c>
      <c r="T1106">
        <v>3</v>
      </c>
      <c r="U1106">
        <f>SUM(Table1[[#This Row],[Store_Purchases]]+Table1[[#This Row],[Catalog_Purchases]]+Table1[[#This Row],[Web_Purchases]]+Table1[[#This Row],[Deal_Purchases]])</f>
        <v>6</v>
      </c>
      <c r="V1106">
        <v>7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f>SUM(Table1[[#This Row],[Accepted_Campaign_2]]+Table1[[#This Row],[Accepted_Campaign_1]]+Table1[[#This Row],[Accepted_Campaign_5]]+Table1[[#This Row],[Accepted_Campaign_4]]+Table1[[#This Row],[Accepted_Campaign_3]])</f>
        <v>0</v>
      </c>
      <c r="AC1106">
        <v>0</v>
      </c>
      <c r="AD1106">
        <v>0</v>
      </c>
    </row>
    <row r="1107" spans="1:30" x14ac:dyDescent="0.25">
      <c r="A1107">
        <v>41485</v>
      </c>
      <c r="B1107">
        <v>8143</v>
      </c>
      <c r="C1107">
        <v>1985</v>
      </c>
      <c r="D1107" t="s">
        <v>8</v>
      </c>
      <c r="E1107" t="s">
        <v>14</v>
      </c>
      <c r="F1107" t="s">
        <v>9</v>
      </c>
      <c r="G1107">
        <v>37929</v>
      </c>
      <c r="H1107">
        <v>0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f>SUM(Table1[[#This Row],[Gold Spending]]+Table1[[#This Row],[Sweet Spending]]+Table1[[#This Row],[Fish Spending]]+Table1[[#This Row],[Meat Spending]]+Table1[[#This Row],[Fruits Spending]]+Table1[[#This Row],[Wine Spending ]])</f>
        <v>265</v>
      </c>
      <c r="Q1107">
        <v>2</v>
      </c>
      <c r="R1107">
        <v>4</v>
      </c>
      <c r="S1107">
        <v>2</v>
      </c>
      <c r="T1107">
        <v>5</v>
      </c>
      <c r="U1107">
        <f>SUM(Table1[[#This Row],[Store_Purchases]]+Table1[[#This Row],[Catalog_Purchases]]+Table1[[#This Row],[Web_Purchases]]+Table1[[#This Row],[Deal_Purchases]])</f>
        <v>13</v>
      </c>
      <c r="V1107">
        <v>7</v>
      </c>
      <c r="W1107">
        <v>0</v>
      </c>
      <c r="X1107">
        <v>1</v>
      </c>
      <c r="Y1107">
        <v>0</v>
      </c>
      <c r="Z1107">
        <v>1</v>
      </c>
      <c r="AA1107">
        <v>0</v>
      </c>
      <c r="AB1107">
        <f>SUM(Table1[[#This Row],[Accepted_Campaign_2]]+Table1[[#This Row],[Accepted_Campaign_1]]+Table1[[#This Row],[Accepted_Campaign_5]]+Table1[[#This Row],[Accepted_Campaign_4]]+Table1[[#This Row],[Accepted_Campaign_3]])</f>
        <v>2</v>
      </c>
      <c r="AC1107">
        <v>1</v>
      </c>
      <c r="AD1107">
        <v>0</v>
      </c>
    </row>
    <row r="1108" spans="1:30" x14ac:dyDescent="0.25">
      <c r="A1108">
        <v>41474</v>
      </c>
      <c r="B1108">
        <v>3479</v>
      </c>
      <c r="C1108">
        <v>1950</v>
      </c>
      <c r="D1108" t="s">
        <v>10</v>
      </c>
      <c r="E1108" t="s">
        <v>6</v>
      </c>
      <c r="F1108" t="s">
        <v>9</v>
      </c>
      <c r="G1108">
        <v>16813</v>
      </c>
      <c r="H1108">
        <v>0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f>SUM(Table1[[#This Row],[Gold Spending]]+Table1[[#This Row],[Sweet Spending]]+Table1[[#This Row],[Fish Spending]]+Table1[[#This Row],[Meat Spending]]+Table1[[#This Row],[Fruits Spending]]+Table1[[#This Row],[Wine Spending ]])</f>
        <v>50</v>
      </c>
      <c r="Q1108">
        <v>1</v>
      </c>
      <c r="R1108">
        <v>2</v>
      </c>
      <c r="S1108">
        <v>0</v>
      </c>
      <c r="T1108">
        <v>3</v>
      </c>
      <c r="U1108">
        <f>SUM(Table1[[#This Row],[Store_Purchases]]+Table1[[#This Row],[Catalog_Purchases]]+Table1[[#This Row],[Web_Purchases]]+Table1[[#This Row],[Deal_Purchases]])</f>
        <v>6</v>
      </c>
      <c r="V1108">
        <v>7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f>SUM(Table1[[#This Row],[Accepted_Campaign_2]]+Table1[[#This Row],[Accepted_Campaign_1]]+Table1[[#This Row],[Accepted_Campaign_5]]+Table1[[#This Row],[Accepted_Campaign_4]]+Table1[[#This Row],[Accepted_Campaign_3]])</f>
        <v>1</v>
      </c>
      <c r="AC1108">
        <v>0</v>
      </c>
      <c r="AD1108">
        <v>0</v>
      </c>
    </row>
    <row r="1109" spans="1:30" x14ac:dyDescent="0.25">
      <c r="A1109">
        <v>41460</v>
      </c>
      <c r="B1109">
        <v>7214</v>
      </c>
      <c r="C1109">
        <v>1957</v>
      </c>
      <c r="D1109" t="s">
        <v>8</v>
      </c>
      <c r="E1109" t="s">
        <v>6</v>
      </c>
      <c r="F1109" t="s">
        <v>11</v>
      </c>
      <c r="G1109">
        <v>62187</v>
      </c>
      <c r="H1109">
        <v>0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f>SUM(Table1[[#This Row],[Gold Spending]]+Table1[[#This Row],[Sweet Spending]]+Table1[[#This Row],[Fish Spending]]+Table1[[#This Row],[Meat Spending]]+Table1[[#This Row],[Fruits Spending]]+Table1[[#This Row],[Wine Spending ]])</f>
        <v>1283</v>
      </c>
      <c r="Q1109">
        <v>1</v>
      </c>
      <c r="R1109">
        <v>4</v>
      </c>
      <c r="S1109">
        <v>8</v>
      </c>
      <c r="T1109">
        <v>5</v>
      </c>
      <c r="U1109">
        <f>SUM(Table1[[#This Row],[Store_Purchases]]+Table1[[#This Row],[Catalog_Purchases]]+Table1[[#This Row],[Web_Purchases]]+Table1[[#This Row],[Deal_Purchases]])</f>
        <v>18</v>
      </c>
      <c r="V1109">
        <v>3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f>SUM(Table1[[#This Row],[Accepted_Campaign_2]]+Table1[[#This Row],[Accepted_Campaign_1]]+Table1[[#This Row],[Accepted_Campaign_5]]+Table1[[#This Row],[Accepted_Campaign_4]]+Table1[[#This Row],[Accepted_Campaign_3]])</f>
        <v>0</v>
      </c>
      <c r="AC1109">
        <v>0</v>
      </c>
      <c r="AD1109">
        <v>0</v>
      </c>
    </row>
    <row r="1110" spans="1:30" x14ac:dyDescent="0.25">
      <c r="A1110">
        <v>41449</v>
      </c>
      <c r="B1110">
        <v>5543</v>
      </c>
      <c r="C1110">
        <v>1966</v>
      </c>
      <c r="D1110" t="s">
        <v>8</v>
      </c>
      <c r="E1110" t="s">
        <v>6</v>
      </c>
      <c r="F1110" t="s">
        <v>12</v>
      </c>
      <c r="G1110">
        <v>57811</v>
      </c>
      <c r="H1110">
        <v>1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f>SUM(Table1[[#This Row],[Gold Spending]]+Table1[[#This Row],[Sweet Spending]]+Table1[[#This Row],[Fish Spending]]+Table1[[#This Row],[Meat Spending]]+Table1[[#This Row],[Fruits Spending]]+Table1[[#This Row],[Wine Spending ]])</f>
        <v>802</v>
      </c>
      <c r="Q1110">
        <v>5</v>
      </c>
      <c r="R1110">
        <v>7</v>
      </c>
      <c r="S1110">
        <v>2</v>
      </c>
      <c r="T1110">
        <v>11</v>
      </c>
      <c r="U1110">
        <f>SUM(Table1[[#This Row],[Store_Purchases]]+Table1[[#This Row],[Catalog_Purchases]]+Table1[[#This Row],[Web_Purchases]]+Table1[[#This Row],[Deal_Purchases]])</f>
        <v>25</v>
      </c>
      <c r="V1110">
        <v>5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f>SUM(Table1[[#This Row],[Accepted_Campaign_2]]+Table1[[#This Row],[Accepted_Campaign_1]]+Table1[[#This Row],[Accepted_Campaign_5]]+Table1[[#This Row],[Accepted_Campaign_4]]+Table1[[#This Row],[Accepted_Campaign_3]])</f>
        <v>1</v>
      </c>
      <c r="AC1110">
        <v>0</v>
      </c>
      <c r="AD1110">
        <v>0</v>
      </c>
    </row>
    <row r="1111" spans="1:30" x14ac:dyDescent="0.25">
      <c r="A1111">
        <v>41446</v>
      </c>
      <c r="B1111">
        <v>9347</v>
      </c>
      <c r="C1111">
        <v>1956</v>
      </c>
      <c r="D1111" t="s">
        <v>8</v>
      </c>
      <c r="E1111" t="s">
        <v>18</v>
      </c>
      <c r="F1111" t="s">
        <v>12</v>
      </c>
      <c r="G1111">
        <v>50943</v>
      </c>
      <c r="H1111">
        <v>1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1111">
        <v>1</v>
      </c>
      <c r="R1111">
        <v>1</v>
      </c>
      <c r="S1111">
        <v>0</v>
      </c>
      <c r="T1111">
        <v>3</v>
      </c>
      <c r="U1111">
        <f>SUM(Table1[[#This Row],[Store_Purchases]]+Table1[[#This Row],[Catalog_Purchases]]+Table1[[#This Row],[Web_Purchases]]+Table1[[#This Row],[Deal_Purchases]])</f>
        <v>5</v>
      </c>
      <c r="V1111">
        <v>5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f>SUM(Table1[[#This Row],[Accepted_Campaign_2]]+Table1[[#This Row],[Accepted_Campaign_1]]+Table1[[#This Row],[Accepted_Campaign_5]]+Table1[[#This Row],[Accepted_Campaign_4]]+Table1[[#This Row],[Accepted_Campaign_3]])</f>
        <v>0</v>
      </c>
      <c r="AC1111">
        <v>0</v>
      </c>
      <c r="AD1111">
        <v>0</v>
      </c>
    </row>
    <row r="1112" spans="1:30" x14ac:dyDescent="0.25">
      <c r="A1112">
        <v>41446</v>
      </c>
      <c r="B1112">
        <v>10160</v>
      </c>
      <c r="C1112">
        <v>1956</v>
      </c>
      <c r="D1112" t="s">
        <v>8</v>
      </c>
      <c r="E1112" t="s">
        <v>18</v>
      </c>
      <c r="F1112" t="s">
        <v>12</v>
      </c>
      <c r="G1112">
        <v>50943</v>
      </c>
      <c r="H1112">
        <v>1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1112">
        <v>1</v>
      </c>
      <c r="R1112">
        <v>1</v>
      </c>
      <c r="S1112">
        <v>0</v>
      </c>
      <c r="T1112">
        <v>3</v>
      </c>
      <c r="U1112">
        <f>SUM(Table1[[#This Row],[Store_Purchases]]+Table1[[#This Row],[Catalog_Purchases]]+Table1[[#This Row],[Web_Purchases]]+Table1[[#This Row],[Deal_Purchases]])</f>
        <v>5</v>
      </c>
      <c r="V1112">
        <v>5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f>SUM(Table1[[#This Row],[Accepted_Campaign_2]]+Table1[[#This Row],[Accepted_Campaign_1]]+Table1[[#This Row],[Accepted_Campaign_5]]+Table1[[#This Row],[Accepted_Campaign_4]]+Table1[[#This Row],[Accepted_Campaign_3]])</f>
        <v>0</v>
      </c>
      <c r="AC1112">
        <v>0</v>
      </c>
      <c r="AD1112">
        <v>0</v>
      </c>
    </row>
    <row r="1113" spans="1:30" x14ac:dyDescent="0.25">
      <c r="A1113">
        <v>41317</v>
      </c>
      <c r="B1113">
        <v>1406</v>
      </c>
      <c r="C1113">
        <v>1975</v>
      </c>
      <c r="D1113" t="s">
        <v>8</v>
      </c>
      <c r="E1113" t="s">
        <v>6</v>
      </c>
      <c r="F1113" t="s">
        <v>9</v>
      </c>
      <c r="G1113">
        <v>53201</v>
      </c>
      <c r="H1113">
        <v>2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f>SUM(Table1[[#This Row],[Gold Spending]]+Table1[[#This Row],[Sweet Spending]]+Table1[[#This Row],[Fish Spending]]+Table1[[#This Row],[Meat Spending]]+Table1[[#This Row],[Fruits Spending]]+Table1[[#This Row],[Wine Spending ]])</f>
        <v>415</v>
      </c>
      <c r="Q1113">
        <v>8</v>
      </c>
      <c r="R1113">
        <v>6</v>
      </c>
      <c r="S1113">
        <v>3</v>
      </c>
      <c r="T1113">
        <v>5</v>
      </c>
      <c r="U1113">
        <f>SUM(Table1[[#This Row],[Store_Purchases]]+Table1[[#This Row],[Catalog_Purchases]]+Table1[[#This Row],[Web_Purchases]]+Table1[[#This Row],[Deal_Purchases]])</f>
        <v>22</v>
      </c>
      <c r="V1113">
        <v>7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f>SUM(Table1[[#This Row],[Accepted_Campaign_2]]+Table1[[#This Row],[Accepted_Campaign_1]]+Table1[[#This Row],[Accepted_Campaign_5]]+Table1[[#This Row],[Accepted_Campaign_4]]+Table1[[#This Row],[Accepted_Campaign_3]])</f>
        <v>0</v>
      </c>
      <c r="AC1113">
        <v>0</v>
      </c>
      <c r="AD1113">
        <v>0</v>
      </c>
    </row>
    <row r="1114" spans="1:30" x14ac:dyDescent="0.25">
      <c r="A1114">
        <v>41297</v>
      </c>
      <c r="B1114">
        <v>7019</v>
      </c>
      <c r="C1114">
        <v>1963</v>
      </c>
      <c r="D1114" t="s">
        <v>20</v>
      </c>
      <c r="E1114" t="s">
        <v>6</v>
      </c>
      <c r="F1114" t="s">
        <v>12</v>
      </c>
      <c r="G1114">
        <v>54414</v>
      </c>
      <c r="H1114">
        <v>2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f>SUM(Table1[[#This Row],[Gold Spending]]+Table1[[#This Row],[Sweet Spending]]+Table1[[#This Row],[Fish Spending]]+Table1[[#This Row],[Meat Spending]]+Table1[[#This Row],[Fruits Spending]]+Table1[[#This Row],[Wine Spending ]])</f>
        <v>211</v>
      </c>
      <c r="Q1114">
        <v>4</v>
      </c>
      <c r="R1114">
        <v>3</v>
      </c>
      <c r="S1114">
        <v>1</v>
      </c>
      <c r="T1114">
        <v>5</v>
      </c>
      <c r="U1114">
        <f>SUM(Table1[[#This Row],[Store_Purchases]]+Table1[[#This Row],[Catalog_Purchases]]+Table1[[#This Row],[Web_Purchases]]+Table1[[#This Row],[Deal_Purchases]])</f>
        <v>13</v>
      </c>
      <c r="V1114">
        <v>4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f>SUM(Table1[[#This Row],[Accepted_Campaign_2]]+Table1[[#This Row],[Accepted_Campaign_1]]+Table1[[#This Row],[Accepted_Campaign_5]]+Table1[[#This Row],[Accepted_Campaign_4]]+Table1[[#This Row],[Accepted_Campaign_3]])</f>
        <v>0</v>
      </c>
      <c r="AC1114">
        <v>0</v>
      </c>
      <c r="AD1114">
        <v>0</v>
      </c>
    </row>
    <row r="1115" spans="1:30" x14ac:dyDescent="0.25">
      <c r="A1115">
        <v>41286</v>
      </c>
      <c r="B1115">
        <v>2157</v>
      </c>
      <c r="C1115">
        <v>1972</v>
      </c>
      <c r="D1115" t="s">
        <v>10</v>
      </c>
      <c r="E1115" t="s">
        <v>6</v>
      </c>
      <c r="F1115" t="s">
        <v>12</v>
      </c>
      <c r="G1115">
        <v>26290</v>
      </c>
      <c r="H1115">
        <v>2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f>SUM(Table1[[#This Row],[Gold Spending]]+Table1[[#This Row],[Sweet Spending]]+Table1[[#This Row],[Fish Spending]]+Table1[[#This Row],[Meat Spending]]+Table1[[#This Row],[Fruits Spending]]+Table1[[#This Row],[Wine Spending ]])</f>
        <v>77</v>
      </c>
      <c r="Q1115">
        <v>4</v>
      </c>
      <c r="R1115">
        <v>2</v>
      </c>
      <c r="S1115">
        <v>0</v>
      </c>
      <c r="T1115">
        <v>4</v>
      </c>
      <c r="U1115">
        <f>SUM(Table1[[#This Row],[Store_Purchases]]+Table1[[#This Row],[Catalog_Purchases]]+Table1[[#This Row],[Web_Purchases]]+Table1[[#This Row],[Deal_Purchases]])</f>
        <v>10</v>
      </c>
      <c r="V1115">
        <v>6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f>SUM(Table1[[#This Row],[Accepted_Campaign_2]]+Table1[[#This Row],[Accepted_Campaign_1]]+Table1[[#This Row],[Accepted_Campaign_5]]+Table1[[#This Row],[Accepted_Campaign_4]]+Table1[[#This Row],[Accepted_Campaign_3]])</f>
        <v>0</v>
      </c>
      <c r="AC1115">
        <v>0</v>
      </c>
      <c r="AD1115">
        <v>0</v>
      </c>
    </row>
    <row r="1116" spans="1:30" x14ac:dyDescent="0.25">
      <c r="A1116">
        <v>41259</v>
      </c>
      <c r="B1116">
        <v>8939</v>
      </c>
      <c r="C1116">
        <v>1959</v>
      </c>
      <c r="D1116" t="s">
        <v>8</v>
      </c>
      <c r="E1116" t="s">
        <v>6</v>
      </c>
      <c r="F1116" t="s">
        <v>7</v>
      </c>
      <c r="G1116">
        <v>61250</v>
      </c>
      <c r="H1116">
        <v>1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f>SUM(Table1[[#This Row],[Gold Spending]]+Table1[[#This Row],[Sweet Spending]]+Table1[[#This Row],[Fish Spending]]+Table1[[#This Row],[Meat Spending]]+Table1[[#This Row],[Fruits Spending]]+Table1[[#This Row],[Wine Spending ]])</f>
        <v>730</v>
      </c>
      <c r="Q1116">
        <v>6</v>
      </c>
      <c r="R1116">
        <v>5</v>
      </c>
      <c r="S1116">
        <v>2</v>
      </c>
      <c r="T1116">
        <v>12</v>
      </c>
      <c r="U1116">
        <f>SUM(Table1[[#This Row],[Store_Purchases]]+Table1[[#This Row],[Catalog_Purchases]]+Table1[[#This Row],[Web_Purchases]]+Table1[[#This Row],[Deal_Purchases]])</f>
        <v>25</v>
      </c>
      <c r="V1116">
        <v>5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f>SUM(Table1[[#This Row],[Accepted_Campaign_2]]+Table1[[#This Row],[Accepted_Campaign_1]]+Table1[[#This Row],[Accepted_Campaign_5]]+Table1[[#This Row],[Accepted_Campaign_4]]+Table1[[#This Row],[Accepted_Campaign_3]])</f>
        <v>0</v>
      </c>
      <c r="AC1116">
        <v>0</v>
      </c>
      <c r="AD1116">
        <v>0</v>
      </c>
    </row>
    <row r="1117" spans="1:30" x14ac:dyDescent="0.25">
      <c r="A1117">
        <v>41233</v>
      </c>
      <c r="B1117">
        <v>10250</v>
      </c>
      <c r="C1117">
        <v>1947</v>
      </c>
      <c r="D1117" t="s">
        <v>8</v>
      </c>
      <c r="E1117" t="s">
        <v>21</v>
      </c>
      <c r="F1117" t="s">
        <v>12</v>
      </c>
      <c r="G1117">
        <v>28389</v>
      </c>
      <c r="H1117">
        <v>0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f>SUM(Table1[[#This Row],[Gold Spending]]+Table1[[#This Row],[Sweet Spending]]+Table1[[#This Row],[Fish Spending]]+Table1[[#This Row],[Meat Spending]]+Table1[[#This Row],[Fruits Spending]]+Table1[[#This Row],[Wine Spending ]])</f>
        <v>28</v>
      </c>
      <c r="Q1117">
        <v>1</v>
      </c>
      <c r="R1117">
        <v>1</v>
      </c>
      <c r="S1117">
        <v>0</v>
      </c>
      <c r="T1117">
        <v>2</v>
      </c>
      <c r="U1117">
        <f>SUM(Table1[[#This Row],[Store_Purchases]]+Table1[[#This Row],[Catalog_Purchases]]+Table1[[#This Row],[Web_Purchases]]+Table1[[#This Row],[Deal_Purchases]])</f>
        <v>4</v>
      </c>
      <c r="V1117">
        <v>7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f>SUM(Table1[[#This Row],[Accepted_Campaign_2]]+Table1[[#This Row],[Accepted_Campaign_1]]+Table1[[#This Row],[Accepted_Campaign_5]]+Table1[[#This Row],[Accepted_Campaign_4]]+Table1[[#This Row],[Accepted_Campaign_3]])</f>
        <v>0</v>
      </c>
      <c r="AC1117">
        <v>0</v>
      </c>
      <c r="AD1117">
        <v>0</v>
      </c>
    </row>
    <row r="1118" spans="1:30" x14ac:dyDescent="0.25">
      <c r="A1118">
        <v>41203</v>
      </c>
      <c r="B1118">
        <v>1272</v>
      </c>
      <c r="C1118">
        <v>1965</v>
      </c>
      <c r="D1118" t="s">
        <v>13</v>
      </c>
      <c r="E1118" t="s">
        <v>18</v>
      </c>
      <c r="F1118" t="s">
        <v>9</v>
      </c>
      <c r="G1118">
        <v>55250</v>
      </c>
      <c r="H1118">
        <v>1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f>SUM(Table1[[#This Row],[Gold Spending]]+Table1[[#This Row],[Sweet Spending]]+Table1[[#This Row],[Fish Spending]]+Table1[[#This Row],[Meat Spending]]+Table1[[#This Row],[Fruits Spending]]+Table1[[#This Row],[Wine Spending ]])</f>
        <v>903</v>
      </c>
      <c r="Q1118">
        <v>4</v>
      </c>
      <c r="R1118">
        <v>7</v>
      </c>
      <c r="S1118">
        <v>5</v>
      </c>
      <c r="T1118">
        <v>10</v>
      </c>
      <c r="U1118">
        <f>SUM(Table1[[#This Row],[Store_Purchases]]+Table1[[#This Row],[Catalog_Purchases]]+Table1[[#This Row],[Web_Purchases]]+Table1[[#This Row],[Deal_Purchases]])</f>
        <v>26</v>
      </c>
      <c r="V1118">
        <v>5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f>SUM(Table1[[#This Row],[Accepted_Campaign_2]]+Table1[[#This Row],[Accepted_Campaign_1]]+Table1[[#This Row],[Accepted_Campaign_5]]+Table1[[#This Row],[Accepted_Campaign_4]]+Table1[[#This Row],[Accepted_Campaign_3]])</f>
        <v>0</v>
      </c>
      <c r="AC1118">
        <v>0</v>
      </c>
      <c r="AD1118">
        <v>0</v>
      </c>
    </row>
    <row r="1119" spans="1:30" x14ac:dyDescent="0.25">
      <c r="A1119">
        <v>41186</v>
      </c>
      <c r="B1119">
        <v>3007</v>
      </c>
      <c r="C1119">
        <v>1966</v>
      </c>
      <c r="D1119" t="s">
        <v>17</v>
      </c>
      <c r="E1119" t="s">
        <v>6</v>
      </c>
      <c r="F1119" t="s">
        <v>12</v>
      </c>
      <c r="G1119">
        <v>37758</v>
      </c>
      <c r="H1119">
        <v>2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f>SUM(Table1[[#This Row],[Gold Spending]]+Table1[[#This Row],[Sweet Spending]]+Table1[[#This Row],[Fish Spending]]+Table1[[#This Row],[Meat Spending]]+Table1[[#This Row],[Fruits Spending]]+Table1[[#This Row],[Wine Spending ]])</f>
        <v>40</v>
      </c>
      <c r="Q1119">
        <v>2</v>
      </c>
      <c r="R1119">
        <v>1</v>
      </c>
      <c r="S1119">
        <v>0</v>
      </c>
      <c r="T1119">
        <v>3</v>
      </c>
      <c r="U1119">
        <f>SUM(Table1[[#This Row],[Store_Purchases]]+Table1[[#This Row],[Catalog_Purchases]]+Table1[[#This Row],[Web_Purchases]]+Table1[[#This Row],[Deal_Purchases]])</f>
        <v>6</v>
      </c>
      <c r="V1119">
        <v>8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f>SUM(Table1[[#This Row],[Accepted_Campaign_2]]+Table1[[#This Row],[Accepted_Campaign_1]]+Table1[[#This Row],[Accepted_Campaign_5]]+Table1[[#This Row],[Accepted_Campaign_4]]+Table1[[#This Row],[Accepted_Campaign_3]])</f>
        <v>0</v>
      </c>
      <c r="AC1119">
        <v>0</v>
      </c>
      <c r="AD1119">
        <v>0</v>
      </c>
    </row>
    <row r="1120" spans="1:30" x14ac:dyDescent="0.25">
      <c r="A1120">
        <v>41186</v>
      </c>
      <c r="B1120">
        <v>5513</v>
      </c>
      <c r="C1120">
        <v>1966</v>
      </c>
      <c r="D1120" t="s">
        <v>8</v>
      </c>
      <c r="E1120" t="s">
        <v>6</v>
      </c>
      <c r="F1120" t="s">
        <v>12</v>
      </c>
      <c r="G1120">
        <v>37758</v>
      </c>
      <c r="H1120">
        <v>2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f>SUM(Table1[[#This Row],[Gold Spending]]+Table1[[#This Row],[Sweet Spending]]+Table1[[#This Row],[Fish Spending]]+Table1[[#This Row],[Meat Spending]]+Table1[[#This Row],[Fruits Spending]]+Table1[[#This Row],[Wine Spending ]])</f>
        <v>40</v>
      </c>
      <c r="Q1120">
        <v>2</v>
      </c>
      <c r="R1120">
        <v>1</v>
      </c>
      <c r="S1120">
        <v>0</v>
      </c>
      <c r="T1120">
        <v>3</v>
      </c>
      <c r="U1120">
        <f>SUM(Table1[[#This Row],[Store_Purchases]]+Table1[[#This Row],[Catalog_Purchases]]+Table1[[#This Row],[Web_Purchases]]+Table1[[#This Row],[Deal_Purchases]])</f>
        <v>6</v>
      </c>
      <c r="V1120">
        <v>8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f>SUM(Table1[[#This Row],[Accepted_Campaign_2]]+Table1[[#This Row],[Accepted_Campaign_1]]+Table1[[#This Row],[Accepted_Campaign_5]]+Table1[[#This Row],[Accepted_Campaign_4]]+Table1[[#This Row],[Accepted_Campaign_3]])</f>
        <v>0</v>
      </c>
      <c r="AC1120">
        <v>0</v>
      </c>
      <c r="AD1120">
        <v>0</v>
      </c>
    </row>
    <row r="1121" spans="1:30" x14ac:dyDescent="0.25">
      <c r="A1121">
        <v>41172</v>
      </c>
      <c r="B1121">
        <v>679</v>
      </c>
      <c r="C1121">
        <v>1957</v>
      </c>
      <c r="D1121" t="s">
        <v>8</v>
      </c>
      <c r="E1121" t="s">
        <v>14</v>
      </c>
      <c r="F1121" t="s">
        <v>11</v>
      </c>
      <c r="G1121">
        <v>37633</v>
      </c>
      <c r="H1121">
        <v>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f>SUM(Table1[[#This Row],[Gold Spending]]+Table1[[#This Row],[Sweet Spending]]+Table1[[#This Row],[Fish Spending]]+Table1[[#This Row],[Meat Spending]]+Table1[[#This Row],[Fruits Spending]]+Table1[[#This Row],[Wine Spending ]])</f>
        <v>38</v>
      </c>
      <c r="Q1121">
        <v>2</v>
      </c>
      <c r="R1121">
        <v>1</v>
      </c>
      <c r="S1121">
        <v>0</v>
      </c>
      <c r="T1121">
        <v>3</v>
      </c>
      <c r="U1121">
        <f>SUM(Table1[[#This Row],[Store_Purchases]]+Table1[[#This Row],[Catalog_Purchases]]+Table1[[#This Row],[Web_Purchases]]+Table1[[#This Row],[Deal_Purchases]])</f>
        <v>6</v>
      </c>
      <c r="V1121">
        <v>9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f>SUM(Table1[[#This Row],[Accepted_Campaign_2]]+Table1[[#This Row],[Accepted_Campaign_1]]+Table1[[#This Row],[Accepted_Campaign_5]]+Table1[[#This Row],[Accepted_Campaign_4]]+Table1[[#This Row],[Accepted_Campaign_3]])</f>
        <v>0</v>
      </c>
      <c r="AC1121">
        <v>0</v>
      </c>
      <c r="AD1121">
        <v>0</v>
      </c>
    </row>
    <row r="1122" spans="1:30" x14ac:dyDescent="0.25">
      <c r="A1122">
        <v>41129</v>
      </c>
      <c r="B1122">
        <v>8876</v>
      </c>
      <c r="C1122">
        <v>1963</v>
      </c>
      <c r="D1122" t="s">
        <v>8</v>
      </c>
      <c r="E1122" t="s">
        <v>14</v>
      </c>
      <c r="F1122" t="s">
        <v>12</v>
      </c>
      <c r="G1122">
        <v>33629</v>
      </c>
      <c r="H1122">
        <v>2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f>SUM(Table1[[#This Row],[Gold Spending]]+Table1[[#This Row],[Sweet Spending]]+Table1[[#This Row],[Fish Spending]]+Table1[[#This Row],[Meat Spending]]+Table1[[#This Row],[Fruits Spending]]+Table1[[#This Row],[Wine Spending ]])</f>
        <v>152</v>
      </c>
      <c r="Q1122">
        <v>5</v>
      </c>
      <c r="R1122">
        <v>3</v>
      </c>
      <c r="S1122">
        <v>1</v>
      </c>
      <c r="T1122">
        <v>4</v>
      </c>
      <c r="U1122">
        <f>SUM(Table1[[#This Row],[Store_Purchases]]+Table1[[#This Row],[Catalog_Purchases]]+Table1[[#This Row],[Web_Purchases]]+Table1[[#This Row],[Deal_Purchases]])</f>
        <v>13</v>
      </c>
      <c r="V1122">
        <v>9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f>SUM(Table1[[#This Row],[Accepted_Campaign_2]]+Table1[[#This Row],[Accepted_Campaign_1]]+Table1[[#This Row],[Accepted_Campaign_5]]+Table1[[#This Row],[Accepted_Campaign_4]]+Table1[[#This Row],[Accepted_Campaign_3]])</f>
        <v>0</v>
      </c>
      <c r="AC1122">
        <v>0</v>
      </c>
      <c r="AD1122">
        <v>0</v>
      </c>
    </row>
    <row r="1123" spans="1:30" x14ac:dyDescent="0.25">
      <c r="A1123">
        <v>41128</v>
      </c>
      <c r="B1123">
        <v>10827</v>
      </c>
      <c r="C1123">
        <v>1967</v>
      </c>
      <c r="D1123" t="s">
        <v>13</v>
      </c>
      <c r="E1123" t="s">
        <v>14</v>
      </c>
      <c r="F1123" t="s">
        <v>11</v>
      </c>
      <c r="G1123">
        <v>36947</v>
      </c>
      <c r="H1123">
        <v>2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f>SUM(Table1[[#This Row],[Gold Spending]]+Table1[[#This Row],[Sweet Spending]]+Table1[[#This Row],[Fish Spending]]+Table1[[#This Row],[Meat Spending]]+Table1[[#This Row],[Fruits Spending]]+Table1[[#This Row],[Wine Spending ]])</f>
        <v>146</v>
      </c>
      <c r="Q1123">
        <v>4</v>
      </c>
      <c r="R1123">
        <v>3</v>
      </c>
      <c r="S1123">
        <v>0</v>
      </c>
      <c r="T1123">
        <v>4</v>
      </c>
      <c r="U1123">
        <f>SUM(Table1[[#This Row],[Store_Purchases]]+Table1[[#This Row],[Catalog_Purchases]]+Table1[[#This Row],[Web_Purchases]]+Table1[[#This Row],[Deal_Purchases]])</f>
        <v>11</v>
      </c>
      <c r="V1123">
        <v>9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f>SUM(Table1[[#This Row],[Accepted_Campaign_2]]+Table1[[#This Row],[Accepted_Campaign_1]]+Table1[[#This Row],[Accepted_Campaign_5]]+Table1[[#This Row],[Accepted_Campaign_4]]+Table1[[#This Row],[Accepted_Campaign_3]])</f>
        <v>0</v>
      </c>
      <c r="AC1123">
        <v>0</v>
      </c>
      <c r="AD1123">
        <v>0</v>
      </c>
    </row>
    <row r="1124" spans="1:30" x14ac:dyDescent="0.25">
      <c r="A1124">
        <v>41819</v>
      </c>
      <c r="B1124">
        <v>7300</v>
      </c>
      <c r="C1124">
        <v>1952</v>
      </c>
      <c r="D1124" t="s">
        <v>17</v>
      </c>
      <c r="E1124" t="s">
        <v>6</v>
      </c>
      <c r="F1124" t="s">
        <v>7</v>
      </c>
      <c r="G1124">
        <v>69142</v>
      </c>
      <c r="H1124">
        <v>1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f>SUM(Table1[[#This Row],[Gold Spending]]+Table1[[#This Row],[Sweet Spending]]+Table1[[#This Row],[Fish Spending]]+Table1[[#This Row],[Meat Spending]]+Table1[[#This Row],[Fruits Spending]]+Table1[[#This Row],[Wine Spending ]])</f>
        <v>535</v>
      </c>
      <c r="Q1124">
        <v>3</v>
      </c>
      <c r="R1124">
        <v>8</v>
      </c>
      <c r="S1124">
        <v>1</v>
      </c>
      <c r="T1124">
        <v>7</v>
      </c>
      <c r="U1124">
        <f>SUM(Table1[[#This Row],[Store_Purchases]]+Table1[[#This Row],[Catalog_Purchases]]+Table1[[#This Row],[Web_Purchases]]+Table1[[#This Row],[Deal_Purchases]])</f>
        <v>19</v>
      </c>
      <c r="V1124">
        <v>5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f>SUM(Table1[[#This Row],[Accepted_Campaign_2]]+Table1[[#This Row],[Accepted_Campaign_1]]+Table1[[#This Row],[Accepted_Campaign_5]]+Table1[[#This Row],[Accepted_Campaign_4]]+Table1[[#This Row],[Accepted_Campaign_3]])</f>
        <v>1</v>
      </c>
      <c r="AC1124">
        <v>0</v>
      </c>
      <c r="AD1124">
        <v>0</v>
      </c>
    </row>
    <row r="1125" spans="1:30" x14ac:dyDescent="0.25">
      <c r="A1125">
        <v>41799</v>
      </c>
      <c r="B1125">
        <v>4268</v>
      </c>
      <c r="C1125">
        <v>1959</v>
      </c>
      <c r="D1125" t="s">
        <v>63</v>
      </c>
      <c r="E1125" t="s">
        <v>6</v>
      </c>
      <c r="F1125" t="s">
        <v>11</v>
      </c>
      <c r="G1125">
        <v>53154</v>
      </c>
      <c r="H1125">
        <v>1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f>SUM(Table1[[#This Row],[Gold Spending]]+Table1[[#This Row],[Sweet Spending]]+Table1[[#This Row],[Fish Spending]]+Table1[[#This Row],[Meat Spending]]+Table1[[#This Row],[Fruits Spending]]+Table1[[#This Row],[Wine Spending ]])</f>
        <v>158</v>
      </c>
      <c r="Q1125">
        <v>1</v>
      </c>
      <c r="R1125">
        <v>3</v>
      </c>
      <c r="S1125">
        <v>1</v>
      </c>
      <c r="T1125">
        <v>4</v>
      </c>
      <c r="U1125">
        <f>SUM(Table1[[#This Row],[Store_Purchases]]+Table1[[#This Row],[Catalog_Purchases]]+Table1[[#This Row],[Web_Purchases]]+Table1[[#This Row],[Deal_Purchases]])</f>
        <v>9</v>
      </c>
      <c r="V1125">
        <v>4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f>SUM(Table1[[#This Row],[Accepted_Campaign_2]]+Table1[[#This Row],[Accepted_Campaign_1]]+Table1[[#This Row],[Accepted_Campaign_5]]+Table1[[#This Row],[Accepted_Campaign_4]]+Table1[[#This Row],[Accepted_Campaign_3]])</f>
        <v>0</v>
      </c>
      <c r="AC1125">
        <v>0</v>
      </c>
      <c r="AD1125">
        <v>0</v>
      </c>
    </row>
    <row r="1126" spans="1:30" x14ac:dyDescent="0.25">
      <c r="A1126">
        <v>41670</v>
      </c>
      <c r="B1126">
        <v>4603</v>
      </c>
      <c r="C1126">
        <v>1960</v>
      </c>
      <c r="D1126" t="s">
        <v>8</v>
      </c>
      <c r="E1126" t="s">
        <v>14</v>
      </c>
      <c r="F1126" t="s">
        <v>11</v>
      </c>
      <c r="G1126">
        <v>65695</v>
      </c>
      <c r="H1126">
        <v>1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f>SUM(Table1[[#This Row],[Gold Spending]]+Table1[[#This Row],[Sweet Spending]]+Table1[[#This Row],[Fish Spending]]+Table1[[#This Row],[Meat Spending]]+Table1[[#This Row],[Fruits Spending]]+Table1[[#This Row],[Wine Spending ]])</f>
        <v>656</v>
      </c>
      <c r="Q1126">
        <v>2</v>
      </c>
      <c r="R1126">
        <v>5</v>
      </c>
      <c r="S1126">
        <v>4</v>
      </c>
      <c r="T1126">
        <v>10</v>
      </c>
      <c r="U1126">
        <f>SUM(Table1[[#This Row],[Store_Purchases]]+Table1[[#This Row],[Catalog_Purchases]]+Table1[[#This Row],[Web_Purchases]]+Table1[[#This Row],[Deal_Purchases]])</f>
        <v>21</v>
      </c>
      <c r="V1126">
        <v>4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f>SUM(Table1[[#This Row],[Accepted_Campaign_2]]+Table1[[#This Row],[Accepted_Campaign_1]]+Table1[[#This Row],[Accepted_Campaign_5]]+Table1[[#This Row],[Accepted_Campaign_4]]+Table1[[#This Row],[Accepted_Campaign_3]])</f>
        <v>0</v>
      </c>
      <c r="AC1126">
        <v>0</v>
      </c>
      <c r="AD1126">
        <v>0</v>
      </c>
    </row>
    <row r="1127" spans="1:30" x14ac:dyDescent="0.25">
      <c r="A1127">
        <v>41660</v>
      </c>
      <c r="B1127">
        <v>8659</v>
      </c>
      <c r="C1127">
        <v>1952</v>
      </c>
      <c r="D1127" t="s">
        <v>16</v>
      </c>
      <c r="E1127" t="s">
        <v>14</v>
      </c>
      <c r="F1127" t="s">
        <v>12</v>
      </c>
      <c r="G1127">
        <v>69805</v>
      </c>
      <c r="H1127">
        <v>1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f>SUM(Table1[[#This Row],[Gold Spending]]+Table1[[#This Row],[Sweet Spending]]+Table1[[#This Row],[Fish Spending]]+Table1[[#This Row],[Meat Spending]]+Table1[[#This Row],[Fruits Spending]]+Table1[[#This Row],[Wine Spending ]])</f>
        <v>1038</v>
      </c>
      <c r="Q1127">
        <v>2</v>
      </c>
      <c r="R1127">
        <v>6</v>
      </c>
      <c r="S1127">
        <v>8</v>
      </c>
      <c r="T1127">
        <v>11</v>
      </c>
      <c r="U1127">
        <f>SUM(Table1[[#This Row],[Store_Purchases]]+Table1[[#This Row],[Catalog_Purchases]]+Table1[[#This Row],[Web_Purchases]]+Table1[[#This Row],[Deal_Purchases]])</f>
        <v>27</v>
      </c>
      <c r="V1127">
        <v>2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f>SUM(Table1[[#This Row],[Accepted_Campaign_2]]+Table1[[#This Row],[Accepted_Campaign_1]]+Table1[[#This Row],[Accepted_Campaign_5]]+Table1[[#This Row],[Accepted_Campaign_4]]+Table1[[#This Row],[Accepted_Campaign_3]])</f>
        <v>0</v>
      </c>
      <c r="AC1127">
        <v>0</v>
      </c>
      <c r="AD1127">
        <v>0</v>
      </c>
    </row>
    <row r="1128" spans="1:30" x14ac:dyDescent="0.25">
      <c r="A1128">
        <v>41636</v>
      </c>
      <c r="B1128">
        <v>10708</v>
      </c>
      <c r="C1128">
        <v>1978</v>
      </c>
      <c r="D1128" t="s">
        <v>8</v>
      </c>
      <c r="E1128" t="s">
        <v>15</v>
      </c>
      <c r="F1128" t="s">
        <v>9</v>
      </c>
      <c r="G1128">
        <v>36975</v>
      </c>
      <c r="H1128">
        <v>1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f>SUM(Table1[[#This Row],[Gold Spending]]+Table1[[#This Row],[Sweet Spending]]+Table1[[#This Row],[Fish Spending]]+Table1[[#This Row],[Meat Spending]]+Table1[[#This Row],[Fruits Spending]]+Table1[[#This Row],[Wine Spending ]])</f>
        <v>33</v>
      </c>
      <c r="Q1128">
        <v>1</v>
      </c>
      <c r="R1128">
        <v>1</v>
      </c>
      <c r="S1128">
        <v>0</v>
      </c>
      <c r="T1128">
        <v>3</v>
      </c>
      <c r="U1128">
        <f>SUM(Table1[[#This Row],[Store_Purchases]]+Table1[[#This Row],[Catalog_Purchases]]+Table1[[#This Row],[Web_Purchases]]+Table1[[#This Row],[Deal_Purchases]])</f>
        <v>5</v>
      </c>
      <c r="V1128">
        <v>7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f>SUM(Table1[[#This Row],[Accepted_Campaign_2]]+Table1[[#This Row],[Accepted_Campaign_1]]+Table1[[#This Row],[Accepted_Campaign_5]]+Table1[[#This Row],[Accepted_Campaign_4]]+Table1[[#This Row],[Accepted_Campaign_3]])</f>
        <v>0</v>
      </c>
      <c r="AC1128">
        <v>0</v>
      </c>
      <c r="AD1128">
        <v>0</v>
      </c>
    </row>
    <row r="1129" spans="1:30" x14ac:dyDescent="0.25">
      <c r="A1129">
        <v>41539</v>
      </c>
      <c r="B1129">
        <v>1176</v>
      </c>
      <c r="C1129">
        <v>1973</v>
      </c>
      <c r="D1129" t="s">
        <v>8</v>
      </c>
      <c r="E1129" t="s">
        <v>6</v>
      </c>
      <c r="F1129" t="s">
        <v>11</v>
      </c>
      <c r="G1129">
        <v>26228</v>
      </c>
      <c r="H1129">
        <v>1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f>SUM(Table1[[#This Row],[Gold Spending]]+Table1[[#This Row],[Sweet Spending]]+Table1[[#This Row],[Fish Spending]]+Table1[[#This Row],[Meat Spending]]+Table1[[#This Row],[Fruits Spending]]+Table1[[#This Row],[Wine Spending ]])</f>
        <v>25</v>
      </c>
      <c r="Q1129">
        <v>1</v>
      </c>
      <c r="R1129">
        <v>1</v>
      </c>
      <c r="S1129">
        <v>0</v>
      </c>
      <c r="T1129">
        <v>2</v>
      </c>
      <c r="U1129">
        <f>SUM(Table1[[#This Row],[Store_Purchases]]+Table1[[#This Row],[Catalog_Purchases]]+Table1[[#This Row],[Web_Purchases]]+Table1[[#This Row],[Deal_Purchases]])</f>
        <v>4</v>
      </c>
      <c r="V1129">
        <v>8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f>SUM(Table1[[#This Row],[Accepted_Campaign_2]]+Table1[[#This Row],[Accepted_Campaign_1]]+Table1[[#This Row],[Accepted_Campaign_5]]+Table1[[#This Row],[Accepted_Campaign_4]]+Table1[[#This Row],[Accepted_Campaign_3]])</f>
        <v>0</v>
      </c>
      <c r="AC1129">
        <v>0</v>
      </c>
      <c r="AD1129">
        <v>0</v>
      </c>
    </row>
    <row r="1130" spans="1:30" x14ac:dyDescent="0.25">
      <c r="A1130">
        <v>41537</v>
      </c>
      <c r="B1130">
        <v>10380</v>
      </c>
      <c r="C1130">
        <v>1972</v>
      </c>
      <c r="D1130" t="s">
        <v>17</v>
      </c>
      <c r="E1130" t="s">
        <v>18</v>
      </c>
      <c r="F1130" t="s">
        <v>11</v>
      </c>
      <c r="G1130">
        <v>37787</v>
      </c>
      <c r="H1130">
        <v>1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f>SUM(Table1[[#This Row],[Gold Spending]]+Table1[[#This Row],[Sweet Spending]]+Table1[[#This Row],[Fish Spending]]+Table1[[#This Row],[Meat Spending]]+Table1[[#This Row],[Fruits Spending]]+Table1[[#This Row],[Wine Spending ]])</f>
        <v>106</v>
      </c>
      <c r="Q1130">
        <v>1</v>
      </c>
      <c r="R1130">
        <v>3</v>
      </c>
      <c r="S1130">
        <v>0</v>
      </c>
      <c r="T1130">
        <v>3</v>
      </c>
      <c r="U1130">
        <f>SUM(Table1[[#This Row],[Store_Purchases]]+Table1[[#This Row],[Catalog_Purchases]]+Table1[[#This Row],[Web_Purchases]]+Table1[[#This Row],[Deal_Purchases]])</f>
        <v>7</v>
      </c>
      <c r="V1130">
        <v>8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f>SUM(Table1[[#This Row],[Accepted_Campaign_2]]+Table1[[#This Row],[Accepted_Campaign_1]]+Table1[[#This Row],[Accepted_Campaign_5]]+Table1[[#This Row],[Accepted_Campaign_4]]+Table1[[#This Row],[Accepted_Campaign_3]])</f>
        <v>0</v>
      </c>
      <c r="AC1130">
        <v>0</v>
      </c>
      <c r="AD1130">
        <v>0</v>
      </c>
    </row>
    <row r="1131" spans="1:30" x14ac:dyDescent="0.25">
      <c r="A1131">
        <v>41497</v>
      </c>
      <c r="B1131">
        <v>7037</v>
      </c>
      <c r="C1131">
        <v>1974</v>
      </c>
      <c r="D1131" t="s">
        <v>20</v>
      </c>
      <c r="E1131" t="s">
        <v>14</v>
      </c>
      <c r="F1131" t="s">
        <v>11</v>
      </c>
      <c r="G1131">
        <v>37087</v>
      </c>
      <c r="H1131">
        <v>1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f>SUM(Table1[[#This Row],[Gold Spending]]+Table1[[#This Row],[Sweet Spending]]+Table1[[#This Row],[Fish Spending]]+Table1[[#This Row],[Meat Spending]]+Table1[[#This Row],[Fruits Spending]]+Table1[[#This Row],[Wine Spending ]])</f>
        <v>401</v>
      </c>
      <c r="Q1131">
        <v>3</v>
      </c>
      <c r="R1131">
        <v>4</v>
      </c>
      <c r="S1131">
        <v>2</v>
      </c>
      <c r="T1131">
        <v>8</v>
      </c>
      <c r="U1131">
        <f>SUM(Table1[[#This Row],[Store_Purchases]]+Table1[[#This Row],[Catalog_Purchases]]+Table1[[#This Row],[Web_Purchases]]+Table1[[#This Row],[Deal_Purchases]])</f>
        <v>17</v>
      </c>
      <c r="V1131">
        <v>6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f>SUM(Table1[[#This Row],[Accepted_Campaign_2]]+Table1[[#This Row],[Accepted_Campaign_1]]+Table1[[#This Row],[Accepted_Campaign_5]]+Table1[[#This Row],[Accepted_Campaign_4]]+Table1[[#This Row],[Accepted_Campaign_3]])</f>
        <v>0</v>
      </c>
      <c r="AC1131">
        <v>0</v>
      </c>
      <c r="AD1131">
        <v>0</v>
      </c>
    </row>
    <row r="1132" spans="1:30" x14ac:dyDescent="0.25">
      <c r="A1132">
        <v>41494</v>
      </c>
      <c r="B1132">
        <v>11096</v>
      </c>
      <c r="C1132">
        <v>1952</v>
      </c>
      <c r="D1132" t="s">
        <v>8</v>
      </c>
      <c r="E1132" t="s">
        <v>15</v>
      </c>
      <c r="F1132" t="s">
        <v>12</v>
      </c>
      <c r="G1132">
        <v>57247</v>
      </c>
      <c r="H1132">
        <v>1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f>SUM(Table1[[#This Row],[Gold Spending]]+Table1[[#This Row],[Sweet Spending]]+Table1[[#This Row],[Fish Spending]]+Table1[[#This Row],[Meat Spending]]+Table1[[#This Row],[Fruits Spending]]+Table1[[#This Row],[Wine Spending ]])</f>
        <v>232</v>
      </c>
      <c r="Q1132">
        <v>2</v>
      </c>
      <c r="R1132">
        <v>2</v>
      </c>
      <c r="S1132">
        <v>1</v>
      </c>
      <c r="T1132">
        <v>7</v>
      </c>
      <c r="U1132">
        <f>SUM(Table1[[#This Row],[Store_Purchases]]+Table1[[#This Row],[Catalog_Purchases]]+Table1[[#This Row],[Web_Purchases]]+Table1[[#This Row],[Deal_Purchases]])</f>
        <v>12</v>
      </c>
      <c r="V1132">
        <v>2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f>SUM(Table1[[#This Row],[Accepted_Campaign_2]]+Table1[[#This Row],[Accepted_Campaign_1]]+Table1[[#This Row],[Accepted_Campaign_5]]+Table1[[#This Row],[Accepted_Campaign_4]]+Table1[[#This Row],[Accepted_Campaign_3]])</f>
        <v>0</v>
      </c>
      <c r="AC1132">
        <v>0</v>
      </c>
      <c r="AD1132">
        <v>0</v>
      </c>
    </row>
    <row r="1133" spans="1:30" x14ac:dyDescent="0.25">
      <c r="A1133">
        <v>41411</v>
      </c>
      <c r="B1133">
        <v>6374</v>
      </c>
      <c r="C1133">
        <v>1954</v>
      </c>
      <c r="D1133" t="s">
        <v>8</v>
      </c>
      <c r="E1133" t="s">
        <v>14</v>
      </c>
      <c r="F1133" t="s">
        <v>11</v>
      </c>
      <c r="G1133">
        <v>36930</v>
      </c>
      <c r="H1133">
        <v>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f>SUM(Table1[[#This Row],[Gold Spending]]+Table1[[#This Row],[Sweet Spending]]+Table1[[#This Row],[Fish Spending]]+Table1[[#This Row],[Meat Spending]]+Table1[[#This Row],[Fruits Spending]]+Table1[[#This Row],[Wine Spending ]])</f>
        <v>297</v>
      </c>
      <c r="Q1133">
        <v>5</v>
      </c>
      <c r="R1133">
        <v>5</v>
      </c>
      <c r="S1133">
        <v>2</v>
      </c>
      <c r="T1133">
        <v>4</v>
      </c>
      <c r="U1133">
        <f>SUM(Table1[[#This Row],[Store_Purchases]]+Table1[[#This Row],[Catalog_Purchases]]+Table1[[#This Row],[Web_Purchases]]+Table1[[#This Row],[Deal_Purchases]])</f>
        <v>16</v>
      </c>
      <c r="V1133">
        <v>8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f>SUM(Table1[[#This Row],[Accepted_Campaign_2]]+Table1[[#This Row],[Accepted_Campaign_1]]+Table1[[#This Row],[Accepted_Campaign_5]]+Table1[[#This Row],[Accepted_Campaign_4]]+Table1[[#This Row],[Accepted_Campaign_3]])</f>
        <v>0</v>
      </c>
      <c r="AC1133">
        <v>0</v>
      </c>
      <c r="AD1133">
        <v>0</v>
      </c>
    </row>
    <row r="1134" spans="1:30" x14ac:dyDescent="0.25">
      <c r="A1134">
        <v>41407</v>
      </c>
      <c r="B1134">
        <v>5552</v>
      </c>
      <c r="C1134">
        <v>1963</v>
      </c>
      <c r="D1134" t="s">
        <v>20</v>
      </c>
      <c r="E1134" t="s">
        <v>18</v>
      </c>
      <c r="F1134" t="s">
        <v>7</v>
      </c>
      <c r="G1134">
        <v>48721</v>
      </c>
      <c r="H1134">
        <v>2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f>SUM(Table1[[#This Row],[Gold Spending]]+Table1[[#This Row],[Sweet Spending]]+Table1[[#This Row],[Fish Spending]]+Table1[[#This Row],[Meat Spending]]+Table1[[#This Row],[Fruits Spending]]+Table1[[#This Row],[Wine Spending ]])</f>
        <v>293</v>
      </c>
      <c r="Q1134">
        <v>6</v>
      </c>
      <c r="R1134">
        <v>4</v>
      </c>
      <c r="S1134">
        <v>2</v>
      </c>
      <c r="T1134">
        <v>5</v>
      </c>
      <c r="U1134">
        <f>SUM(Table1[[#This Row],[Store_Purchases]]+Table1[[#This Row],[Catalog_Purchases]]+Table1[[#This Row],[Web_Purchases]]+Table1[[#This Row],[Deal_Purchases]])</f>
        <v>17</v>
      </c>
      <c r="V1134">
        <v>6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f>SUM(Table1[[#This Row],[Accepted_Campaign_2]]+Table1[[#This Row],[Accepted_Campaign_1]]+Table1[[#This Row],[Accepted_Campaign_5]]+Table1[[#This Row],[Accepted_Campaign_4]]+Table1[[#This Row],[Accepted_Campaign_3]])</f>
        <v>0</v>
      </c>
      <c r="AC1134">
        <v>0</v>
      </c>
      <c r="AD1134">
        <v>0</v>
      </c>
    </row>
    <row r="1135" spans="1:30" x14ac:dyDescent="0.25">
      <c r="A1135">
        <v>41386</v>
      </c>
      <c r="B1135">
        <v>2245</v>
      </c>
      <c r="C1135">
        <v>1969</v>
      </c>
      <c r="D1135" t="s">
        <v>8</v>
      </c>
      <c r="E1135" t="s">
        <v>18</v>
      </c>
      <c r="F1135" t="s">
        <v>11</v>
      </c>
      <c r="G1135">
        <v>43641</v>
      </c>
      <c r="H1135">
        <v>2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f>SUM(Table1[[#This Row],[Gold Spending]]+Table1[[#This Row],[Sweet Spending]]+Table1[[#This Row],[Fish Spending]]+Table1[[#This Row],[Meat Spending]]+Table1[[#This Row],[Fruits Spending]]+Table1[[#This Row],[Wine Spending ]])</f>
        <v>139</v>
      </c>
      <c r="Q1135">
        <v>3</v>
      </c>
      <c r="R1135">
        <v>2</v>
      </c>
      <c r="S1135">
        <v>1</v>
      </c>
      <c r="T1135">
        <v>4</v>
      </c>
      <c r="U1135">
        <f>SUM(Table1[[#This Row],[Store_Purchases]]+Table1[[#This Row],[Catalog_Purchases]]+Table1[[#This Row],[Web_Purchases]]+Table1[[#This Row],[Deal_Purchases]])</f>
        <v>10</v>
      </c>
      <c r="V1135">
        <v>6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f>SUM(Table1[[#This Row],[Accepted_Campaign_2]]+Table1[[#This Row],[Accepted_Campaign_1]]+Table1[[#This Row],[Accepted_Campaign_5]]+Table1[[#This Row],[Accepted_Campaign_4]]+Table1[[#This Row],[Accepted_Campaign_3]])</f>
        <v>0</v>
      </c>
      <c r="AC1135">
        <v>0</v>
      </c>
      <c r="AD1135">
        <v>0</v>
      </c>
    </row>
    <row r="1136" spans="1:30" x14ac:dyDescent="0.25">
      <c r="A1136">
        <v>41372</v>
      </c>
      <c r="B1136">
        <v>6200</v>
      </c>
      <c r="C1136">
        <v>1951</v>
      </c>
      <c r="D1136" t="s">
        <v>8</v>
      </c>
      <c r="E1136" t="s">
        <v>6</v>
      </c>
      <c r="F1136" t="s">
        <v>11</v>
      </c>
      <c r="G1136">
        <v>75903</v>
      </c>
      <c r="H1136">
        <v>1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f>SUM(Table1[[#This Row],[Gold Spending]]+Table1[[#This Row],[Sweet Spending]]+Table1[[#This Row],[Fish Spending]]+Table1[[#This Row],[Meat Spending]]+Table1[[#This Row],[Fruits Spending]]+Table1[[#This Row],[Wine Spending ]])</f>
        <v>901</v>
      </c>
      <c r="Q1136">
        <v>2</v>
      </c>
      <c r="R1136">
        <v>6</v>
      </c>
      <c r="S1136">
        <v>6</v>
      </c>
      <c r="T1136">
        <v>9</v>
      </c>
      <c r="U1136">
        <f>SUM(Table1[[#This Row],[Store_Purchases]]+Table1[[#This Row],[Catalog_Purchases]]+Table1[[#This Row],[Web_Purchases]]+Table1[[#This Row],[Deal_Purchases]])</f>
        <v>23</v>
      </c>
      <c r="V1136">
        <v>3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f>SUM(Table1[[#This Row],[Accepted_Campaign_2]]+Table1[[#This Row],[Accepted_Campaign_1]]+Table1[[#This Row],[Accepted_Campaign_5]]+Table1[[#This Row],[Accepted_Campaign_4]]+Table1[[#This Row],[Accepted_Campaign_3]])</f>
        <v>0</v>
      </c>
      <c r="AC1136">
        <v>0</v>
      </c>
      <c r="AD1136">
        <v>0</v>
      </c>
    </row>
    <row r="1137" spans="1:30" x14ac:dyDescent="0.25">
      <c r="A1137">
        <v>41362</v>
      </c>
      <c r="B1137">
        <v>9904</v>
      </c>
      <c r="C1137">
        <v>1956</v>
      </c>
      <c r="D1137" t="s">
        <v>10</v>
      </c>
      <c r="E1137" t="s">
        <v>6</v>
      </c>
      <c r="F1137" t="s">
        <v>11</v>
      </c>
      <c r="G1137">
        <v>71391</v>
      </c>
      <c r="H1137">
        <v>1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f>SUM(Table1[[#This Row],[Gold Spending]]+Table1[[#This Row],[Sweet Spending]]+Table1[[#This Row],[Fish Spending]]+Table1[[#This Row],[Meat Spending]]+Table1[[#This Row],[Fruits Spending]]+Table1[[#This Row],[Wine Spending ]])</f>
        <v>1043</v>
      </c>
      <c r="Q1137">
        <v>5</v>
      </c>
      <c r="R1137">
        <v>6</v>
      </c>
      <c r="S1137">
        <v>5</v>
      </c>
      <c r="T1137">
        <v>12</v>
      </c>
      <c r="U1137">
        <f>SUM(Table1[[#This Row],[Store_Purchases]]+Table1[[#This Row],[Catalog_Purchases]]+Table1[[#This Row],[Web_Purchases]]+Table1[[#This Row],[Deal_Purchases]])</f>
        <v>28</v>
      </c>
      <c r="V1137">
        <v>3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f>SUM(Table1[[#This Row],[Accepted_Campaign_2]]+Table1[[#This Row],[Accepted_Campaign_1]]+Table1[[#This Row],[Accepted_Campaign_5]]+Table1[[#This Row],[Accepted_Campaign_4]]+Table1[[#This Row],[Accepted_Campaign_3]])</f>
        <v>0</v>
      </c>
      <c r="AC1137">
        <v>0</v>
      </c>
      <c r="AD1137">
        <v>0</v>
      </c>
    </row>
    <row r="1138" spans="1:30" x14ac:dyDescent="0.25">
      <c r="A1138">
        <v>41315</v>
      </c>
      <c r="B1138">
        <v>10031</v>
      </c>
      <c r="C1138">
        <v>1976</v>
      </c>
      <c r="D1138" t="s">
        <v>20</v>
      </c>
      <c r="E1138" t="s">
        <v>14</v>
      </c>
      <c r="F1138" t="s">
        <v>11</v>
      </c>
      <c r="G1138">
        <v>16927</v>
      </c>
      <c r="H1138">
        <v>2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f>SUM(Table1[[#This Row],[Gold Spending]]+Table1[[#This Row],[Sweet Spending]]+Table1[[#This Row],[Fish Spending]]+Table1[[#This Row],[Meat Spending]]+Table1[[#This Row],[Fruits Spending]]+Table1[[#This Row],[Wine Spending ]])</f>
        <v>53</v>
      </c>
      <c r="Q1138">
        <v>5</v>
      </c>
      <c r="R1138">
        <v>3</v>
      </c>
      <c r="S1138">
        <v>0</v>
      </c>
      <c r="T1138">
        <v>4</v>
      </c>
      <c r="U1138">
        <f>SUM(Table1[[#This Row],[Store_Purchases]]+Table1[[#This Row],[Catalog_Purchases]]+Table1[[#This Row],[Web_Purchases]]+Table1[[#This Row],[Deal_Purchases]])</f>
        <v>12</v>
      </c>
      <c r="V1138">
        <v>8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f>SUM(Table1[[#This Row],[Accepted_Campaign_2]]+Table1[[#This Row],[Accepted_Campaign_1]]+Table1[[#This Row],[Accepted_Campaign_5]]+Table1[[#This Row],[Accepted_Campaign_4]]+Table1[[#This Row],[Accepted_Campaign_3]])</f>
        <v>0</v>
      </c>
      <c r="AC1138">
        <v>0</v>
      </c>
      <c r="AD1138">
        <v>0</v>
      </c>
    </row>
    <row r="1139" spans="1:30" x14ac:dyDescent="0.25">
      <c r="A1139">
        <v>41297</v>
      </c>
      <c r="B1139">
        <v>6642</v>
      </c>
      <c r="C1139">
        <v>1961</v>
      </c>
      <c r="D1139" t="s">
        <v>20</v>
      </c>
      <c r="E1139" t="s">
        <v>6</v>
      </c>
      <c r="F1139" t="s">
        <v>7</v>
      </c>
      <c r="G1139">
        <v>27215</v>
      </c>
      <c r="H1139">
        <v>3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f>SUM(Table1[[#This Row],[Gold Spending]]+Table1[[#This Row],[Sweet Spending]]+Table1[[#This Row],[Fish Spending]]+Table1[[#This Row],[Meat Spending]]+Table1[[#This Row],[Fruits Spending]]+Table1[[#This Row],[Wine Spending ]])</f>
        <v>102</v>
      </c>
      <c r="Q1139">
        <v>4</v>
      </c>
      <c r="R1139">
        <v>2</v>
      </c>
      <c r="S1139">
        <v>1</v>
      </c>
      <c r="T1139">
        <v>4</v>
      </c>
      <c r="U1139">
        <f>SUM(Table1[[#This Row],[Store_Purchases]]+Table1[[#This Row],[Catalog_Purchases]]+Table1[[#This Row],[Web_Purchases]]+Table1[[#This Row],[Deal_Purchases]])</f>
        <v>11</v>
      </c>
      <c r="V1139">
        <v>6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f>SUM(Table1[[#This Row],[Accepted_Campaign_2]]+Table1[[#This Row],[Accepted_Campaign_1]]+Table1[[#This Row],[Accepted_Campaign_5]]+Table1[[#This Row],[Accepted_Campaign_4]]+Table1[[#This Row],[Accepted_Campaign_3]])</f>
        <v>0</v>
      </c>
      <c r="AC1139">
        <v>0</v>
      </c>
      <c r="AD1139">
        <v>0</v>
      </c>
    </row>
    <row r="1140" spans="1:30" x14ac:dyDescent="0.25">
      <c r="A1140">
        <v>41222</v>
      </c>
      <c r="B1140">
        <v>10882</v>
      </c>
      <c r="C1140">
        <v>1976</v>
      </c>
      <c r="D1140" t="s">
        <v>8</v>
      </c>
      <c r="E1140" t="s">
        <v>6</v>
      </c>
      <c r="F1140" t="s">
        <v>11</v>
      </c>
      <c r="G1140">
        <v>53858</v>
      </c>
      <c r="H1140">
        <v>1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f>SUM(Table1[[#This Row],[Gold Spending]]+Table1[[#This Row],[Sweet Spending]]+Table1[[#This Row],[Fish Spending]]+Table1[[#This Row],[Meat Spending]]+Table1[[#This Row],[Fruits Spending]]+Table1[[#This Row],[Wine Spending ]])</f>
        <v>915</v>
      </c>
      <c r="Q1140">
        <v>4</v>
      </c>
      <c r="R1140">
        <v>4</v>
      </c>
      <c r="S1140">
        <v>3</v>
      </c>
      <c r="T1140">
        <v>6</v>
      </c>
      <c r="U1140">
        <f>SUM(Table1[[#This Row],[Store_Purchases]]+Table1[[#This Row],[Catalog_Purchases]]+Table1[[#This Row],[Web_Purchases]]+Table1[[#This Row],[Deal_Purchases]])</f>
        <v>17</v>
      </c>
      <c r="V1140">
        <v>4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f>SUM(Table1[[#This Row],[Accepted_Campaign_2]]+Table1[[#This Row],[Accepted_Campaign_1]]+Table1[[#This Row],[Accepted_Campaign_5]]+Table1[[#This Row],[Accepted_Campaign_4]]+Table1[[#This Row],[Accepted_Campaign_3]])</f>
        <v>0</v>
      </c>
      <c r="AC1140">
        <v>0</v>
      </c>
      <c r="AD1140">
        <v>0</v>
      </c>
    </row>
    <row r="1141" spans="1:30" x14ac:dyDescent="0.25">
      <c r="A1141">
        <v>41222</v>
      </c>
      <c r="B1141">
        <v>5636</v>
      </c>
      <c r="C1141">
        <v>1963</v>
      </c>
      <c r="D1141" t="s">
        <v>17</v>
      </c>
      <c r="E1141" t="s">
        <v>6</v>
      </c>
      <c r="F1141" t="s">
        <v>9</v>
      </c>
      <c r="G1141">
        <v>30983</v>
      </c>
      <c r="H1141">
        <v>0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f>SUM(Table1[[#This Row],[Gold Spending]]+Table1[[#This Row],[Sweet Spending]]+Table1[[#This Row],[Fish Spending]]+Table1[[#This Row],[Meat Spending]]+Table1[[#This Row],[Fruits Spending]]+Table1[[#This Row],[Wine Spending ]])</f>
        <v>167</v>
      </c>
      <c r="Q1141">
        <v>1</v>
      </c>
      <c r="R1141">
        <v>4</v>
      </c>
      <c r="S1141">
        <v>0</v>
      </c>
      <c r="T1141">
        <v>3</v>
      </c>
      <c r="U1141">
        <f>SUM(Table1[[#This Row],[Store_Purchases]]+Table1[[#This Row],[Catalog_Purchases]]+Table1[[#This Row],[Web_Purchases]]+Table1[[#This Row],[Deal_Purchases]])</f>
        <v>8</v>
      </c>
      <c r="V1141">
        <v>8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f>SUM(Table1[[#This Row],[Accepted_Campaign_2]]+Table1[[#This Row],[Accepted_Campaign_1]]+Table1[[#This Row],[Accepted_Campaign_5]]+Table1[[#This Row],[Accepted_Campaign_4]]+Table1[[#This Row],[Accepted_Campaign_3]])</f>
        <v>0</v>
      </c>
      <c r="AC1141">
        <v>1</v>
      </c>
      <c r="AD1141">
        <v>0</v>
      </c>
    </row>
    <row r="1142" spans="1:30" x14ac:dyDescent="0.25">
      <c r="A1142">
        <v>41164</v>
      </c>
      <c r="B1142">
        <v>8692</v>
      </c>
      <c r="C1142">
        <v>1952</v>
      </c>
      <c r="D1142" t="s">
        <v>8</v>
      </c>
      <c r="E1142" t="s">
        <v>6</v>
      </c>
      <c r="F1142" t="s">
        <v>12</v>
      </c>
      <c r="G1142">
        <v>43462</v>
      </c>
      <c r="H1142">
        <v>2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f>SUM(Table1[[#This Row],[Gold Spending]]+Table1[[#This Row],[Sweet Spending]]+Table1[[#This Row],[Fish Spending]]+Table1[[#This Row],[Meat Spending]]+Table1[[#This Row],[Fruits Spending]]+Table1[[#This Row],[Wine Spending ]])</f>
        <v>240</v>
      </c>
      <c r="Q1142">
        <v>6</v>
      </c>
      <c r="R1142">
        <v>4</v>
      </c>
      <c r="S1142">
        <v>1</v>
      </c>
      <c r="T1142">
        <v>5</v>
      </c>
      <c r="U1142">
        <f>SUM(Table1[[#This Row],[Store_Purchases]]+Table1[[#This Row],[Catalog_Purchases]]+Table1[[#This Row],[Web_Purchases]]+Table1[[#This Row],[Deal_Purchases]])</f>
        <v>16</v>
      </c>
      <c r="V1142">
        <v>8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f>SUM(Table1[[#This Row],[Accepted_Campaign_2]]+Table1[[#This Row],[Accepted_Campaign_1]]+Table1[[#This Row],[Accepted_Campaign_5]]+Table1[[#This Row],[Accepted_Campaign_4]]+Table1[[#This Row],[Accepted_Campaign_3]])</f>
        <v>0</v>
      </c>
      <c r="AC1142">
        <v>0</v>
      </c>
      <c r="AD1142">
        <v>0</v>
      </c>
    </row>
    <row r="1143" spans="1:30" x14ac:dyDescent="0.25">
      <c r="A1143">
        <v>41154</v>
      </c>
      <c r="B1143">
        <v>8091</v>
      </c>
      <c r="C1143">
        <v>1956</v>
      </c>
      <c r="D1143" t="s">
        <v>17</v>
      </c>
      <c r="E1143" t="s">
        <v>6</v>
      </c>
      <c r="F1143" t="s">
        <v>11</v>
      </c>
      <c r="G1143">
        <v>63943</v>
      </c>
      <c r="H1143">
        <v>1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f>SUM(Table1[[#This Row],[Gold Spending]]+Table1[[#This Row],[Sweet Spending]]+Table1[[#This Row],[Fish Spending]]+Table1[[#This Row],[Meat Spending]]+Table1[[#This Row],[Fruits Spending]]+Table1[[#This Row],[Wine Spending ]])</f>
        <v>1106</v>
      </c>
      <c r="Q1143">
        <v>1</v>
      </c>
      <c r="R1143">
        <v>6</v>
      </c>
      <c r="S1143">
        <v>4</v>
      </c>
      <c r="T1143">
        <v>6</v>
      </c>
      <c r="U1143">
        <f>SUM(Table1[[#This Row],[Store_Purchases]]+Table1[[#This Row],[Catalog_Purchases]]+Table1[[#This Row],[Web_Purchases]]+Table1[[#This Row],[Deal_Purchases]])</f>
        <v>17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f>SUM(Table1[[#This Row],[Accepted_Campaign_2]]+Table1[[#This Row],[Accepted_Campaign_1]]+Table1[[#This Row],[Accepted_Campaign_5]]+Table1[[#This Row],[Accepted_Campaign_4]]+Table1[[#This Row],[Accepted_Campaign_3]])</f>
        <v>0</v>
      </c>
      <c r="AC1143">
        <v>0</v>
      </c>
      <c r="AD1143">
        <v>0</v>
      </c>
    </row>
    <row r="1144" spans="1:30" x14ac:dyDescent="0.25">
      <c r="A1144">
        <v>41138</v>
      </c>
      <c r="B1144">
        <v>8080</v>
      </c>
      <c r="C1144">
        <v>1986</v>
      </c>
      <c r="D1144" t="s">
        <v>17</v>
      </c>
      <c r="E1144" t="s">
        <v>6</v>
      </c>
      <c r="F1144" t="s">
        <v>9</v>
      </c>
      <c r="G1144">
        <v>26816</v>
      </c>
      <c r="H1144">
        <v>0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1144">
        <v>1</v>
      </c>
      <c r="R1144">
        <v>0</v>
      </c>
      <c r="S1144">
        <v>0</v>
      </c>
      <c r="T1144">
        <v>3</v>
      </c>
      <c r="U1144">
        <f>SUM(Table1[[#This Row],[Store_Purchases]]+Table1[[#This Row],[Catalog_Purchases]]+Table1[[#This Row],[Web_Purchases]]+Table1[[#This Row],[Deal_Purchases]])</f>
        <v>4</v>
      </c>
      <c r="V1144">
        <v>4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f>SUM(Table1[[#This Row],[Accepted_Campaign_2]]+Table1[[#This Row],[Accepted_Campaign_1]]+Table1[[#This Row],[Accepted_Campaign_5]]+Table1[[#This Row],[Accepted_Campaign_4]]+Table1[[#This Row],[Accepted_Campaign_3]])</f>
        <v>0</v>
      </c>
      <c r="AC1144">
        <v>0</v>
      </c>
      <c r="AD1144">
        <v>0</v>
      </c>
    </row>
    <row r="1145" spans="1:30" x14ac:dyDescent="0.25">
      <c r="A1145">
        <v>41123</v>
      </c>
      <c r="B1145">
        <v>8370</v>
      </c>
      <c r="C1145">
        <v>1976</v>
      </c>
      <c r="D1145" t="s">
        <v>10</v>
      </c>
      <c r="E1145" t="s">
        <v>15</v>
      </c>
      <c r="F1145" t="s">
        <v>12</v>
      </c>
      <c r="G1145">
        <v>75484</v>
      </c>
      <c r="H1145">
        <v>1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f>SUM(Table1[[#This Row],[Gold Spending]]+Table1[[#This Row],[Sweet Spending]]+Table1[[#This Row],[Fish Spending]]+Table1[[#This Row],[Meat Spending]]+Table1[[#This Row],[Fruits Spending]]+Table1[[#This Row],[Wine Spending ]])</f>
        <v>1159</v>
      </c>
      <c r="Q1145">
        <v>2</v>
      </c>
      <c r="R1145">
        <v>7</v>
      </c>
      <c r="S1145">
        <v>3</v>
      </c>
      <c r="T1145">
        <v>6</v>
      </c>
      <c r="U1145">
        <f>SUM(Table1[[#This Row],[Store_Purchases]]+Table1[[#This Row],[Catalog_Purchases]]+Table1[[#This Row],[Web_Purchases]]+Table1[[#This Row],[Deal_Purchases]])</f>
        <v>18</v>
      </c>
      <c r="V1145">
        <v>4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f>SUM(Table1[[#This Row],[Accepted_Campaign_2]]+Table1[[#This Row],[Accepted_Campaign_1]]+Table1[[#This Row],[Accepted_Campaign_5]]+Table1[[#This Row],[Accepted_Campaign_4]]+Table1[[#This Row],[Accepted_Campaign_3]])</f>
        <v>0</v>
      </c>
      <c r="AC1145">
        <v>0</v>
      </c>
      <c r="AD1145">
        <v>0</v>
      </c>
    </row>
    <row r="1146" spans="1:30" x14ac:dyDescent="0.25">
      <c r="A1146">
        <v>41814</v>
      </c>
      <c r="B1146">
        <v>4550</v>
      </c>
      <c r="C1146">
        <v>1966</v>
      </c>
      <c r="D1146" t="s">
        <v>8</v>
      </c>
      <c r="E1146" t="s">
        <v>18</v>
      </c>
      <c r="F1146" t="s">
        <v>12</v>
      </c>
      <c r="G1146">
        <v>33564</v>
      </c>
      <c r="H1146">
        <v>1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f>SUM(Table1[[#This Row],[Gold Spending]]+Table1[[#This Row],[Sweet Spending]]+Table1[[#This Row],[Fish Spending]]+Table1[[#This Row],[Meat Spending]]+Table1[[#This Row],[Fruits Spending]]+Table1[[#This Row],[Wine Spending ]])</f>
        <v>71</v>
      </c>
      <c r="Q1146">
        <v>1</v>
      </c>
      <c r="R1146">
        <v>1</v>
      </c>
      <c r="S1146">
        <v>1</v>
      </c>
      <c r="T1146">
        <v>3</v>
      </c>
      <c r="U1146">
        <f>SUM(Table1[[#This Row],[Store_Purchases]]+Table1[[#This Row],[Catalog_Purchases]]+Table1[[#This Row],[Web_Purchases]]+Table1[[#This Row],[Deal_Purchases]])</f>
        <v>6</v>
      </c>
      <c r="V1146">
        <v>5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f>SUM(Table1[[#This Row],[Accepted_Campaign_2]]+Table1[[#This Row],[Accepted_Campaign_1]]+Table1[[#This Row],[Accepted_Campaign_5]]+Table1[[#This Row],[Accepted_Campaign_4]]+Table1[[#This Row],[Accepted_Campaign_3]])</f>
        <v>0</v>
      </c>
      <c r="AC1146">
        <v>0</v>
      </c>
      <c r="AD1146">
        <v>0</v>
      </c>
    </row>
    <row r="1147" spans="1:30" x14ac:dyDescent="0.25">
      <c r="A1147">
        <v>41798</v>
      </c>
      <c r="B1147">
        <v>3381</v>
      </c>
      <c r="C1147">
        <v>1953</v>
      </c>
      <c r="D1147" t="s">
        <v>10</v>
      </c>
      <c r="E1147" t="s">
        <v>18</v>
      </c>
      <c r="F1147" t="s">
        <v>11</v>
      </c>
      <c r="G1147">
        <v>54348</v>
      </c>
      <c r="H1147">
        <v>2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f>SUM(Table1[[#This Row],[Gold Spending]]+Table1[[#This Row],[Sweet Spending]]+Table1[[#This Row],[Fish Spending]]+Table1[[#This Row],[Meat Spending]]+Table1[[#This Row],[Fruits Spending]]+Table1[[#This Row],[Wine Spending ]])</f>
        <v>90</v>
      </c>
      <c r="Q1147">
        <v>2</v>
      </c>
      <c r="R1147">
        <v>2</v>
      </c>
      <c r="S1147">
        <v>0</v>
      </c>
      <c r="T1147">
        <v>4</v>
      </c>
      <c r="U1147">
        <f>SUM(Table1[[#This Row],[Store_Purchases]]+Table1[[#This Row],[Catalog_Purchases]]+Table1[[#This Row],[Web_Purchases]]+Table1[[#This Row],[Deal_Purchases]])</f>
        <v>8</v>
      </c>
      <c r="V1147">
        <v>6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f>SUM(Table1[[#This Row],[Accepted_Campaign_2]]+Table1[[#This Row],[Accepted_Campaign_1]]+Table1[[#This Row],[Accepted_Campaign_5]]+Table1[[#This Row],[Accepted_Campaign_4]]+Table1[[#This Row],[Accepted_Campaign_3]])</f>
        <v>0</v>
      </c>
      <c r="AC1147">
        <v>0</v>
      </c>
      <c r="AD1147">
        <v>0</v>
      </c>
    </row>
    <row r="1148" spans="1:30" x14ac:dyDescent="0.25">
      <c r="A1148">
        <v>41783</v>
      </c>
      <c r="B1148">
        <v>10556</v>
      </c>
      <c r="C1148">
        <v>1959</v>
      </c>
      <c r="D1148" t="s">
        <v>8</v>
      </c>
      <c r="E1148" t="s">
        <v>6</v>
      </c>
      <c r="F1148" t="s">
        <v>11</v>
      </c>
      <c r="G1148">
        <v>54984</v>
      </c>
      <c r="H1148">
        <v>1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f>SUM(Table1[[#This Row],[Gold Spending]]+Table1[[#This Row],[Sweet Spending]]+Table1[[#This Row],[Fish Spending]]+Table1[[#This Row],[Meat Spending]]+Table1[[#This Row],[Fruits Spending]]+Table1[[#This Row],[Wine Spending ]])</f>
        <v>358</v>
      </c>
      <c r="Q1148">
        <v>4</v>
      </c>
      <c r="R1148">
        <v>6</v>
      </c>
      <c r="S1148">
        <v>1</v>
      </c>
      <c r="T1148">
        <v>6</v>
      </c>
      <c r="U1148">
        <f>SUM(Table1[[#This Row],[Store_Purchases]]+Table1[[#This Row],[Catalog_Purchases]]+Table1[[#This Row],[Web_Purchases]]+Table1[[#This Row],[Deal_Purchases]])</f>
        <v>17</v>
      </c>
      <c r="V1148">
        <v>7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f>SUM(Table1[[#This Row],[Accepted_Campaign_2]]+Table1[[#This Row],[Accepted_Campaign_1]]+Table1[[#This Row],[Accepted_Campaign_5]]+Table1[[#This Row],[Accepted_Campaign_4]]+Table1[[#This Row],[Accepted_Campaign_3]])</f>
        <v>1</v>
      </c>
      <c r="AC1148">
        <v>0</v>
      </c>
      <c r="AD1148">
        <v>0</v>
      </c>
    </row>
    <row r="1149" spans="1:30" x14ac:dyDescent="0.25">
      <c r="A1149">
        <v>41770</v>
      </c>
      <c r="B1149">
        <v>9467</v>
      </c>
      <c r="C1149">
        <v>1984</v>
      </c>
      <c r="D1149" t="s">
        <v>8</v>
      </c>
      <c r="E1149" t="s">
        <v>6</v>
      </c>
      <c r="F1149" t="s">
        <v>9</v>
      </c>
      <c r="G1149">
        <v>34738</v>
      </c>
      <c r="H1149">
        <v>1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f>SUM(Table1[[#This Row],[Gold Spending]]+Table1[[#This Row],[Sweet Spending]]+Table1[[#This Row],[Fish Spending]]+Table1[[#This Row],[Meat Spending]]+Table1[[#This Row],[Fruits Spending]]+Table1[[#This Row],[Wine Spending ]])</f>
        <v>20</v>
      </c>
      <c r="Q1149">
        <v>1</v>
      </c>
      <c r="R1149">
        <v>1</v>
      </c>
      <c r="S1149">
        <v>0</v>
      </c>
      <c r="T1149">
        <v>3</v>
      </c>
      <c r="U1149">
        <f>SUM(Table1[[#This Row],[Store_Purchases]]+Table1[[#This Row],[Catalog_Purchases]]+Table1[[#This Row],[Web_Purchases]]+Table1[[#This Row],[Deal_Purchases]])</f>
        <v>5</v>
      </c>
      <c r="V1149">
        <v>6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f>SUM(Table1[[#This Row],[Accepted_Campaign_2]]+Table1[[#This Row],[Accepted_Campaign_1]]+Table1[[#This Row],[Accepted_Campaign_5]]+Table1[[#This Row],[Accepted_Campaign_4]]+Table1[[#This Row],[Accepted_Campaign_3]])</f>
        <v>0</v>
      </c>
      <c r="AC1149">
        <v>0</v>
      </c>
      <c r="AD1149">
        <v>0</v>
      </c>
    </row>
    <row r="1150" spans="1:30" x14ac:dyDescent="0.25">
      <c r="A1150">
        <v>41565</v>
      </c>
      <c r="B1150">
        <v>2891</v>
      </c>
      <c r="C1150">
        <v>1963</v>
      </c>
      <c r="D1150" t="s">
        <v>63</v>
      </c>
      <c r="E1150" t="s">
        <v>6</v>
      </c>
      <c r="F1150" t="s">
        <v>7</v>
      </c>
      <c r="G1150">
        <v>68118</v>
      </c>
      <c r="H1150">
        <v>1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f>SUM(Table1[[#This Row],[Gold Spending]]+Table1[[#This Row],[Sweet Spending]]+Table1[[#This Row],[Fish Spending]]+Table1[[#This Row],[Meat Spending]]+Table1[[#This Row],[Fruits Spending]]+Table1[[#This Row],[Wine Spending ]])</f>
        <v>928</v>
      </c>
      <c r="Q1150">
        <v>2</v>
      </c>
      <c r="R1150">
        <v>8</v>
      </c>
      <c r="S1150">
        <v>9</v>
      </c>
      <c r="T1150">
        <v>4</v>
      </c>
      <c r="U1150">
        <f>SUM(Table1[[#This Row],[Store_Purchases]]+Table1[[#This Row],[Catalog_Purchases]]+Table1[[#This Row],[Web_Purchases]]+Table1[[#This Row],[Deal_Purchases]])</f>
        <v>23</v>
      </c>
      <c r="V1150">
        <v>6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f>SUM(Table1[[#This Row],[Accepted_Campaign_2]]+Table1[[#This Row],[Accepted_Campaign_1]]+Table1[[#This Row],[Accepted_Campaign_5]]+Table1[[#This Row],[Accepted_Campaign_4]]+Table1[[#This Row],[Accepted_Campaign_3]])</f>
        <v>0</v>
      </c>
      <c r="AC1150">
        <v>0</v>
      </c>
      <c r="AD1150">
        <v>0</v>
      </c>
    </row>
    <row r="1151" spans="1:30" x14ac:dyDescent="0.25">
      <c r="A1151">
        <v>41565</v>
      </c>
      <c r="B1151">
        <v>5011</v>
      </c>
      <c r="C1151">
        <v>1963</v>
      </c>
      <c r="D1151" t="s">
        <v>8</v>
      </c>
      <c r="E1151" t="s">
        <v>6</v>
      </c>
      <c r="F1151" t="s">
        <v>7</v>
      </c>
      <c r="G1151">
        <v>68118</v>
      </c>
      <c r="H1151">
        <v>1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f>SUM(Table1[[#This Row],[Gold Spending]]+Table1[[#This Row],[Sweet Spending]]+Table1[[#This Row],[Fish Spending]]+Table1[[#This Row],[Meat Spending]]+Table1[[#This Row],[Fruits Spending]]+Table1[[#This Row],[Wine Spending ]])</f>
        <v>928</v>
      </c>
      <c r="Q1151">
        <v>2</v>
      </c>
      <c r="R1151">
        <v>8</v>
      </c>
      <c r="S1151">
        <v>9</v>
      </c>
      <c r="T1151">
        <v>4</v>
      </c>
      <c r="U1151">
        <f>SUM(Table1[[#This Row],[Store_Purchases]]+Table1[[#This Row],[Catalog_Purchases]]+Table1[[#This Row],[Web_Purchases]]+Table1[[#This Row],[Deal_Purchases]])</f>
        <v>23</v>
      </c>
      <c r="V1151">
        <v>6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f>SUM(Table1[[#This Row],[Accepted_Campaign_2]]+Table1[[#This Row],[Accepted_Campaign_1]]+Table1[[#This Row],[Accepted_Campaign_5]]+Table1[[#This Row],[Accepted_Campaign_4]]+Table1[[#This Row],[Accepted_Campaign_3]])</f>
        <v>0</v>
      </c>
      <c r="AC1151">
        <v>0</v>
      </c>
      <c r="AD1151">
        <v>0</v>
      </c>
    </row>
    <row r="1152" spans="1:30" x14ac:dyDescent="0.25">
      <c r="A1152">
        <v>41550</v>
      </c>
      <c r="B1152">
        <v>8140</v>
      </c>
      <c r="C1152">
        <v>1973</v>
      </c>
      <c r="D1152" t="s">
        <v>13</v>
      </c>
      <c r="E1152" t="s">
        <v>6</v>
      </c>
      <c r="F1152" t="s">
        <v>12</v>
      </c>
      <c r="G1152">
        <v>22682</v>
      </c>
      <c r="H1152">
        <v>1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f>SUM(Table1[[#This Row],[Gold Spending]]+Table1[[#This Row],[Sweet Spending]]+Table1[[#This Row],[Fish Spending]]+Table1[[#This Row],[Meat Spending]]+Table1[[#This Row],[Fruits Spending]]+Table1[[#This Row],[Wine Spending ]])</f>
        <v>95</v>
      </c>
      <c r="Q1152">
        <v>3</v>
      </c>
      <c r="R1152">
        <v>2</v>
      </c>
      <c r="S1152">
        <v>1</v>
      </c>
      <c r="T1152">
        <v>4</v>
      </c>
      <c r="U1152">
        <f>SUM(Table1[[#This Row],[Store_Purchases]]+Table1[[#This Row],[Catalog_Purchases]]+Table1[[#This Row],[Web_Purchases]]+Table1[[#This Row],[Deal_Purchases]])</f>
        <v>10</v>
      </c>
      <c r="V1152">
        <v>4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f>SUM(Table1[[#This Row],[Accepted_Campaign_2]]+Table1[[#This Row],[Accepted_Campaign_1]]+Table1[[#This Row],[Accepted_Campaign_5]]+Table1[[#This Row],[Accepted_Campaign_4]]+Table1[[#This Row],[Accepted_Campaign_3]])</f>
        <v>0</v>
      </c>
      <c r="AC1152">
        <v>0</v>
      </c>
      <c r="AD1152">
        <v>0</v>
      </c>
    </row>
    <row r="1153" spans="1:30" x14ac:dyDescent="0.25">
      <c r="A1153">
        <v>41534</v>
      </c>
      <c r="B1153">
        <v>11039</v>
      </c>
      <c r="C1153">
        <v>1975</v>
      </c>
      <c r="D1153" t="s">
        <v>8</v>
      </c>
      <c r="E1153" t="s">
        <v>6</v>
      </c>
      <c r="F1153" t="s">
        <v>11</v>
      </c>
      <c r="G1153">
        <v>51948</v>
      </c>
      <c r="H1153">
        <v>1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f>SUM(Table1[[#This Row],[Gold Spending]]+Table1[[#This Row],[Sweet Spending]]+Table1[[#This Row],[Fish Spending]]+Table1[[#This Row],[Meat Spending]]+Table1[[#This Row],[Fruits Spending]]+Table1[[#This Row],[Wine Spending ]])</f>
        <v>311</v>
      </c>
      <c r="Q1153">
        <v>2</v>
      </c>
      <c r="R1153">
        <v>5</v>
      </c>
      <c r="S1153">
        <v>2</v>
      </c>
      <c r="T1153">
        <v>4</v>
      </c>
      <c r="U1153">
        <f>SUM(Table1[[#This Row],[Store_Purchases]]+Table1[[#This Row],[Catalog_Purchases]]+Table1[[#This Row],[Web_Purchases]]+Table1[[#This Row],[Deal_Purchases]])</f>
        <v>13</v>
      </c>
      <c r="V1153">
        <v>5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f>SUM(Table1[[#This Row],[Accepted_Campaign_2]]+Table1[[#This Row],[Accepted_Campaign_1]]+Table1[[#This Row],[Accepted_Campaign_5]]+Table1[[#This Row],[Accepted_Campaign_4]]+Table1[[#This Row],[Accepted_Campaign_3]])</f>
        <v>0</v>
      </c>
      <c r="AC1153">
        <v>0</v>
      </c>
      <c r="AD1153">
        <v>0</v>
      </c>
    </row>
    <row r="1154" spans="1:30" x14ac:dyDescent="0.25">
      <c r="A1154">
        <v>41532</v>
      </c>
      <c r="B1154">
        <v>78</v>
      </c>
      <c r="C1154">
        <v>1969</v>
      </c>
      <c r="D1154" t="s">
        <v>8</v>
      </c>
      <c r="E1154" t="s">
        <v>6</v>
      </c>
      <c r="F1154" t="s">
        <v>11</v>
      </c>
      <c r="G1154">
        <v>25293</v>
      </c>
      <c r="H1154">
        <v>1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f>SUM(Table1[[#This Row],[Gold Spending]]+Table1[[#This Row],[Sweet Spending]]+Table1[[#This Row],[Fish Spending]]+Table1[[#This Row],[Meat Spending]]+Table1[[#This Row],[Fruits Spending]]+Table1[[#This Row],[Wine Spending ]])</f>
        <v>37</v>
      </c>
      <c r="Q1154">
        <v>1</v>
      </c>
      <c r="R1154">
        <v>1</v>
      </c>
      <c r="S1154">
        <v>1</v>
      </c>
      <c r="T1154">
        <v>2</v>
      </c>
      <c r="U1154">
        <f>SUM(Table1[[#This Row],[Store_Purchases]]+Table1[[#This Row],[Catalog_Purchases]]+Table1[[#This Row],[Web_Purchases]]+Table1[[#This Row],[Deal_Purchases]])</f>
        <v>5</v>
      </c>
      <c r="V1154">
        <v>8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f>SUM(Table1[[#This Row],[Accepted_Campaign_2]]+Table1[[#This Row],[Accepted_Campaign_1]]+Table1[[#This Row],[Accepted_Campaign_5]]+Table1[[#This Row],[Accepted_Campaign_4]]+Table1[[#This Row],[Accepted_Campaign_3]])</f>
        <v>0</v>
      </c>
      <c r="AC1154">
        <v>0</v>
      </c>
      <c r="AD1154">
        <v>0</v>
      </c>
    </row>
    <row r="1155" spans="1:30" x14ac:dyDescent="0.25">
      <c r="A1155">
        <v>41532</v>
      </c>
      <c r="B1155">
        <v>5517</v>
      </c>
      <c r="C1155">
        <v>1969</v>
      </c>
      <c r="D1155" t="s">
        <v>13</v>
      </c>
      <c r="E1155" t="s">
        <v>6</v>
      </c>
      <c r="F1155" t="s">
        <v>11</v>
      </c>
      <c r="G1155">
        <v>25293</v>
      </c>
      <c r="H1155">
        <v>1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f>SUM(Table1[[#This Row],[Gold Spending]]+Table1[[#This Row],[Sweet Spending]]+Table1[[#This Row],[Fish Spending]]+Table1[[#This Row],[Meat Spending]]+Table1[[#This Row],[Fruits Spending]]+Table1[[#This Row],[Wine Spending ]])</f>
        <v>37</v>
      </c>
      <c r="Q1155">
        <v>1</v>
      </c>
      <c r="R1155">
        <v>1</v>
      </c>
      <c r="S1155">
        <v>1</v>
      </c>
      <c r="T1155">
        <v>2</v>
      </c>
      <c r="U1155">
        <f>SUM(Table1[[#This Row],[Store_Purchases]]+Table1[[#This Row],[Catalog_Purchases]]+Table1[[#This Row],[Web_Purchases]]+Table1[[#This Row],[Deal_Purchases]])</f>
        <v>5</v>
      </c>
      <c r="V1155">
        <v>8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f>SUM(Table1[[#This Row],[Accepted_Campaign_2]]+Table1[[#This Row],[Accepted_Campaign_1]]+Table1[[#This Row],[Accepted_Campaign_5]]+Table1[[#This Row],[Accepted_Campaign_4]]+Table1[[#This Row],[Accepted_Campaign_3]])</f>
        <v>0</v>
      </c>
      <c r="AC1155">
        <v>0</v>
      </c>
      <c r="AD1155">
        <v>0</v>
      </c>
    </row>
    <row r="1156" spans="1:30" x14ac:dyDescent="0.25">
      <c r="A1156">
        <v>41500</v>
      </c>
      <c r="B1156">
        <v>5290</v>
      </c>
      <c r="C1156">
        <v>1964</v>
      </c>
      <c r="D1156" t="s">
        <v>10</v>
      </c>
      <c r="E1156" t="s">
        <v>14</v>
      </c>
      <c r="F1156" t="s">
        <v>11</v>
      </c>
      <c r="G1156">
        <v>41551</v>
      </c>
      <c r="H1156">
        <v>2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f>SUM(Table1[[#This Row],[Gold Spending]]+Table1[[#This Row],[Sweet Spending]]+Table1[[#This Row],[Fish Spending]]+Table1[[#This Row],[Meat Spending]]+Table1[[#This Row],[Fruits Spending]]+Table1[[#This Row],[Wine Spending ]])</f>
        <v>279</v>
      </c>
      <c r="Q1156">
        <v>5</v>
      </c>
      <c r="R1156">
        <v>5</v>
      </c>
      <c r="S1156">
        <v>1</v>
      </c>
      <c r="T1156">
        <v>5</v>
      </c>
      <c r="U1156">
        <f>SUM(Table1[[#This Row],[Store_Purchases]]+Table1[[#This Row],[Catalog_Purchases]]+Table1[[#This Row],[Web_Purchases]]+Table1[[#This Row],[Deal_Purchases]])</f>
        <v>16</v>
      </c>
      <c r="V1156">
        <v>8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f>SUM(Table1[[#This Row],[Accepted_Campaign_2]]+Table1[[#This Row],[Accepted_Campaign_1]]+Table1[[#This Row],[Accepted_Campaign_5]]+Table1[[#This Row],[Accepted_Campaign_4]]+Table1[[#This Row],[Accepted_Campaign_3]])</f>
        <v>0</v>
      </c>
      <c r="AC1156">
        <v>0</v>
      </c>
      <c r="AD1156">
        <v>0</v>
      </c>
    </row>
    <row r="1157" spans="1:30" x14ac:dyDescent="0.25">
      <c r="A1157">
        <v>41475</v>
      </c>
      <c r="B1157">
        <v>4128</v>
      </c>
      <c r="C1157">
        <v>1962</v>
      </c>
      <c r="D1157" t="s">
        <v>20</v>
      </c>
      <c r="E1157" t="s">
        <v>14</v>
      </c>
      <c r="F1157" t="s">
        <v>12</v>
      </c>
      <c r="G1157">
        <v>56067</v>
      </c>
      <c r="H1157">
        <v>1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f>SUM(Table1[[#This Row],[Gold Spending]]+Table1[[#This Row],[Sweet Spending]]+Table1[[#This Row],[Fish Spending]]+Table1[[#This Row],[Meat Spending]]+Table1[[#This Row],[Fruits Spending]]+Table1[[#This Row],[Wine Spending ]])</f>
        <v>725</v>
      </c>
      <c r="Q1157">
        <v>2</v>
      </c>
      <c r="R1157">
        <v>7</v>
      </c>
      <c r="S1157">
        <v>4</v>
      </c>
      <c r="T1157">
        <v>7</v>
      </c>
      <c r="U1157">
        <f>SUM(Table1[[#This Row],[Store_Purchases]]+Table1[[#This Row],[Catalog_Purchases]]+Table1[[#This Row],[Web_Purchases]]+Table1[[#This Row],[Deal_Purchases]])</f>
        <v>20</v>
      </c>
      <c r="V1157">
        <v>5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f>SUM(Table1[[#This Row],[Accepted_Campaign_2]]+Table1[[#This Row],[Accepted_Campaign_1]]+Table1[[#This Row],[Accepted_Campaign_5]]+Table1[[#This Row],[Accepted_Campaign_4]]+Table1[[#This Row],[Accepted_Campaign_3]])</f>
        <v>0</v>
      </c>
      <c r="AC1157">
        <v>0</v>
      </c>
      <c r="AD1157">
        <v>0</v>
      </c>
    </row>
    <row r="1158" spans="1:30" x14ac:dyDescent="0.25">
      <c r="A1158">
        <v>41471</v>
      </c>
      <c r="B1158">
        <v>8534</v>
      </c>
      <c r="C1158">
        <v>1952</v>
      </c>
      <c r="D1158" t="s">
        <v>8</v>
      </c>
      <c r="E1158" t="s">
        <v>6</v>
      </c>
      <c r="F1158" t="s">
        <v>11</v>
      </c>
      <c r="G1158">
        <v>67433</v>
      </c>
      <c r="H1158">
        <v>2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f>SUM(Table1[[#This Row],[Gold Spending]]+Table1[[#This Row],[Sweet Spending]]+Table1[[#This Row],[Fish Spending]]+Table1[[#This Row],[Meat Spending]]+Table1[[#This Row],[Fruits Spending]]+Table1[[#This Row],[Wine Spending ]])</f>
        <v>992</v>
      </c>
      <c r="Q1158">
        <v>4</v>
      </c>
      <c r="R1158">
        <v>6</v>
      </c>
      <c r="S1158">
        <v>5</v>
      </c>
      <c r="T1158">
        <v>13</v>
      </c>
      <c r="U1158">
        <f>SUM(Table1[[#This Row],[Store_Purchases]]+Table1[[#This Row],[Catalog_Purchases]]+Table1[[#This Row],[Web_Purchases]]+Table1[[#This Row],[Deal_Purchases]])</f>
        <v>28</v>
      </c>
      <c r="V1158">
        <v>4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f>SUM(Table1[[#This Row],[Accepted_Campaign_2]]+Table1[[#This Row],[Accepted_Campaign_1]]+Table1[[#This Row],[Accepted_Campaign_5]]+Table1[[#This Row],[Accepted_Campaign_4]]+Table1[[#This Row],[Accepted_Campaign_3]])</f>
        <v>1</v>
      </c>
      <c r="AC1158">
        <v>0</v>
      </c>
      <c r="AD1158">
        <v>0</v>
      </c>
    </row>
    <row r="1159" spans="1:30" x14ac:dyDescent="0.25">
      <c r="A1159">
        <v>41455</v>
      </c>
      <c r="B1159">
        <v>9592</v>
      </c>
      <c r="C1159">
        <v>1983</v>
      </c>
      <c r="D1159" t="s">
        <v>8</v>
      </c>
      <c r="E1159" t="s">
        <v>6</v>
      </c>
      <c r="F1159" t="s">
        <v>12</v>
      </c>
      <c r="G1159">
        <v>22010</v>
      </c>
      <c r="H1159">
        <v>1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f>SUM(Table1[[#This Row],[Gold Spending]]+Table1[[#This Row],[Sweet Spending]]+Table1[[#This Row],[Fish Spending]]+Table1[[#This Row],[Meat Spending]]+Table1[[#This Row],[Fruits Spending]]+Table1[[#This Row],[Wine Spending ]])</f>
        <v>33</v>
      </c>
      <c r="Q1159">
        <v>2</v>
      </c>
      <c r="R1159">
        <v>2</v>
      </c>
      <c r="S1159">
        <v>0</v>
      </c>
      <c r="T1159">
        <v>3</v>
      </c>
      <c r="U1159">
        <f>SUM(Table1[[#This Row],[Store_Purchases]]+Table1[[#This Row],[Catalog_Purchases]]+Table1[[#This Row],[Web_Purchases]]+Table1[[#This Row],[Deal_Purchases]])</f>
        <v>7</v>
      </c>
      <c r="V1159">
        <v>8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f>SUM(Table1[[#This Row],[Accepted_Campaign_2]]+Table1[[#This Row],[Accepted_Campaign_1]]+Table1[[#This Row],[Accepted_Campaign_5]]+Table1[[#This Row],[Accepted_Campaign_4]]+Table1[[#This Row],[Accepted_Campaign_3]])</f>
        <v>0</v>
      </c>
      <c r="AC1159">
        <v>0</v>
      </c>
      <c r="AD1159">
        <v>0</v>
      </c>
    </row>
    <row r="1160" spans="1:30" x14ac:dyDescent="0.25">
      <c r="A1160">
        <v>41435</v>
      </c>
      <c r="B1160">
        <v>8957</v>
      </c>
      <c r="C1160">
        <v>1952</v>
      </c>
      <c r="D1160" t="s">
        <v>20</v>
      </c>
      <c r="E1160" t="s">
        <v>15</v>
      </c>
      <c r="F1160" t="s">
        <v>9</v>
      </c>
      <c r="G1160">
        <v>64831</v>
      </c>
      <c r="H1160">
        <v>2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f>SUM(Table1[[#This Row],[Gold Spending]]+Table1[[#This Row],[Sweet Spending]]+Table1[[#This Row],[Fish Spending]]+Table1[[#This Row],[Meat Spending]]+Table1[[#This Row],[Fruits Spending]]+Table1[[#This Row],[Wine Spending ]])</f>
        <v>1120</v>
      </c>
      <c r="Q1160">
        <v>8</v>
      </c>
      <c r="R1160">
        <v>6</v>
      </c>
      <c r="S1160">
        <v>3</v>
      </c>
      <c r="T1160">
        <v>5</v>
      </c>
      <c r="U1160">
        <f>SUM(Table1[[#This Row],[Store_Purchases]]+Table1[[#This Row],[Catalog_Purchases]]+Table1[[#This Row],[Web_Purchases]]+Table1[[#This Row],[Deal_Purchases]])</f>
        <v>22</v>
      </c>
      <c r="V1160">
        <v>6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f>SUM(Table1[[#This Row],[Accepted_Campaign_2]]+Table1[[#This Row],[Accepted_Campaign_1]]+Table1[[#This Row],[Accepted_Campaign_5]]+Table1[[#This Row],[Accepted_Campaign_4]]+Table1[[#This Row],[Accepted_Campaign_3]])</f>
        <v>0</v>
      </c>
      <c r="AC1160">
        <v>0</v>
      </c>
      <c r="AD1160">
        <v>0</v>
      </c>
    </row>
    <row r="1161" spans="1:30" x14ac:dyDescent="0.25">
      <c r="A1161">
        <v>41405</v>
      </c>
      <c r="B1161">
        <v>9308</v>
      </c>
      <c r="C1161">
        <v>1954</v>
      </c>
      <c r="D1161" t="s">
        <v>20</v>
      </c>
      <c r="E1161" t="s">
        <v>6</v>
      </c>
      <c r="F1161" t="s">
        <v>11</v>
      </c>
      <c r="G1161">
        <v>62820</v>
      </c>
      <c r="H1161">
        <v>0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f>SUM(Table1[[#This Row],[Gold Spending]]+Table1[[#This Row],[Sweet Spending]]+Table1[[#This Row],[Fish Spending]]+Table1[[#This Row],[Meat Spending]]+Table1[[#This Row],[Fruits Spending]]+Table1[[#This Row],[Wine Spending ]])</f>
        <v>976</v>
      </c>
      <c r="Q1161">
        <v>1</v>
      </c>
      <c r="R1161">
        <v>3</v>
      </c>
      <c r="S1161">
        <v>4</v>
      </c>
      <c r="T1161">
        <v>6</v>
      </c>
      <c r="U1161">
        <f>SUM(Table1[[#This Row],[Store_Purchases]]+Table1[[#This Row],[Catalog_Purchases]]+Table1[[#This Row],[Web_Purchases]]+Table1[[#This Row],[Deal_Purchases]])</f>
        <v>14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f>SUM(Table1[[#This Row],[Accepted_Campaign_2]]+Table1[[#This Row],[Accepted_Campaign_1]]+Table1[[#This Row],[Accepted_Campaign_5]]+Table1[[#This Row],[Accepted_Campaign_4]]+Table1[[#This Row],[Accepted_Campaign_3]])</f>
        <v>0</v>
      </c>
      <c r="AC1161">
        <v>0</v>
      </c>
      <c r="AD1161">
        <v>0</v>
      </c>
    </row>
    <row r="1162" spans="1:30" x14ac:dyDescent="0.25">
      <c r="A1162">
        <v>41405</v>
      </c>
      <c r="B1162">
        <v>544</v>
      </c>
      <c r="C1162">
        <v>1954</v>
      </c>
      <c r="D1162" t="s">
        <v>8</v>
      </c>
      <c r="E1162" t="s">
        <v>6</v>
      </c>
      <c r="F1162" t="s">
        <v>11</v>
      </c>
      <c r="G1162">
        <v>62820</v>
      </c>
      <c r="H1162">
        <v>0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f>SUM(Table1[[#This Row],[Gold Spending]]+Table1[[#This Row],[Sweet Spending]]+Table1[[#This Row],[Fish Spending]]+Table1[[#This Row],[Meat Spending]]+Table1[[#This Row],[Fruits Spending]]+Table1[[#This Row],[Wine Spending ]])</f>
        <v>976</v>
      </c>
      <c r="Q1162">
        <v>1</v>
      </c>
      <c r="R1162">
        <v>3</v>
      </c>
      <c r="S1162">
        <v>4</v>
      </c>
      <c r="T1162">
        <v>6</v>
      </c>
      <c r="U1162">
        <f>SUM(Table1[[#This Row],[Store_Purchases]]+Table1[[#This Row],[Catalog_Purchases]]+Table1[[#This Row],[Web_Purchases]]+Table1[[#This Row],[Deal_Purchases]])</f>
        <v>14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f>SUM(Table1[[#This Row],[Accepted_Campaign_2]]+Table1[[#This Row],[Accepted_Campaign_1]]+Table1[[#This Row],[Accepted_Campaign_5]]+Table1[[#This Row],[Accepted_Campaign_4]]+Table1[[#This Row],[Accepted_Campaign_3]])</f>
        <v>0</v>
      </c>
      <c r="AC1162">
        <v>0</v>
      </c>
      <c r="AD1162">
        <v>0</v>
      </c>
    </row>
    <row r="1163" spans="1:30" x14ac:dyDescent="0.25">
      <c r="A1163">
        <v>41380</v>
      </c>
      <c r="B1163">
        <v>5989</v>
      </c>
      <c r="C1163">
        <v>1959</v>
      </c>
      <c r="D1163" t="s">
        <v>10</v>
      </c>
      <c r="E1163" t="s">
        <v>15</v>
      </c>
      <c r="F1163" t="s">
        <v>7</v>
      </c>
      <c r="G1163">
        <v>78353</v>
      </c>
      <c r="H1163">
        <v>1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f>SUM(Table1[[#This Row],[Gold Spending]]+Table1[[#This Row],[Sweet Spending]]+Table1[[#This Row],[Fish Spending]]+Table1[[#This Row],[Meat Spending]]+Table1[[#This Row],[Fruits Spending]]+Table1[[#This Row],[Wine Spending ]])</f>
        <v>1576</v>
      </c>
      <c r="Q1163">
        <v>1</v>
      </c>
      <c r="R1163">
        <v>10</v>
      </c>
      <c r="S1163">
        <v>2</v>
      </c>
      <c r="T1163">
        <v>11</v>
      </c>
      <c r="U1163">
        <f>SUM(Table1[[#This Row],[Store_Purchases]]+Table1[[#This Row],[Catalog_Purchases]]+Table1[[#This Row],[Web_Purchases]]+Table1[[#This Row],[Deal_Purchases]])</f>
        <v>24</v>
      </c>
      <c r="V1163">
        <v>8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f>SUM(Table1[[#This Row],[Accepted_Campaign_2]]+Table1[[#This Row],[Accepted_Campaign_1]]+Table1[[#This Row],[Accepted_Campaign_5]]+Table1[[#This Row],[Accepted_Campaign_4]]+Table1[[#This Row],[Accepted_Campaign_3]])</f>
        <v>0</v>
      </c>
      <c r="AC1163">
        <v>0</v>
      </c>
      <c r="AD1163">
        <v>0</v>
      </c>
    </row>
    <row r="1164" spans="1:30" x14ac:dyDescent="0.25">
      <c r="A1164">
        <v>41352</v>
      </c>
      <c r="B1164">
        <v>635</v>
      </c>
      <c r="C1164">
        <v>1966</v>
      </c>
      <c r="D1164" t="s">
        <v>8</v>
      </c>
      <c r="E1164" t="s">
        <v>18</v>
      </c>
      <c r="F1164" t="s">
        <v>11</v>
      </c>
      <c r="G1164">
        <v>57183</v>
      </c>
      <c r="H1164">
        <v>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f>SUM(Table1[[#This Row],[Gold Spending]]+Table1[[#This Row],[Sweet Spending]]+Table1[[#This Row],[Fish Spending]]+Table1[[#This Row],[Meat Spending]]+Table1[[#This Row],[Fruits Spending]]+Table1[[#This Row],[Wine Spending ]])</f>
        <v>610</v>
      </c>
      <c r="Q1164">
        <v>8</v>
      </c>
      <c r="R1164">
        <v>9</v>
      </c>
      <c r="S1164">
        <v>1</v>
      </c>
      <c r="T1164">
        <v>7</v>
      </c>
      <c r="U1164">
        <f>SUM(Table1[[#This Row],[Store_Purchases]]+Table1[[#This Row],[Catalog_Purchases]]+Table1[[#This Row],[Web_Purchases]]+Table1[[#This Row],[Deal_Purchases]])</f>
        <v>25</v>
      </c>
      <c r="V1164">
        <v>8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f>SUM(Table1[[#This Row],[Accepted_Campaign_2]]+Table1[[#This Row],[Accepted_Campaign_1]]+Table1[[#This Row],[Accepted_Campaign_5]]+Table1[[#This Row],[Accepted_Campaign_4]]+Table1[[#This Row],[Accepted_Campaign_3]])</f>
        <v>0</v>
      </c>
      <c r="AC1164">
        <v>0</v>
      </c>
      <c r="AD1164">
        <v>0</v>
      </c>
    </row>
    <row r="1165" spans="1:30" x14ac:dyDescent="0.25">
      <c r="A1165">
        <v>41352</v>
      </c>
      <c r="B1165">
        <v>6673</v>
      </c>
      <c r="C1165">
        <v>1965</v>
      </c>
      <c r="D1165" t="s">
        <v>63</v>
      </c>
      <c r="E1165" t="s">
        <v>6</v>
      </c>
      <c r="F1165" t="s">
        <v>9</v>
      </c>
      <c r="G1165">
        <v>23478</v>
      </c>
      <c r="H1165">
        <v>0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f>SUM(Table1[[#This Row],[Gold Spending]]+Table1[[#This Row],[Sweet Spending]]+Table1[[#This Row],[Fish Spending]]+Table1[[#This Row],[Meat Spending]]+Table1[[#This Row],[Fruits Spending]]+Table1[[#This Row],[Wine Spending ]])</f>
        <v>129</v>
      </c>
      <c r="Q1165">
        <v>1</v>
      </c>
      <c r="R1165">
        <v>3</v>
      </c>
      <c r="S1165">
        <v>0</v>
      </c>
      <c r="T1165">
        <v>3</v>
      </c>
      <c r="U1165">
        <f>SUM(Table1[[#This Row],[Store_Purchases]]+Table1[[#This Row],[Catalog_Purchases]]+Table1[[#This Row],[Web_Purchases]]+Table1[[#This Row],[Deal_Purchases]])</f>
        <v>7</v>
      </c>
      <c r="V1165">
        <v>8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f>SUM(Table1[[#This Row],[Accepted_Campaign_2]]+Table1[[#This Row],[Accepted_Campaign_1]]+Table1[[#This Row],[Accepted_Campaign_5]]+Table1[[#This Row],[Accepted_Campaign_4]]+Table1[[#This Row],[Accepted_Campaign_3]])</f>
        <v>0</v>
      </c>
      <c r="AC1165">
        <v>0</v>
      </c>
      <c r="AD1165">
        <v>0</v>
      </c>
    </row>
    <row r="1166" spans="1:30" x14ac:dyDescent="0.25">
      <c r="A1166">
        <v>41340</v>
      </c>
      <c r="B1166">
        <v>1710</v>
      </c>
      <c r="C1166">
        <v>1978</v>
      </c>
      <c r="D1166" t="s">
        <v>8</v>
      </c>
      <c r="E1166" t="s">
        <v>6</v>
      </c>
      <c r="F1166" t="s">
        <v>9</v>
      </c>
      <c r="G1166">
        <v>30168</v>
      </c>
      <c r="H1166">
        <v>1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f>SUM(Table1[[#This Row],[Gold Spending]]+Table1[[#This Row],[Sweet Spending]]+Table1[[#This Row],[Fish Spending]]+Table1[[#This Row],[Meat Spending]]+Table1[[#This Row],[Fruits Spending]]+Table1[[#This Row],[Wine Spending ]])</f>
        <v>279</v>
      </c>
      <c r="Q1166">
        <v>7</v>
      </c>
      <c r="R1166">
        <v>6</v>
      </c>
      <c r="S1166">
        <v>1</v>
      </c>
      <c r="T1166">
        <v>4</v>
      </c>
      <c r="U1166">
        <f>SUM(Table1[[#This Row],[Store_Purchases]]+Table1[[#This Row],[Catalog_Purchases]]+Table1[[#This Row],[Web_Purchases]]+Table1[[#This Row],[Deal_Purchases]])</f>
        <v>18</v>
      </c>
      <c r="V1166">
        <v>9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f>SUM(Table1[[#This Row],[Accepted_Campaign_2]]+Table1[[#This Row],[Accepted_Campaign_1]]+Table1[[#This Row],[Accepted_Campaign_5]]+Table1[[#This Row],[Accepted_Campaign_4]]+Table1[[#This Row],[Accepted_Campaign_3]])</f>
        <v>0</v>
      </c>
      <c r="AC1166">
        <v>0</v>
      </c>
      <c r="AD1166">
        <v>0</v>
      </c>
    </row>
    <row r="1167" spans="1:30" x14ac:dyDescent="0.25">
      <c r="A1167">
        <v>41305</v>
      </c>
      <c r="B1167">
        <v>523</v>
      </c>
      <c r="C1167">
        <v>1989</v>
      </c>
      <c r="D1167" t="s">
        <v>8</v>
      </c>
      <c r="E1167" t="s">
        <v>6</v>
      </c>
      <c r="F1167" t="s">
        <v>11</v>
      </c>
      <c r="G1167">
        <v>37155</v>
      </c>
      <c r="H1167">
        <v>1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f>SUM(Table1[[#This Row],[Gold Spending]]+Table1[[#This Row],[Sweet Spending]]+Table1[[#This Row],[Fish Spending]]+Table1[[#This Row],[Meat Spending]]+Table1[[#This Row],[Fruits Spending]]+Table1[[#This Row],[Wine Spending ]])</f>
        <v>74</v>
      </c>
      <c r="Q1167">
        <v>1</v>
      </c>
      <c r="R1167">
        <v>2</v>
      </c>
      <c r="S1167">
        <v>0</v>
      </c>
      <c r="T1167">
        <v>4</v>
      </c>
      <c r="U1167">
        <f>SUM(Table1[[#This Row],[Store_Purchases]]+Table1[[#This Row],[Catalog_Purchases]]+Table1[[#This Row],[Web_Purchases]]+Table1[[#This Row],[Deal_Purchases]])</f>
        <v>7</v>
      </c>
      <c r="V1167">
        <v>5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f>SUM(Table1[[#This Row],[Accepted_Campaign_2]]+Table1[[#This Row],[Accepted_Campaign_1]]+Table1[[#This Row],[Accepted_Campaign_5]]+Table1[[#This Row],[Accepted_Campaign_4]]+Table1[[#This Row],[Accepted_Campaign_3]])</f>
        <v>0</v>
      </c>
      <c r="AC1167">
        <v>0</v>
      </c>
      <c r="AD1167">
        <v>0</v>
      </c>
    </row>
    <row r="1168" spans="1:30" x14ac:dyDescent="0.25">
      <c r="A1168">
        <v>41286</v>
      </c>
      <c r="B1168">
        <v>8977</v>
      </c>
      <c r="C1168">
        <v>1985</v>
      </c>
      <c r="D1168" t="s">
        <v>8</v>
      </c>
      <c r="E1168" t="s">
        <v>21</v>
      </c>
      <c r="F1168" t="s">
        <v>9</v>
      </c>
      <c r="G1168">
        <v>16581</v>
      </c>
      <c r="H1168">
        <v>0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f>SUM(Table1[[#This Row],[Gold Spending]]+Table1[[#This Row],[Sweet Spending]]+Table1[[#This Row],[Fish Spending]]+Table1[[#This Row],[Meat Spending]]+Table1[[#This Row],[Fruits Spending]]+Table1[[#This Row],[Wine Spending ]])</f>
        <v>24</v>
      </c>
      <c r="Q1168">
        <v>1</v>
      </c>
      <c r="R1168">
        <v>0</v>
      </c>
      <c r="S1168">
        <v>0</v>
      </c>
      <c r="T1168">
        <v>3</v>
      </c>
      <c r="U1168">
        <f>SUM(Table1[[#This Row],[Store_Purchases]]+Table1[[#This Row],[Catalog_Purchases]]+Table1[[#This Row],[Web_Purchases]]+Table1[[#This Row],[Deal_Purchases]])</f>
        <v>4</v>
      </c>
      <c r="V1168">
        <v>4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f>SUM(Table1[[#This Row],[Accepted_Campaign_2]]+Table1[[#This Row],[Accepted_Campaign_1]]+Table1[[#This Row],[Accepted_Campaign_5]]+Table1[[#This Row],[Accepted_Campaign_4]]+Table1[[#This Row],[Accepted_Campaign_3]])</f>
        <v>0</v>
      </c>
      <c r="AC1168">
        <v>0</v>
      </c>
      <c r="AD1168">
        <v>0</v>
      </c>
    </row>
    <row r="1169" spans="1:30" x14ac:dyDescent="0.25">
      <c r="A1169">
        <v>41267</v>
      </c>
      <c r="B1169">
        <v>9736</v>
      </c>
      <c r="C1169">
        <v>1980</v>
      </c>
      <c r="D1169" t="s">
        <v>63</v>
      </c>
      <c r="E1169" t="s">
        <v>6</v>
      </c>
      <c r="F1169" t="s">
        <v>11</v>
      </c>
      <c r="G1169">
        <v>41850</v>
      </c>
      <c r="H1169">
        <v>2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f>SUM(Table1[[#This Row],[Gold Spending]]+Table1[[#This Row],[Sweet Spending]]+Table1[[#This Row],[Fish Spending]]+Table1[[#This Row],[Meat Spending]]+Table1[[#This Row],[Fruits Spending]]+Table1[[#This Row],[Wine Spending ]])</f>
        <v>96</v>
      </c>
      <c r="Q1169">
        <v>3</v>
      </c>
      <c r="R1169">
        <v>3</v>
      </c>
      <c r="S1169">
        <v>0</v>
      </c>
      <c r="T1169">
        <v>3</v>
      </c>
      <c r="U1169">
        <f>SUM(Table1[[#This Row],[Store_Purchases]]+Table1[[#This Row],[Catalog_Purchases]]+Table1[[#This Row],[Web_Purchases]]+Table1[[#This Row],[Deal_Purchases]])</f>
        <v>9</v>
      </c>
      <c r="V1169">
        <v>8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f>SUM(Table1[[#This Row],[Accepted_Campaign_2]]+Table1[[#This Row],[Accepted_Campaign_1]]+Table1[[#This Row],[Accepted_Campaign_5]]+Table1[[#This Row],[Accepted_Campaign_4]]+Table1[[#This Row],[Accepted_Campaign_3]])</f>
        <v>0</v>
      </c>
      <c r="AC1169">
        <v>0</v>
      </c>
      <c r="AD1169">
        <v>0</v>
      </c>
    </row>
    <row r="1170" spans="1:30" x14ac:dyDescent="0.25">
      <c r="A1170">
        <v>41265</v>
      </c>
      <c r="B1170">
        <v>1544</v>
      </c>
      <c r="C1170">
        <v>1967</v>
      </c>
      <c r="D1170" t="s">
        <v>10</v>
      </c>
      <c r="E1170" t="s">
        <v>18</v>
      </c>
      <c r="F1170" t="s">
        <v>7</v>
      </c>
      <c r="G1170">
        <v>81380</v>
      </c>
      <c r="H1170">
        <v>0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f>SUM(Table1[[#This Row],[Gold Spending]]+Table1[[#This Row],[Sweet Spending]]+Table1[[#This Row],[Fish Spending]]+Table1[[#This Row],[Meat Spending]]+Table1[[#This Row],[Fruits Spending]]+Table1[[#This Row],[Wine Spending ]])</f>
        <v>1893</v>
      </c>
      <c r="Q1170">
        <v>1</v>
      </c>
      <c r="R1170">
        <v>4</v>
      </c>
      <c r="S1170">
        <v>2</v>
      </c>
      <c r="T1170">
        <v>10</v>
      </c>
      <c r="U1170">
        <f>SUM(Table1[[#This Row],[Store_Purchases]]+Table1[[#This Row],[Catalog_Purchases]]+Table1[[#This Row],[Web_Purchases]]+Table1[[#This Row],[Deal_Purchases]])</f>
        <v>17</v>
      </c>
      <c r="V1170">
        <v>2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f>SUM(Table1[[#This Row],[Accepted_Campaign_2]]+Table1[[#This Row],[Accepted_Campaign_1]]+Table1[[#This Row],[Accepted_Campaign_5]]+Table1[[#This Row],[Accepted_Campaign_4]]+Table1[[#This Row],[Accepted_Campaign_3]])</f>
        <v>0</v>
      </c>
      <c r="AC1170">
        <v>0</v>
      </c>
      <c r="AD1170">
        <v>0</v>
      </c>
    </row>
    <row r="1171" spans="1:30" x14ac:dyDescent="0.25">
      <c r="A1171">
        <v>41209</v>
      </c>
      <c r="B1171">
        <v>6575</v>
      </c>
      <c r="C1171">
        <v>1981</v>
      </c>
      <c r="D1171" t="s">
        <v>20</v>
      </c>
      <c r="E1171" t="s">
        <v>6</v>
      </c>
      <c r="F1171" t="s">
        <v>12</v>
      </c>
      <c r="G1171">
        <v>56386</v>
      </c>
      <c r="H1171">
        <v>2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f>SUM(Table1[[#This Row],[Gold Spending]]+Table1[[#This Row],[Sweet Spending]]+Table1[[#This Row],[Fish Spending]]+Table1[[#This Row],[Meat Spending]]+Table1[[#This Row],[Fruits Spending]]+Table1[[#This Row],[Wine Spending ]])</f>
        <v>612</v>
      </c>
      <c r="Q1171">
        <v>8</v>
      </c>
      <c r="R1171">
        <v>9</v>
      </c>
      <c r="S1171">
        <v>1</v>
      </c>
      <c r="T1171">
        <v>7</v>
      </c>
      <c r="U1171">
        <f>SUM(Table1[[#This Row],[Store_Purchases]]+Table1[[#This Row],[Catalog_Purchases]]+Table1[[#This Row],[Web_Purchases]]+Table1[[#This Row],[Deal_Purchases]])</f>
        <v>25</v>
      </c>
      <c r="V1171">
        <v>9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f>SUM(Table1[[#This Row],[Accepted_Campaign_2]]+Table1[[#This Row],[Accepted_Campaign_1]]+Table1[[#This Row],[Accepted_Campaign_5]]+Table1[[#This Row],[Accepted_Campaign_4]]+Table1[[#This Row],[Accepted_Campaign_3]])</f>
        <v>0</v>
      </c>
      <c r="AC1171">
        <v>0</v>
      </c>
      <c r="AD1171">
        <v>0</v>
      </c>
    </row>
    <row r="1172" spans="1:30" x14ac:dyDescent="0.25">
      <c r="A1172">
        <v>41200</v>
      </c>
      <c r="B1172">
        <v>6147</v>
      </c>
      <c r="C1172">
        <v>1971</v>
      </c>
      <c r="D1172" t="s">
        <v>16</v>
      </c>
      <c r="E1172" t="s">
        <v>6</v>
      </c>
      <c r="F1172" t="s">
        <v>7</v>
      </c>
      <c r="G1172">
        <v>25818</v>
      </c>
      <c r="H1172">
        <v>1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f>SUM(Table1[[#This Row],[Gold Spending]]+Table1[[#This Row],[Sweet Spending]]+Table1[[#This Row],[Fish Spending]]+Table1[[#This Row],[Meat Spending]]+Table1[[#This Row],[Fruits Spending]]+Table1[[#This Row],[Wine Spending ]])</f>
        <v>28</v>
      </c>
      <c r="Q1172">
        <v>1</v>
      </c>
      <c r="R1172">
        <v>0</v>
      </c>
      <c r="S1172">
        <v>1</v>
      </c>
      <c r="T1172">
        <v>2</v>
      </c>
      <c r="U1172">
        <f>SUM(Table1[[#This Row],[Store_Purchases]]+Table1[[#This Row],[Catalog_Purchases]]+Table1[[#This Row],[Web_Purchases]]+Table1[[#This Row],[Deal_Purchases]])</f>
        <v>4</v>
      </c>
      <c r="V1172">
        <v>7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f>SUM(Table1[[#This Row],[Accepted_Campaign_2]]+Table1[[#This Row],[Accepted_Campaign_1]]+Table1[[#This Row],[Accepted_Campaign_5]]+Table1[[#This Row],[Accepted_Campaign_4]]+Table1[[#This Row],[Accepted_Campaign_3]])</f>
        <v>0</v>
      </c>
      <c r="AC1172">
        <v>0</v>
      </c>
      <c r="AD1172">
        <v>0</v>
      </c>
    </row>
    <row r="1173" spans="1:30" x14ac:dyDescent="0.25">
      <c r="A1173">
        <v>41152</v>
      </c>
      <c r="B1173">
        <v>6354</v>
      </c>
      <c r="C1173">
        <v>1984</v>
      </c>
      <c r="D1173" t="s">
        <v>8</v>
      </c>
      <c r="E1173" t="s">
        <v>6</v>
      </c>
      <c r="F1173" t="s">
        <v>12</v>
      </c>
      <c r="G1173">
        <v>15345</v>
      </c>
      <c r="H1173">
        <v>1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f>SUM(Table1[[#This Row],[Gold Spending]]+Table1[[#This Row],[Sweet Spending]]+Table1[[#This Row],[Fish Spending]]+Table1[[#This Row],[Meat Spending]]+Table1[[#This Row],[Fruits Spending]]+Table1[[#This Row],[Wine Spending ]])</f>
        <v>47</v>
      </c>
      <c r="Q1173">
        <v>2</v>
      </c>
      <c r="R1173">
        <v>1</v>
      </c>
      <c r="S1173">
        <v>1</v>
      </c>
      <c r="T1173">
        <v>2</v>
      </c>
      <c r="U1173">
        <f>SUM(Table1[[#This Row],[Store_Purchases]]+Table1[[#This Row],[Catalog_Purchases]]+Table1[[#This Row],[Web_Purchases]]+Table1[[#This Row],[Deal_Purchases]])</f>
        <v>6</v>
      </c>
      <c r="V1173">
        <v>8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f>SUM(Table1[[#This Row],[Accepted_Campaign_2]]+Table1[[#This Row],[Accepted_Campaign_1]]+Table1[[#This Row],[Accepted_Campaign_5]]+Table1[[#This Row],[Accepted_Campaign_4]]+Table1[[#This Row],[Accepted_Campaign_3]])</f>
        <v>0</v>
      </c>
      <c r="AC1173">
        <v>1</v>
      </c>
      <c r="AD1173">
        <v>0</v>
      </c>
    </row>
    <row r="1174" spans="1:30" x14ac:dyDescent="0.25">
      <c r="A1174">
        <v>41808</v>
      </c>
      <c r="B1174">
        <v>4769</v>
      </c>
      <c r="C1174">
        <v>1977</v>
      </c>
      <c r="D1174" t="s">
        <v>8</v>
      </c>
      <c r="E1174" t="s">
        <v>18</v>
      </c>
      <c r="F1174" t="s">
        <v>12</v>
      </c>
      <c r="G1174">
        <v>57954</v>
      </c>
      <c r="H1174">
        <v>2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f>SUM(Table1[[#This Row],[Gold Spending]]+Table1[[#This Row],[Sweet Spending]]+Table1[[#This Row],[Fish Spending]]+Table1[[#This Row],[Meat Spending]]+Table1[[#This Row],[Fruits Spending]]+Table1[[#This Row],[Wine Spending ]])</f>
        <v>493</v>
      </c>
      <c r="Q1174">
        <v>7</v>
      </c>
      <c r="R1174">
        <v>8</v>
      </c>
      <c r="S1174">
        <v>2</v>
      </c>
      <c r="T1174">
        <v>6</v>
      </c>
      <c r="U1174">
        <f>SUM(Table1[[#This Row],[Store_Purchases]]+Table1[[#This Row],[Catalog_Purchases]]+Table1[[#This Row],[Web_Purchases]]+Table1[[#This Row],[Deal_Purchases]])</f>
        <v>23</v>
      </c>
      <c r="V1174">
        <v>7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f>SUM(Table1[[#This Row],[Accepted_Campaign_2]]+Table1[[#This Row],[Accepted_Campaign_1]]+Table1[[#This Row],[Accepted_Campaign_5]]+Table1[[#This Row],[Accepted_Campaign_4]]+Table1[[#This Row],[Accepted_Campaign_3]])</f>
        <v>1</v>
      </c>
      <c r="AC1174">
        <v>0</v>
      </c>
      <c r="AD1174">
        <v>0</v>
      </c>
    </row>
    <row r="1175" spans="1:30" x14ac:dyDescent="0.25">
      <c r="A1175">
        <v>41784</v>
      </c>
      <c r="B1175">
        <v>7540</v>
      </c>
      <c r="C1175">
        <v>1952</v>
      </c>
      <c r="D1175" t="s">
        <v>8</v>
      </c>
      <c r="E1175" t="s">
        <v>6</v>
      </c>
      <c r="F1175" t="s">
        <v>11</v>
      </c>
      <c r="G1175">
        <v>50300</v>
      </c>
      <c r="H1175">
        <v>1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f>SUM(Table1[[#This Row],[Gold Spending]]+Table1[[#This Row],[Sweet Spending]]+Table1[[#This Row],[Fish Spending]]+Table1[[#This Row],[Meat Spending]]+Table1[[#This Row],[Fruits Spending]]+Table1[[#This Row],[Wine Spending ]])</f>
        <v>270</v>
      </c>
      <c r="Q1175">
        <v>2</v>
      </c>
      <c r="R1175">
        <v>2</v>
      </c>
      <c r="S1175">
        <v>1</v>
      </c>
      <c r="T1175">
        <v>8</v>
      </c>
      <c r="U1175">
        <f>SUM(Table1[[#This Row],[Store_Purchases]]+Table1[[#This Row],[Catalog_Purchases]]+Table1[[#This Row],[Web_Purchases]]+Table1[[#This Row],[Deal_Purchases]])</f>
        <v>13</v>
      </c>
      <c r="V1175">
        <v>2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f>SUM(Table1[[#This Row],[Accepted_Campaign_2]]+Table1[[#This Row],[Accepted_Campaign_1]]+Table1[[#This Row],[Accepted_Campaign_5]]+Table1[[#This Row],[Accepted_Campaign_4]]+Table1[[#This Row],[Accepted_Campaign_3]])</f>
        <v>0</v>
      </c>
      <c r="AC1175">
        <v>0</v>
      </c>
      <c r="AD1175">
        <v>0</v>
      </c>
    </row>
    <row r="1176" spans="1:30" x14ac:dyDescent="0.25">
      <c r="A1176">
        <v>41769</v>
      </c>
      <c r="B1176">
        <v>5247</v>
      </c>
      <c r="C1176">
        <v>1955</v>
      </c>
      <c r="D1176" t="s">
        <v>8</v>
      </c>
      <c r="E1176" t="s">
        <v>14</v>
      </c>
      <c r="F1176" t="s">
        <v>11</v>
      </c>
      <c r="G1176">
        <v>38725</v>
      </c>
      <c r="H1176">
        <v>2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f>SUM(Table1[[#This Row],[Gold Spending]]+Table1[[#This Row],[Sweet Spending]]+Table1[[#This Row],[Fish Spending]]+Table1[[#This Row],[Meat Spending]]+Table1[[#This Row],[Fruits Spending]]+Table1[[#This Row],[Wine Spending ]])</f>
        <v>45</v>
      </c>
      <c r="Q1176">
        <v>2</v>
      </c>
      <c r="R1176">
        <v>1</v>
      </c>
      <c r="S1176">
        <v>0</v>
      </c>
      <c r="T1176">
        <v>4</v>
      </c>
      <c r="U1176">
        <f>SUM(Table1[[#This Row],[Store_Purchases]]+Table1[[#This Row],[Catalog_Purchases]]+Table1[[#This Row],[Web_Purchases]]+Table1[[#This Row],[Deal_Purchases]])</f>
        <v>7</v>
      </c>
      <c r="V1176">
        <v>4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f>SUM(Table1[[#This Row],[Accepted_Campaign_2]]+Table1[[#This Row],[Accepted_Campaign_1]]+Table1[[#This Row],[Accepted_Campaign_5]]+Table1[[#This Row],[Accepted_Campaign_4]]+Table1[[#This Row],[Accepted_Campaign_3]])</f>
        <v>0</v>
      </c>
      <c r="AC1176">
        <v>0</v>
      </c>
      <c r="AD1176">
        <v>0</v>
      </c>
    </row>
    <row r="1177" spans="1:30" x14ac:dyDescent="0.25">
      <c r="A1177">
        <v>41763</v>
      </c>
      <c r="B1177">
        <v>5987</v>
      </c>
      <c r="C1177">
        <v>1989</v>
      </c>
      <c r="D1177" t="s">
        <v>8</v>
      </c>
      <c r="E1177" t="s">
        <v>15</v>
      </c>
      <c r="F1177" t="s">
        <v>12</v>
      </c>
      <c r="G1177">
        <v>10404</v>
      </c>
      <c r="H1177">
        <v>1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f>SUM(Table1[[#This Row],[Gold Spending]]+Table1[[#This Row],[Sweet Spending]]+Table1[[#This Row],[Fish Spending]]+Table1[[#This Row],[Meat Spending]]+Table1[[#This Row],[Fruits Spending]]+Table1[[#This Row],[Wine Spending ]])</f>
        <v>43</v>
      </c>
      <c r="Q1177">
        <v>2</v>
      </c>
      <c r="R1177">
        <v>1</v>
      </c>
      <c r="S1177">
        <v>0</v>
      </c>
      <c r="T1177">
        <v>4</v>
      </c>
      <c r="U1177">
        <f>SUM(Table1[[#This Row],[Store_Purchases]]+Table1[[#This Row],[Catalog_Purchases]]+Table1[[#This Row],[Web_Purchases]]+Table1[[#This Row],[Deal_Purchases]])</f>
        <v>7</v>
      </c>
      <c r="V1177">
        <v>5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f>SUM(Table1[[#This Row],[Accepted_Campaign_2]]+Table1[[#This Row],[Accepted_Campaign_1]]+Table1[[#This Row],[Accepted_Campaign_5]]+Table1[[#This Row],[Accepted_Campaign_4]]+Table1[[#This Row],[Accepted_Campaign_3]])</f>
        <v>0</v>
      </c>
      <c r="AC1177">
        <v>0</v>
      </c>
      <c r="AD1177">
        <v>0</v>
      </c>
    </row>
    <row r="1178" spans="1:30" x14ac:dyDescent="0.25">
      <c r="A1178">
        <v>41759</v>
      </c>
      <c r="B1178">
        <v>9960</v>
      </c>
      <c r="C1178">
        <v>1991</v>
      </c>
      <c r="D1178" t="s">
        <v>20</v>
      </c>
      <c r="E1178" t="s">
        <v>21</v>
      </c>
      <c r="F1178" t="s">
        <v>9</v>
      </c>
      <c r="G1178">
        <v>26868</v>
      </c>
      <c r="H1178">
        <v>1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f>SUM(Table1[[#This Row],[Gold Spending]]+Table1[[#This Row],[Sweet Spending]]+Table1[[#This Row],[Fish Spending]]+Table1[[#This Row],[Meat Spending]]+Table1[[#This Row],[Fruits Spending]]+Table1[[#This Row],[Wine Spending ]])</f>
        <v>14</v>
      </c>
      <c r="Q1178">
        <v>1</v>
      </c>
      <c r="R1178">
        <v>1</v>
      </c>
      <c r="S1178">
        <v>0</v>
      </c>
      <c r="T1178">
        <v>2</v>
      </c>
      <c r="U1178">
        <f>SUM(Table1[[#This Row],[Store_Purchases]]+Table1[[#This Row],[Catalog_Purchases]]+Table1[[#This Row],[Web_Purchases]]+Table1[[#This Row],[Deal_Purchases]])</f>
        <v>4</v>
      </c>
      <c r="V1178">
        <v>7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f>SUM(Table1[[#This Row],[Accepted_Campaign_2]]+Table1[[#This Row],[Accepted_Campaign_1]]+Table1[[#This Row],[Accepted_Campaign_5]]+Table1[[#This Row],[Accepted_Campaign_4]]+Table1[[#This Row],[Accepted_Campaign_3]])</f>
        <v>0</v>
      </c>
      <c r="AC1178">
        <v>0</v>
      </c>
      <c r="AD1178">
        <v>0</v>
      </c>
    </row>
    <row r="1179" spans="1:30" x14ac:dyDescent="0.25">
      <c r="A1179">
        <v>41708</v>
      </c>
      <c r="B1179">
        <v>10972</v>
      </c>
      <c r="C1179">
        <v>1949</v>
      </c>
      <c r="D1179" t="s">
        <v>8</v>
      </c>
      <c r="E1179" t="s">
        <v>6</v>
      </c>
      <c r="F1179" t="s">
        <v>19</v>
      </c>
      <c r="G1179">
        <v>72298</v>
      </c>
      <c r="H1179">
        <v>0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f>SUM(Table1[[#This Row],[Gold Spending]]+Table1[[#This Row],[Sweet Spending]]+Table1[[#This Row],[Fish Spending]]+Table1[[#This Row],[Meat Spending]]+Table1[[#This Row],[Fruits Spending]]+Table1[[#This Row],[Wine Spending ]])</f>
        <v>939</v>
      </c>
      <c r="Q1179">
        <v>1</v>
      </c>
      <c r="R1179">
        <v>4</v>
      </c>
      <c r="S1179">
        <v>3</v>
      </c>
      <c r="T1179">
        <v>6</v>
      </c>
      <c r="U1179">
        <f>SUM(Table1[[#This Row],[Store_Purchases]]+Table1[[#This Row],[Catalog_Purchases]]+Table1[[#This Row],[Web_Purchases]]+Table1[[#This Row],[Deal_Purchases]])</f>
        <v>14</v>
      </c>
      <c r="V1179">
        <v>1</v>
      </c>
      <c r="W1179">
        <v>0</v>
      </c>
      <c r="X1179">
        <v>1</v>
      </c>
      <c r="Y1179">
        <v>1</v>
      </c>
      <c r="Z1179">
        <v>0</v>
      </c>
      <c r="AA1179">
        <v>0</v>
      </c>
      <c r="AB1179">
        <f>SUM(Table1[[#This Row],[Accepted_Campaign_2]]+Table1[[#This Row],[Accepted_Campaign_1]]+Table1[[#This Row],[Accepted_Campaign_5]]+Table1[[#This Row],[Accepted_Campaign_4]]+Table1[[#This Row],[Accepted_Campaign_3]])</f>
        <v>2</v>
      </c>
      <c r="AC1179">
        <v>0</v>
      </c>
      <c r="AD1179">
        <v>0</v>
      </c>
    </row>
    <row r="1180" spans="1:30" x14ac:dyDescent="0.25">
      <c r="A1180">
        <v>41660</v>
      </c>
      <c r="B1180">
        <v>1399</v>
      </c>
      <c r="C1180">
        <v>1958</v>
      </c>
      <c r="D1180" t="s">
        <v>8</v>
      </c>
      <c r="E1180" t="s">
        <v>6</v>
      </c>
      <c r="F1180" t="s">
        <v>11</v>
      </c>
      <c r="G1180">
        <v>72905</v>
      </c>
      <c r="H1180">
        <v>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f>SUM(Table1[[#This Row],[Gold Spending]]+Table1[[#This Row],[Sweet Spending]]+Table1[[#This Row],[Fish Spending]]+Table1[[#This Row],[Meat Spending]]+Table1[[#This Row],[Fruits Spending]]+Table1[[#This Row],[Wine Spending ]])</f>
        <v>1515</v>
      </c>
      <c r="Q1180">
        <v>1</v>
      </c>
      <c r="R1180">
        <v>3</v>
      </c>
      <c r="S1180">
        <v>7</v>
      </c>
      <c r="T1180">
        <v>9</v>
      </c>
      <c r="U1180">
        <f>SUM(Table1[[#This Row],[Store_Purchases]]+Table1[[#This Row],[Catalog_Purchases]]+Table1[[#This Row],[Web_Purchases]]+Table1[[#This Row],[Deal_Purchases]])</f>
        <v>20</v>
      </c>
      <c r="V1180">
        <v>1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f>SUM(Table1[[#This Row],[Accepted_Campaign_2]]+Table1[[#This Row],[Accepted_Campaign_1]]+Table1[[#This Row],[Accepted_Campaign_5]]+Table1[[#This Row],[Accepted_Campaign_4]]+Table1[[#This Row],[Accepted_Campaign_3]])</f>
        <v>1</v>
      </c>
      <c r="AC1180">
        <v>0</v>
      </c>
      <c r="AD1180">
        <v>0</v>
      </c>
    </row>
    <row r="1181" spans="1:30" x14ac:dyDescent="0.25">
      <c r="A1181">
        <v>41585</v>
      </c>
      <c r="B1181">
        <v>2698</v>
      </c>
      <c r="C1181">
        <v>1976</v>
      </c>
      <c r="D1181" t="s">
        <v>63</v>
      </c>
      <c r="E1181" t="s">
        <v>6</v>
      </c>
      <c r="F1181" t="s">
        <v>9</v>
      </c>
      <c r="G1181">
        <v>47025</v>
      </c>
      <c r="H1181">
        <v>1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f>SUM(Table1[[#This Row],[Gold Spending]]+Table1[[#This Row],[Sweet Spending]]+Table1[[#This Row],[Fish Spending]]+Table1[[#This Row],[Meat Spending]]+Table1[[#This Row],[Fruits Spending]]+Table1[[#This Row],[Wine Spending ]])</f>
        <v>415</v>
      </c>
      <c r="Q1181">
        <v>3</v>
      </c>
      <c r="R1181">
        <v>6</v>
      </c>
      <c r="S1181">
        <v>3</v>
      </c>
      <c r="T1181">
        <v>5</v>
      </c>
      <c r="U1181">
        <f>SUM(Table1[[#This Row],[Store_Purchases]]+Table1[[#This Row],[Catalog_Purchases]]+Table1[[#This Row],[Web_Purchases]]+Table1[[#This Row],[Deal_Purchases]])</f>
        <v>17</v>
      </c>
      <c r="V1181">
        <v>6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f>SUM(Table1[[#This Row],[Accepted_Campaign_2]]+Table1[[#This Row],[Accepted_Campaign_1]]+Table1[[#This Row],[Accepted_Campaign_5]]+Table1[[#This Row],[Accepted_Campaign_4]]+Table1[[#This Row],[Accepted_Campaign_3]])</f>
        <v>0</v>
      </c>
      <c r="AC1181">
        <v>0</v>
      </c>
      <c r="AD1181">
        <v>0</v>
      </c>
    </row>
    <row r="1182" spans="1:30" x14ac:dyDescent="0.25">
      <c r="A1182">
        <v>41574</v>
      </c>
      <c r="B1182">
        <v>6340</v>
      </c>
      <c r="C1182">
        <v>1985</v>
      </c>
      <c r="D1182" t="s">
        <v>20</v>
      </c>
      <c r="E1182" t="s">
        <v>6</v>
      </c>
      <c r="F1182" t="s">
        <v>9</v>
      </c>
      <c r="G1182">
        <v>29938</v>
      </c>
      <c r="H1182">
        <v>1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f>SUM(Table1[[#This Row],[Gold Spending]]+Table1[[#This Row],[Sweet Spending]]+Table1[[#This Row],[Fish Spending]]+Table1[[#This Row],[Meat Spending]]+Table1[[#This Row],[Fruits Spending]]+Table1[[#This Row],[Wine Spending ]])</f>
        <v>26</v>
      </c>
      <c r="Q1182">
        <v>2</v>
      </c>
      <c r="R1182">
        <v>1</v>
      </c>
      <c r="S1182">
        <v>0</v>
      </c>
      <c r="T1182">
        <v>3</v>
      </c>
      <c r="U1182">
        <f>SUM(Table1[[#This Row],[Store_Purchases]]+Table1[[#This Row],[Catalog_Purchases]]+Table1[[#This Row],[Web_Purchases]]+Table1[[#This Row],[Deal_Purchases]])</f>
        <v>6</v>
      </c>
      <c r="V1182">
        <v>6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f>SUM(Table1[[#This Row],[Accepted_Campaign_2]]+Table1[[#This Row],[Accepted_Campaign_1]]+Table1[[#This Row],[Accepted_Campaign_5]]+Table1[[#This Row],[Accepted_Campaign_4]]+Table1[[#This Row],[Accepted_Campaign_3]])</f>
        <v>0</v>
      </c>
      <c r="AC1182">
        <v>0</v>
      </c>
      <c r="AD1182">
        <v>0</v>
      </c>
    </row>
    <row r="1183" spans="1:30" x14ac:dyDescent="0.25">
      <c r="A1183">
        <v>41555</v>
      </c>
      <c r="B1183">
        <v>4107</v>
      </c>
      <c r="C1183">
        <v>1948</v>
      </c>
      <c r="D1183" t="s">
        <v>8</v>
      </c>
      <c r="E1183" t="s">
        <v>14</v>
      </c>
      <c r="F1183" t="s">
        <v>12</v>
      </c>
      <c r="G1183">
        <v>46681</v>
      </c>
      <c r="H1183">
        <v>2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f>SUM(Table1[[#This Row],[Gold Spending]]+Table1[[#This Row],[Sweet Spending]]+Table1[[#This Row],[Fish Spending]]+Table1[[#This Row],[Meat Spending]]+Table1[[#This Row],[Fruits Spending]]+Table1[[#This Row],[Wine Spending ]])</f>
        <v>425</v>
      </c>
      <c r="Q1183">
        <v>2</v>
      </c>
      <c r="R1183">
        <v>4</v>
      </c>
      <c r="S1183">
        <v>6</v>
      </c>
      <c r="T1183">
        <v>4</v>
      </c>
      <c r="U1183">
        <f>SUM(Table1[[#This Row],[Store_Purchases]]+Table1[[#This Row],[Catalog_Purchases]]+Table1[[#This Row],[Web_Purchases]]+Table1[[#This Row],[Deal_Purchases]])</f>
        <v>16</v>
      </c>
      <c r="V1183">
        <v>5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f>SUM(Table1[[#This Row],[Accepted_Campaign_2]]+Table1[[#This Row],[Accepted_Campaign_1]]+Table1[[#This Row],[Accepted_Campaign_5]]+Table1[[#This Row],[Accepted_Campaign_4]]+Table1[[#This Row],[Accepted_Campaign_3]])</f>
        <v>0</v>
      </c>
      <c r="AC1183">
        <v>0</v>
      </c>
      <c r="AD1183">
        <v>0</v>
      </c>
    </row>
    <row r="1184" spans="1:30" x14ac:dyDescent="0.25">
      <c r="A1184">
        <v>41555</v>
      </c>
      <c r="B1184">
        <v>10906</v>
      </c>
      <c r="C1184">
        <v>1948</v>
      </c>
      <c r="D1184" t="s">
        <v>20</v>
      </c>
      <c r="E1184" t="s">
        <v>14</v>
      </c>
      <c r="F1184" t="s">
        <v>12</v>
      </c>
      <c r="G1184">
        <v>46681</v>
      </c>
      <c r="H1184">
        <v>2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f>SUM(Table1[[#This Row],[Gold Spending]]+Table1[[#This Row],[Sweet Spending]]+Table1[[#This Row],[Fish Spending]]+Table1[[#This Row],[Meat Spending]]+Table1[[#This Row],[Fruits Spending]]+Table1[[#This Row],[Wine Spending ]])</f>
        <v>425</v>
      </c>
      <c r="Q1184">
        <v>2</v>
      </c>
      <c r="R1184">
        <v>4</v>
      </c>
      <c r="S1184">
        <v>6</v>
      </c>
      <c r="T1184">
        <v>4</v>
      </c>
      <c r="U1184">
        <f>SUM(Table1[[#This Row],[Store_Purchases]]+Table1[[#This Row],[Catalog_Purchases]]+Table1[[#This Row],[Web_Purchases]]+Table1[[#This Row],[Deal_Purchases]])</f>
        <v>16</v>
      </c>
      <c r="V1184">
        <v>5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f>SUM(Table1[[#This Row],[Accepted_Campaign_2]]+Table1[[#This Row],[Accepted_Campaign_1]]+Table1[[#This Row],[Accepted_Campaign_5]]+Table1[[#This Row],[Accepted_Campaign_4]]+Table1[[#This Row],[Accepted_Campaign_3]])</f>
        <v>0</v>
      </c>
      <c r="AC1184">
        <v>0</v>
      </c>
      <c r="AD1184">
        <v>0</v>
      </c>
    </row>
    <row r="1185" spans="1:30" x14ac:dyDescent="0.25">
      <c r="A1185">
        <v>41515</v>
      </c>
      <c r="B1185">
        <v>2557</v>
      </c>
      <c r="C1185">
        <v>1970</v>
      </c>
      <c r="D1185" t="s">
        <v>8</v>
      </c>
      <c r="E1185" t="s">
        <v>18</v>
      </c>
      <c r="F1185" t="s">
        <v>9</v>
      </c>
      <c r="G1185">
        <v>29548</v>
      </c>
      <c r="H1185">
        <v>1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f>SUM(Table1[[#This Row],[Gold Spending]]+Table1[[#This Row],[Sweet Spending]]+Table1[[#This Row],[Fish Spending]]+Table1[[#This Row],[Meat Spending]]+Table1[[#This Row],[Fruits Spending]]+Table1[[#This Row],[Wine Spending ]])</f>
        <v>29</v>
      </c>
      <c r="Q1185">
        <v>1</v>
      </c>
      <c r="R1185">
        <v>1</v>
      </c>
      <c r="S1185">
        <v>1</v>
      </c>
      <c r="T1185">
        <v>2</v>
      </c>
      <c r="U1185">
        <f>SUM(Table1[[#This Row],[Store_Purchases]]+Table1[[#This Row],[Catalog_Purchases]]+Table1[[#This Row],[Web_Purchases]]+Table1[[#This Row],[Deal_Purchases]])</f>
        <v>5</v>
      </c>
      <c r="V1185">
        <v>4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f>SUM(Table1[[#This Row],[Accepted_Campaign_2]]+Table1[[#This Row],[Accepted_Campaign_1]]+Table1[[#This Row],[Accepted_Campaign_5]]+Table1[[#This Row],[Accepted_Campaign_4]]+Table1[[#This Row],[Accepted_Campaign_3]])</f>
        <v>1</v>
      </c>
      <c r="AC1185">
        <v>0</v>
      </c>
      <c r="AD1185">
        <v>0</v>
      </c>
    </row>
    <row r="1186" spans="1:30" x14ac:dyDescent="0.25">
      <c r="A1186">
        <v>41420</v>
      </c>
      <c r="B1186">
        <v>8786</v>
      </c>
      <c r="C1186">
        <v>1956</v>
      </c>
      <c r="D1186" t="s">
        <v>16</v>
      </c>
      <c r="E1186" t="s">
        <v>18</v>
      </c>
      <c r="F1186" t="s">
        <v>11</v>
      </c>
      <c r="G1186">
        <v>62058</v>
      </c>
      <c r="H1186">
        <v>1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f>SUM(Table1[[#This Row],[Gold Spending]]+Table1[[#This Row],[Sweet Spending]]+Table1[[#This Row],[Fish Spending]]+Table1[[#This Row],[Meat Spending]]+Table1[[#This Row],[Fruits Spending]]+Table1[[#This Row],[Wine Spending ]])</f>
        <v>450</v>
      </c>
      <c r="Q1186">
        <v>4</v>
      </c>
      <c r="R1186">
        <v>6</v>
      </c>
      <c r="S1186">
        <v>1</v>
      </c>
      <c r="T1186">
        <v>7</v>
      </c>
      <c r="U1186">
        <f>SUM(Table1[[#This Row],[Store_Purchases]]+Table1[[#This Row],[Catalog_Purchases]]+Table1[[#This Row],[Web_Purchases]]+Table1[[#This Row],[Deal_Purchases]])</f>
        <v>18</v>
      </c>
      <c r="V1186">
        <v>6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f>SUM(Table1[[#This Row],[Accepted_Campaign_2]]+Table1[[#This Row],[Accepted_Campaign_1]]+Table1[[#This Row],[Accepted_Campaign_5]]+Table1[[#This Row],[Accepted_Campaign_4]]+Table1[[#This Row],[Accepted_Campaign_3]])</f>
        <v>0</v>
      </c>
      <c r="AC1186">
        <v>0</v>
      </c>
      <c r="AD1186">
        <v>0</v>
      </c>
    </row>
    <row r="1187" spans="1:30" x14ac:dyDescent="0.25">
      <c r="A1187">
        <v>41412</v>
      </c>
      <c r="B1187">
        <v>7187</v>
      </c>
      <c r="C1187">
        <v>1969</v>
      </c>
      <c r="D1187" t="s">
        <v>13</v>
      </c>
      <c r="E1187" t="s">
        <v>18</v>
      </c>
      <c r="F1187" t="s">
        <v>12</v>
      </c>
      <c r="G1187">
        <v>53790.45</v>
      </c>
      <c r="H1187">
        <v>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f>SUM(Table1[[#This Row],[Gold Spending]]+Table1[[#This Row],[Sweet Spending]]+Table1[[#This Row],[Fish Spending]]+Table1[[#This Row],[Meat Spending]]+Table1[[#This Row],[Fruits Spending]]+Table1[[#This Row],[Wine Spending ]])</f>
        <v>721</v>
      </c>
      <c r="Q1187">
        <v>7</v>
      </c>
      <c r="R1187">
        <v>4</v>
      </c>
      <c r="S1187">
        <v>10</v>
      </c>
      <c r="T1187">
        <v>4</v>
      </c>
      <c r="U1187">
        <f>SUM(Table1[[#This Row],[Store_Purchases]]+Table1[[#This Row],[Catalog_Purchases]]+Table1[[#This Row],[Web_Purchases]]+Table1[[#This Row],[Deal_Purchases]])</f>
        <v>25</v>
      </c>
      <c r="V1187">
        <v>3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f>SUM(Table1[[#This Row],[Accepted_Campaign_2]]+Table1[[#This Row],[Accepted_Campaign_1]]+Table1[[#This Row],[Accepted_Campaign_5]]+Table1[[#This Row],[Accepted_Campaign_4]]+Table1[[#This Row],[Accepted_Campaign_3]])</f>
        <v>0</v>
      </c>
      <c r="AC1187">
        <v>0</v>
      </c>
      <c r="AD1187">
        <v>0</v>
      </c>
    </row>
    <row r="1188" spans="1:30" x14ac:dyDescent="0.25">
      <c r="A1188">
        <v>41404</v>
      </c>
      <c r="B1188">
        <v>6119</v>
      </c>
      <c r="C1188">
        <v>1963</v>
      </c>
      <c r="D1188" t="s">
        <v>8</v>
      </c>
      <c r="E1188" t="s">
        <v>14</v>
      </c>
      <c r="F1188" t="s">
        <v>9</v>
      </c>
      <c r="G1188">
        <v>36736</v>
      </c>
      <c r="H1188">
        <v>2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f>SUM(Table1[[#This Row],[Gold Spending]]+Table1[[#This Row],[Sweet Spending]]+Table1[[#This Row],[Fish Spending]]+Table1[[#This Row],[Meat Spending]]+Table1[[#This Row],[Fruits Spending]]+Table1[[#This Row],[Wine Spending ]])</f>
        <v>17</v>
      </c>
      <c r="Q1188">
        <v>1</v>
      </c>
      <c r="R1188">
        <v>1</v>
      </c>
      <c r="S1188">
        <v>0</v>
      </c>
      <c r="T1188">
        <v>2</v>
      </c>
      <c r="U1188">
        <f>SUM(Table1[[#This Row],[Store_Purchases]]+Table1[[#This Row],[Catalog_Purchases]]+Table1[[#This Row],[Web_Purchases]]+Table1[[#This Row],[Deal_Purchases]])</f>
        <v>4</v>
      </c>
      <c r="V1188">
        <v>6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f>SUM(Table1[[#This Row],[Accepted_Campaign_2]]+Table1[[#This Row],[Accepted_Campaign_1]]+Table1[[#This Row],[Accepted_Campaign_5]]+Table1[[#This Row],[Accepted_Campaign_4]]+Table1[[#This Row],[Accepted_Campaign_3]])</f>
        <v>0</v>
      </c>
      <c r="AC1188">
        <v>0</v>
      </c>
      <c r="AD1188">
        <v>0</v>
      </c>
    </row>
    <row r="1189" spans="1:30" x14ac:dyDescent="0.25">
      <c r="A1189">
        <v>41355</v>
      </c>
      <c r="B1189">
        <v>2980</v>
      </c>
      <c r="C1189">
        <v>1952</v>
      </c>
      <c r="D1189" t="s">
        <v>10</v>
      </c>
      <c r="E1189" t="s">
        <v>18</v>
      </c>
      <c r="F1189" t="s">
        <v>9</v>
      </c>
      <c r="G1189">
        <v>8820</v>
      </c>
      <c r="H1189">
        <v>2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f>SUM(Table1[[#This Row],[Gold Spending]]+Table1[[#This Row],[Sweet Spending]]+Table1[[#This Row],[Fish Spending]]+Table1[[#This Row],[Meat Spending]]+Table1[[#This Row],[Fruits Spending]]+Table1[[#This Row],[Wine Spending ]])</f>
        <v>35</v>
      </c>
      <c r="Q1189">
        <v>4</v>
      </c>
      <c r="R1189">
        <v>3</v>
      </c>
      <c r="S1189">
        <v>0</v>
      </c>
      <c r="T1189">
        <v>3</v>
      </c>
      <c r="U1189">
        <f>SUM(Table1[[#This Row],[Store_Purchases]]+Table1[[#This Row],[Catalog_Purchases]]+Table1[[#This Row],[Web_Purchases]]+Table1[[#This Row],[Deal_Purchases]])</f>
        <v>10</v>
      </c>
      <c r="V1189">
        <v>8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f>SUM(Table1[[#This Row],[Accepted_Campaign_2]]+Table1[[#This Row],[Accepted_Campaign_1]]+Table1[[#This Row],[Accepted_Campaign_5]]+Table1[[#This Row],[Accepted_Campaign_4]]+Table1[[#This Row],[Accepted_Campaign_3]])</f>
        <v>0</v>
      </c>
      <c r="AC1189">
        <v>0</v>
      </c>
      <c r="AD1189">
        <v>0</v>
      </c>
    </row>
    <row r="1190" spans="1:30" x14ac:dyDescent="0.25">
      <c r="A1190">
        <v>41250</v>
      </c>
      <c r="B1190">
        <v>3850</v>
      </c>
      <c r="C1190">
        <v>1963</v>
      </c>
      <c r="D1190" t="s">
        <v>17</v>
      </c>
      <c r="E1190" t="s">
        <v>21</v>
      </c>
      <c r="F1190" t="s">
        <v>12</v>
      </c>
      <c r="G1190">
        <v>14918</v>
      </c>
      <c r="H1190">
        <v>1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f>SUM(Table1[[#This Row],[Gold Spending]]+Table1[[#This Row],[Sweet Spending]]+Table1[[#This Row],[Fish Spending]]+Table1[[#This Row],[Meat Spending]]+Table1[[#This Row],[Fruits Spending]]+Table1[[#This Row],[Wine Spending ]])</f>
        <v>43</v>
      </c>
      <c r="Q1190">
        <v>1</v>
      </c>
      <c r="R1190">
        <v>1</v>
      </c>
      <c r="S1190">
        <v>0</v>
      </c>
      <c r="T1190">
        <v>3</v>
      </c>
      <c r="U1190">
        <f>SUM(Table1[[#This Row],[Store_Purchases]]+Table1[[#This Row],[Catalog_Purchases]]+Table1[[#This Row],[Web_Purchases]]+Table1[[#This Row],[Deal_Purchases]])</f>
        <v>5</v>
      </c>
      <c r="V1190">
        <v>6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f>SUM(Table1[[#This Row],[Accepted_Campaign_2]]+Table1[[#This Row],[Accepted_Campaign_1]]+Table1[[#This Row],[Accepted_Campaign_5]]+Table1[[#This Row],[Accepted_Campaign_4]]+Table1[[#This Row],[Accepted_Campaign_3]])</f>
        <v>0</v>
      </c>
      <c r="AC1190">
        <v>0</v>
      </c>
      <c r="AD1190">
        <v>0</v>
      </c>
    </row>
    <row r="1191" spans="1:30" x14ac:dyDescent="0.25">
      <c r="A1191">
        <v>41248</v>
      </c>
      <c r="B1191">
        <v>1077</v>
      </c>
      <c r="C1191">
        <v>1974</v>
      </c>
      <c r="D1191" t="s">
        <v>8</v>
      </c>
      <c r="E1191" t="s">
        <v>6</v>
      </c>
      <c r="F1191" t="s">
        <v>12</v>
      </c>
      <c r="G1191">
        <v>56715</v>
      </c>
      <c r="H1191">
        <v>0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f>SUM(Table1[[#This Row],[Gold Spending]]+Table1[[#This Row],[Sweet Spending]]+Table1[[#This Row],[Fish Spending]]+Table1[[#This Row],[Meat Spending]]+Table1[[#This Row],[Fruits Spending]]+Table1[[#This Row],[Wine Spending ]])</f>
        <v>1020</v>
      </c>
      <c r="Q1191">
        <v>1</v>
      </c>
      <c r="R1191">
        <v>7</v>
      </c>
      <c r="S1191">
        <v>3</v>
      </c>
      <c r="T1191">
        <v>4</v>
      </c>
      <c r="U1191">
        <f>SUM(Table1[[#This Row],[Store_Purchases]]+Table1[[#This Row],[Catalog_Purchases]]+Table1[[#This Row],[Web_Purchases]]+Table1[[#This Row],[Deal_Purchases]])</f>
        <v>15</v>
      </c>
      <c r="V1191">
        <v>4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f>SUM(Table1[[#This Row],[Accepted_Campaign_2]]+Table1[[#This Row],[Accepted_Campaign_1]]+Table1[[#This Row],[Accepted_Campaign_5]]+Table1[[#This Row],[Accepted_Campaign_4]]+Table1[[#This Row],[Accepted_Campaign_3]])</f>
        <v>0</v>
      </c>
      <c r="AC1191">
        <v>0</v>
      </c>
      <c r="AD1191">
        <v>0</v>
      </c>
    </row>
    <row r="1192" spans="1:30" x14ac:dyDescent="0.25">
      <c r="A1192">
        <v>41161</v>
      </c>
      <c r="B1192">
        <v>9733</v>
      </c>
      <c r="C1192">
        <v>1978</v>
      </c>
      <c r="D1192" t="s">
        <v>17</v>
      </c>
      <c r="E1192" t="s">
        <v>21</v>
      </c>
      <c r="F1192" t="s">
        <v>12</v>
      </c>
      <c r="G1192">
        <v>24882</v>
      </c>
      <c r="H1192">
        <v>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f>SUM(Table1[[#This Row],[Gold Spending]]+Table1[[#This Row],[Sweet Spending]]+Table1[[#This Row],[Fish Spending]]+Table1[[#This Row],[Meat Spending]]+Table1[[#This Row],[Fruits Spending]]+Table1[[#This Row],[Wine Spending ]])</f>
        <v>80</v>
      </c>
      <c r="Q1192">
        <v>1</v>
      </c>
      <c r="R1192">
        <v>1</v>
      </c>
      <c r="S1192">
        <v>1</v>
      </c>
      <c r="T1192">
        <v>2</v>
      </c>
      <c r="U1192">
        <f>SUM(Table1[[#This Row],[Store_Purchases]]+Table1[[#This Row],[Catalog_Purchases]]+Table1[[#This Row],[Web_Purchases]]+Table1[[#This Row],[Deal_Purchases]])</f>
        <v>5</v>
      </c>
      <c r="V1192">
        <v>6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f>SUM(Table1[[#This Row],[Accepted_Campaign_2]]+Table1[[#This Row],[Accepted_Campaign_1]]+Table1[[#This Row],[Accepted_Campaign_5]]+Table1[[#This Row],[Accepted_Campaign_4]]+Table1[[#This Row],[Accepted_Campaign_3]])</f>
        <v>1</v>
      </c>
      <c r="AC1192">
        <v>0</v>
      </c>
      <c r="AD1192">
        <v>0</v>
      </c>
    </row>
    <row r="1193" spans="1:30" x14ac:dyDescent="0.25">
      <c r="A1193">
        <v>41161</v>
      </c>
      <c r="B1193">
        <v>8462</v>
      </c>
      <c r="C1193">
        <v>1978</v>
      </c>
      <c r="D1193" t="s">
        <v>8</v>
      </c>
      <c r="E1193" t="s">
        <v>21</v>
      </c>
      <c r="F1193" t="s">
        <v>12</v>
      </c>
      <c r="G1193">
        <v>24882</v>
      </c>
      <c r="H1193">
        <v>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f>SUM(Table1[[#This Row],[Gold Spending]]+Table1[[#This Row],[Sweet Spending]]+Table1[[#This Row],[Fish Spending]]+Table1[[#This Row],[Meat Spending]]+Table1[[#This Row],[Fruits Spending]]+Table1[[#This Row],[Wine Spending ]])</f>
        <v>80</v>
      </c>
      <c r="Q1193">
        <v>1</v>
      </c>
      <c r="R1193">
        <v>1</v>
      </c>
      <c r="S1193">
        <v>1</v>
      </c>
      <c r="T1193">
        <v>2</v>
      </c>
      <c r="U1193">
        <f>SUM(Table1[[#This Row],[Store_Purchases]]+Table1[[#This Row],[Catalog_Purchases]]+Table1[[#This Row],[Web_Purchases]]+Table1[[#This Row],[Deal_Purchases]])</f>
        <v>5</v>
      </c>
      <c r="V1193">
        <v>6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f>SUM(Table1[[#This Row],[Accepted_Campaign_2]]+Table1[[#This Row],[Accepted_Campaign_1]]+Table1[[#This Row],[Accepted_Campaign_5]]+Table1[[#This Row],[Accepted_Campaign_4]]+Table1[[#This Row],[Accepted_Campaign_3]])</f>
        <v>1</v>
      </c>
      <c r="AC1193">
        <v>0</v>
      </c>
      <c r="AD1193">
        <v>0</v>
      </c>
    </row>
    <row r="1194" spans="1:30" x14ac:dyDescent="0.25">
      <c r="A1194">
        <v>41140</v>
      </c>
      <c r="B1194">
        <v>4764</v>
      </c>
      <c r="C1194">
        <v>1952</v>
      </c>
      <c r="D1194" t="s">
        <v>20</v>
      </c>
      <c r="E1194" t="s">
        <v>18</v>
      </c>
      <c r="F1194" t="s">
        <v>12</v>
      </c>
      <c r="G1194">
        <v>40442</v>
      </c>
      <c r="H1194">
        <v>2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f>SUM(Table1[[#This Row],[Gold Spending]]+Table1[[#This Row],[Sweet Spending]]+Table1[[#This Row],[Fish Spending]]+Table1[[#This Row],[Meat Spending]]+Table1[[#This Row],[Fruits Spending]]+Table1[[#This Row],[Wine Spending ]])</f>
        <v>169</v>
      </c>
      <c r="Q1194">
        <v>4</v>
      </c>
      <c r="R1194">
        <v>3</v>
      </c>
      <c r="S1194">
        <v>1</v>
      </c>
      <c r="T1194">
        <v>4</v>
      </c>
      <c r="U1194">
        <f>SUM(Table1[[#This Row],[Store_Purchases]]+Table1[[#This Row],[Catalog_Purchases]]+Table1[[#This Row],[Web_Purchases]]+Table1[[#This Row],[Deal_Purchases]])</f>
        <v>12</v>
      </c>
      <c r="V1194">
        <v>7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f>SUM(Table1[[#This Row],[Accepted_Campaign_2]]+Table1[[#This Row],[Accepted_Campaign_1]]+Table1[[#This Row],[Accepted_Campaign_5]]+Table1[[#This Row],[Accepted_Campaign_4]]+Table1[[#This Row],[Accepted_Campaign_3]])</f>
        <v>0</v>
      </c>
      <c r="AC1194">
        <v>1</v>
      </c>
      <c r="AD1194">
        <v>0</v>
      </c>
    </row>
    <row r="1195" spans="1:30" x14ac:dyDescent="0.25">
      <c r="A1195">
        <v>41124</v>
      </c>
      <c r="B1195">
        <v>2223</v>
      </c>
      <c r="C1195">
        <v>1965</v>
      </c>
      <c r="D1195" t="s">
        <v>8</v>
      </c>
      <c r="E1195" t="s">
        <v>15</v>
      </c>
      <c r="F1195" t="s">
        <v>7</v>
      </c>
      <c r="G1195">
        <v>64176</v>
      </c>
      <c r="H1195">
        <v>1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f>SUM(Table1[[#This Row],[Gold Spending]]+Table1[[#This Row],[Sweet Spending]]+Table1[[#This Row],[Fish Spending]]+Table1[[#This Row],[Meat Spending]]+Table1[[#This Row],[Fruits Spending]]+Table1[[#This Row],[Wine Spending ]])</f>
        <v>1826</v>
      </c>
      <c r="Q1195">
        <v>8</v>
      </c>
      <c r="R1195">
        <v>8</v>
      </c>
      <c r="S1195">
        <v>9</v>
      </c>
      <c r="T1195">
        <v>8</v>
      </c>
      <c r="U1195">
        <f>SUM(Table1[[#This Row],[Store_Purchases]]+Table1[[#This Row],[Catalog_Purchases]]+Table1[[#This Row],[Web_Purchases]]+Table1[[#This Row],[Deal_Purchases]])</f>
        <v>33</v>
      </c>
      <c r="V1195">
        <v>6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f>SUM(Table1[[#This Row],[Accepted_Campaign_2]]+Table1[[#This Row],[Accepted_Campaign_1]]+Table1[[#This Row],[Accepted_Campaign_5]]+Table1[[#This Row],[Accepted_Campaign_4]]+Table1[[#This Row],[Accepted_Campaign_3]])</f>
        <v>0</v>
      </c>
      <c r="AC1195">
        <v>0</v>
      </c>
      <c r="AD1195">
        <v>0</v>
      </c>
    </row>
    <row r="1196" spans="1:30" x14ac:dyDescent="0.25">
      <c r="A1196">
        <v>41794</v>
      </c>
      <c r="B1196">
        <v>7788</v>
      </c>
      <c r="C1196">
        <v>1983</v>
      </c>
      <c r="D1196" t="s">
        <v>8</v>
      </c>
      <c r="E1196" t="s">
        <v>14</v>
      </c>
      <c r="F1196" t="s">
        <v>11</v>
      </c>
      <c r="G1196">
        <v>23536</v>
      </c>
      <c r="H1196">
        <v>1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f>SUM(Table1[[#This Row],[Gold Spending]]+Table1[[#This Row],[Sweet Spending]]+Table1[[#This Row],[Fish Spending]]+Table1[[#This Row],[Meat Spending]]+Table1[[#This Row],[Fruits Spending]]+Table1[[#This Row],[Wine Spending ]])</f>
        <v>10</v>
      </c>
      <c r="Q1196">
        <v>1</v>
      </c>
      <c r="R1196">
        <v>0</v>
      </c>
      <c r="S1196">
        <v>0</v>
      </c>
      <c r="T1196">
        <v>3</v>
      </c>
      <c r="U1196">
        <f>SUM(Table1[[#This Row],[Store_Purchases]]+Table1[[#This Row],[Catalog_Purchases]]+Table1[[#This Row],[Web_Purchases]]+Table1[[#This Row],[Deal_Purchases]])</f>
        <v>4</v>
      </c>
      <c r="V1196">
        <v>3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f>SUM(Table1[[#This Row],[Accepted_Campaign_2]]+Table1[[#This Row],[Accepted_Campaign_1]]+Table1[[#This Row],[Accepted_Campaign_5]]+Table1[[#This Row],[Accepted_Campaign_4]]+Table1[[#This Row],[Accepted_Campaign_3]])</f>
        <v>0</v>
      </c>
      <c r="AC1196">
        <v>0</v>
      </c>
      <c r="AD1196">
        <v>0</v>
      </c>
    </row>
    <row r="1197" spans="1:30" x14ac:dyDescent="0.25">
      <c r="A1197">
        <v>41745</v>
      </c>
      <c r="B1197">
        <v>5827</v>
      </c>
      <c r="C1197">
        <v>1958</v>
      </c>
      <c r="D1197" t="s">
        <v>20</v>
      </c>
      <c r="E1197" t="s">
        <v>6</v>
      </c>
      <c r="F1197" t="s">
        <v>7</v>
      </c>
      <c r="G1197">
        <v>35246</v>
      </c>
      <c r="H1197">
        <v>2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f>SUM(Table1[[#This Row],[Gold Spending]]+Table1[[#This Row],[Sweet Spending]]+Table1[[#This Row],[Fish Spending]]+Table1[[#This Row],[Meat Spending]]+Table1[[#This Row],[Fruits Spending]]+Table1[[#This Row],[Wine Spending ]])</f>
        <v>62</v>
      </c>
      <c r="Q1197">
        <v>4</v>
      </c>
      <c r="R1197">
        <v>3</v>
      </c>
      <c r="S1197">
        <v>1</v>
      </c>
      <c r="T1197">
        <v>3</v>
      </c>
      <c r="U1197">
        <f>SUM(Table1[[#This Row],[Store_Purchases]]+Table1[[#This Row],[Catalog_Purchases]]+Table1[[#This Row],[Web_Purchases]]+Table1[[#This Row],[Deal_Purchases]])</f>
        <v>11</v>
      </c>
      <c r="V1197">
        <v>5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f>SUM(Table1[[#This Row],[Accepted_Campaign_2]]+Table1[[#This Row],[Accepted_Campaign_1]]+Table1[[#This Row],[Accepted_Campaign_5]]+Table1[[#This Row],[Accepted_Campaign_4]]+Table1[[#This Row],[Accepted_Campaign_3]])</f>
        <v>0</v>
      </c>
      <c r="AC1197">
        <v>0</v>
      </c>
      <c r="AD1197">
        <v>0</v>
      </c>
    </row>
    <row r="1198" spans="1:30" x14ac:dyDescent="0.25">
      <c r="A1198">
        <v>41694</v>
      </c>
      <c r="B1198">
        <v>2958</v>
      </c>
      <c r="C1198">
        <v>1978</v>
      </c>
      <c r="D1198" t="s">
        <v>8</v>
      </c>
      <c r="E1198" t="s">
        <v>6</v>
      </c>
      <c r="F1198" t="s">
        <v>11</v>
      </c>
      <c r="G1198">
        <v>28442</v>
      </c>
      <c r="H1198">
        <v>2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1198">
        <v>3</v>
      </c>
      <c r="R1198">
        <v>2</v>
      </c>
      <c r="S1198">
        <v>1</v>
      </c>
      <c r="T1198">
        <v>4</v>
      </c>
      <c r="U1198">
        <f>SUM(Table1[[#This Row],[Store_Purchases]]+Table1[[#This Row],[Catalog_Purchases]]+Table1[[#This Row],[Web_Purchases]]+Table1[[#This Row],[Deal_Purchases]])</f>
        <v>10</v>
      </c>
      <c r="V1198">
        <v>4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f>SUM(Table1[[#This Row],[Accepted_Campaign_2]]+Table1[[#This Row],[Accepted_Campaign_1]]+Table1[[#This Row],[Accepted_Campaign_5]]+Table1[[#This Row],[Accepted_Campaign_4]]+Table1[[#This Row],[Accepted_Campaign_3]])</f>
        <v>0</v>
      </c>
      <c r="AC1198">
        <v>0</v>
      </c>
      <c r="AD1198">
        <v>0</v>
      </c>
    </row>
    <row r="1199" spans="1:30" x14ac:dyDescent="0.25">
      <c r="A1199">
        <v>41660</v>
      </c>
      <c r="B1199">
        <v>4954</v>
      </c>
      <c r="C1199">
        <v>1956</v>
      </c>
      <c r="D1199" t="s">
        <v>8</v>
      </c>
      <c r="E1199" t="s">
        <v>6</v>
      </c>
      <c r="F1199" t="s">
        <v>11</v>
      </c>
      <c r="G1199">
        <v>48195</v>
      </c>
      <c r="H1199">
        <v>2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f>SUM(Table1[[#This Row],[Gold Spending]]+Table1[[#This Row],[Sweet Spending]]+Table1[[#This Row],[Fish Spending]]+Table1[[#This Row],[Meat Spending]]+Table1[[#This Row],[Fruits Spending]]+Table1[[#This Row],[Wine Spending ]])</f>
        <v>265</v>
      </c>
      <c r="Q1199">
        <v>6</v>
      </c>
      <c r="R1199">
        <v>4</v>
      </c>
      <c r="S1199">
        <v>2</v>
      </c>
      <c r="T1199">
        <v>5</v>
      </c>
      <c r="U1199">
        <f>SUM(Table1[[#This Row],[Store_Purchases]]+Table1[[#This Row],[Catalog_Purchases]]+Table1[[#This Row],[Web_Purchases]]+Table1[[#This Row],[Deal_Purchases]])</f>
        <v>17</v>
      </c>
      <c r="V1199">
        <v>6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f>SUM(Table1[[#This Row],[Accepted_Campaign_2]]+Table1[[#This Row],[Accepted_Campaign_1]]+Table1[[#This Row],[Accepted_Campaign_5]]+Table1[[#This Row],[Accepted_Campaign_4]]+Table1[[#This Row],[Accepted_Campaign_3]])</f>
        <v>0</v>
      </c>
      <c r="AC1199">
        <v>0</v>
      </c>
      <c r="AD1199">
        <v>0</v>
      </c>
    </row>
    <row r="1200" spans="1:30" x14ac:dyDescent="0.25">
      <c r="A1200">
        <v>41638</v>
      </c>
      <c r="B1200">
        <v>3139</v>
      </c>
      <c r="C1200">
        <v>1982</v>
      </c>
      <c r="D1200" t="s">
        <v>20</v>
      </c>
      <c r="E1200" t="s">
        <v>15</v>
      </c>
      <c r="F1200" t="s">
        <v>9</v>
      </c>
      <c r="G1200">
        <v>74116</v>
      </c>
      <c r="H1200">
        <v>0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f>SUM(Table1[[#This Row],[Gold Spending]]+Table1[[#This Row],[Sweet Spending]]+Table1[[#This Row],[Fish Spending]]+Table1[[#This Row],[Meat Spending]]+Table1[[#This Row],[Fruits Spending]]+Table1[[#This Row],[Wine Spending ]])</f>
        <v>2052</v>
      </c>
      <c r="Q1200">
        <v>1</v>
      </c>
      <c r="R1200">
        <v>4</v>
      </c>
      <c r="S1200">
        <v>4</v>
      </c>
      <c r="T1200">
        <v>10</v>
      </c>
      <c r="U1200">
        <f>SUM(Table1[[#This Row],[Store_Purchases]]+Table1[[#This Row],[Catalog_Purchases]]+Table1[[#This Row],[Web_Purchases]]+Table1[[#This Row],[Deal_Purchases]])</f>
        <v>19</v>
      </c>
      <c r="V1200">
        <v>2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f>SUM(Table1[[#This Row],[Accepted_Campaign_2]]+Table1[[#This Row],[Accepted_Campaign_1]]+Table1[[#This Row],[Accepted_Campaign_5]]+Table1[[#This Row],[Accepted_Campaign_4]]+Table1[[#This Row],[Accepted_Campaign_3]])</f>
        <v>1</v>
      </c>
      <c r="AC1200">
        <v>0</v>
      </c>
      <c r="AD1200">
        <v>0</v>
      </c>
    </row>
    <row r="1201" spans="1:30" x14ac:dyDescent="0.25">
      <c r="A1201">
        <v>41619</v>
      </c>
      <c r="B1201">
        <v>9952</v>
      </c>
      <c r="C1201">
        <v>1947</v>
      </c>
      <c r="D1201" t="s">
        <v>20</v>
      </c>
      <c r="E1201" t="s">
        <v>18</v>
      </c>
      <c r="F1201" t="s">
        <v>12</v>
      </c>
      <c r="G1201">
        <v>78093</v>
      </c>
      <c r="H1201">
        <v>0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f>SUM(Table1[[#This Row],[Gold Spending]]+Table1[[#This Row],[Sweet Spending]]+Table1[[#This Row],[Fish Spending]]+Table1[[#This Row],[Meat Spending]]+Table1[[#This Row],[Fruits Spending]]+Table1[[#This Row],[Wine Spending ]])</f>
        <v>1105</v>
      </c>
      <c r="Q1201">
        <v>1</v>
      </c>
      <c r="R1201">
        <v>4</v>
      </c>
      <c r="S1201">
        <v>7</v>
      </c>
      <c r="T1201">
        <v>5</v>
      </c>
      <c r="U1201">
        <f>SUM(Table1[[#This Row],[Store_Purchases]]+Table1[[#This Row],[Catalog_Purchases]]+Table1[[#This Row],[Web_Purchases]]+Table1[[#This Row],[Deal_Purchases]])</f>
        <v>17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f>SUM(Table1[[#This Row],[Accepted_Campaign_2]]+Table1[[#This Row],[Accepted_Campaign_1]]+Table1[[#This Row],[Accepted_Campaign_5]]+Table1[[#This Row],[Accepted_Campaign_4]]+Table1[[#This Row],[Accepted_Campaign_3]])</f>
        <v>0</v>
      </c>
      <c r="AC1201">
        <v>0</v>
      </c>
      <c r="AD1201">
        <v>0</v>
      </c>
    </row>
    <row r="1202" spans="1:30" x14ac:dyDescent="0.25">
      <c r="A1202">
        <v>41593</v>
      </c>
      <c r="B1202">
        <v>8180</v>
      </c>
      <c r="C1202">
        <v>1952</v>
      </c>
      <c r="D1202" t="s">
        <v>63</v>
      </c>
      <c r="E1202" t="s">
        <v>18</v>
      </c>
      <c r="F1202" t="s">
        <v>7</v>
      </c>
      <c r="G1202">
        <v>59354</v>
      </c>
      <c r="H1202">
        <v>2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f>SUM(Table1[[#This Row],[Gold Spending]]+Table1[[#This Row],[Sweet Spending]]+Table1[[#This Row],[Fish Spending]]+Table1[[#This Row],[Meat Spending]]+Table1[[#This Row],[Fruits Spending]]+Table1[[#This Row],[Wine Spending ]])</f>
        <v>310</v>
      </c>
      <c r="Q1202">
        <v>3</v>
      </c>
      <c r="R1202">
        <v>6</v>
      </c>
      <c r="S1202">
        <v>1</v>
      </c>
      <c r="T1202">
        <v>5</v>
      </c>
      <c r="U1202">
        <f>SUM(Table1[[#This Row],[Store_Purchases]]+Table1[[#This Row],[Catalog_Purchases]]+Table1[[#This Row],[Web_Purchases]]+Table1[[#This Row],[Deal_Purchases]])</f>
        <v>15</v>
      </c>
      <c r="V1202">
        <v>6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f>SUM(Table1[[#This Row],[Accepted_Campaign_2]]+Table1[[#This Row],[Accepted_Campaign_1]]+Table1[[#This Row],[Accepted_Campaign_5]]+Table1[[#This Row],[Accepted_Campaign_4]]+Table1[[#This Row],[Accepted_Campaign_3]])</f>
        <v>0</v>
      </c>
      <c r="AC1202">
        <v>0</v>
      </c>
      <c r="AD1202">
        <v>0</v>
      </c>
    </row>
    <row r="1203" spans="1:30" x14ac:dyDescent="0.25">
      <c r="A1203">
        <v>41572</v>
      </c>
      <c r="B1203">
        <v>3276</v>
      </c>
      <c r="C1203">
        <v>1976</v>
      </c>
      <c r="D1203" t="s">
        <v>20</v>
      </c>
      <c r="E1203" t="s">
        <v>15</v>
      </c>
      <c r="F1203" t="s">
        <v>12</v>
      </c>
      <c r="G1203">
        <v>36301</v>
      </c>
      <c r="H1203">
        <v>1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f>SUM(Table1[[#This Row],[Gold Spending]]+Table1[[#This Row],[Sweet Spending]]+Table1[[#This Row],[Fish Spending]]+Table1[[#This Row],[Meat Spending]]+Table1[[#This Row],[Fruits Spending]]+Table1[[#This Row],[Wine Spending ]])</f>
        <v>78</v>
      </c>
      <c r="Q1203">
        <v>1</v>
      </c>
      <c r="R1203">
        <v>3</v>
      </c>
      <c r="S1203">
        <v>0</v>
      </c>
      <c r="T1203">
        <v>3</v>
      </c>
      <c r="U1203">
        <f>SUM(Table1[[#This Row],[Store_Purchases]]+Table1[[#This Row],[Catalog_Purchases]]+Table1[[#This Row],[Web_Purchases]]+Table1[[#This Row],[Deal_Purchases]])</f>
        <v>7</v>
      </c>
      <c r="V1203">
        <v>7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f>SUM(Table1[[#This Row],[Accepted_Campaign_2]]+Table1[[#This Row],[Accepted_Campaign_1]]+Table1[[#This Row],[Accepted_Campaign_5]]+Table1[[#This Row],[Accepted_Campaign_4]]+Table1[[#This Row],[Accepted_Campaign_3]])</f>
        <v>0</v>
      </c>
      <c r="AC1203">
        <v>0</v>
      </c>
      <c r="AD1203">
        <v>0</v>
      </c>
    </row>
    <row r="1204" spans="1:30" x14ac:dyDescent="0.25">
      <c r="A1204">
        <v>41548</v>
      </c>
      <c r="B1204">
        <v>4994</v>
      </c>
      <c r="C1204">
        <v>1943</v>
      </c>
      <c r="D1204" t="s">
        <v>8</v>
      </c>
      <c r="E1204" t="s">
        <v>18</v>
      </c>
      <c r="F1204" t="s">
        <v>9</v>
      </c>
      <c r="G1204">
        <v>77598</v>
      </c>
      <c r="H1204">
        <v>0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f>SUM(Table1[[#This Row],[Gold Spending]]+Table1[[#This Row],[Sweet Spending]]+Table1[[#This Row],[Fish Spending]]+Table1[[#This Row],[Meat Spending]]+Table1[[#This Row],[Fruits Spending]]+Table1[[#This Row],[Wine Spending ]])</f>
        <v>1735</v>
      </c>
      <c r="Q1204">
        <v>1</v>
      </c>
      <c r="R1204">
        <v>7</v>
      </c>
      <c r="S1204">
        <v>5</v>
      </c>
      <c r="T1204">
        <v>13</v>
      </c>
      <c r="U1204">
        <f>SUM(Table1[[#This Row],[Store_Purchases]]+Table1[[#This Row],[Catalog_Purchases]]+Table1[[#This Row],[Web_Purchases]]+Table1[[#This Row],[Deal_Purchases]])</f>
        <v>26</v>
      </c>
      <c r="V1204">
        <v>3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f>SUM(Table1[[#This Row],[Accepted_Campaign_2]]+Table1[[#This Row],[Accepted_Campaign_1]]+Table1[[#This Row],[Accepted_Campaign_5]]+Table1[[#This Row],[Accepted_Campaign_4]]+Table1[[#This Row],[Accepted_Campaign_3]])</f>
        <v>1</v>
      </c>
      <c r="AC1204">
        <v>0</v>
      </c>
      <c r="AD1204">
        <v>0</v>
      </c>
    </row>
    <row r="1205" spans="1:30" x14ac:dyDescent="0.25">
      <c r="A1205">
        <v>41417</v>
      </c>
      <c r="B1205">
        <v>3598</v>
      </c>
      <c r="C1205">
        <v>1972</v>
      </c>
      <c r="D1205" t="s">
        <v>8</v>
      </c>
      <c r="E1205" t="s">
        <v>6</v>
      </c>
      <c r="F1205" t="s">
        <v>11</v>
      </c>
      <c r="G1205">
        <v>62710</v>
      </c>
      <c r="H1205">
        <v>1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f>SUM(Table1[[#This Row],[Gold Spending]]+Table1[[#This Row],[Sweet Spending]]+Table1[[#This Row],[Fish Spending]]+Table1[[#This Row],[Meat Spending]]+Table1[[#This Row],[Fruits Spending]]+Table1[[#This Row],[Wine Spending ]])</f>
        <v>606</v>
      </c>
      <c r="Q1205">
        <v>4</v>
      </c>
      <c r="R1205">
        <v>4</v>
      </c>
      <c r="S1205">
        <v>2</v>
      </c>
      <c r="T1205">
        <v>12</v>
      </c>
      <c r="U1205">
        <f>SUM(Table1[[#This Row],[Store_Purchases]]+Table1[[#This Row],[Catalog_Purchases]]+Table1[[#This Row],[Web_Purchases]]+Table1[[#This Row],[Deal_Purchases]])</f>
        <v>22</v>
      </c>
      <c r="V1205">
        <v>4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f>SUM(Table1[[#This Row],[Accepted_Campaign_2]]+Table1[[#This Row],[Accepted_Campaign_1]]+Table1[[#This Row],[Accepted_Campaign_5]]+Table1[[#This Row],[Accepted_Campaign_4]]+Table1[[#This Row],[Accepted_Campaign_3]])</f>
        <v>0</v>
      </c>
      <c r="AC1205">
        <v>0</v>
      </c>
      <c r="AD1205">
        <v>0</v>
      </c>
    </row>
    <row r="1206" spans="1:30" x14ac:dyDescent="0.25">
      <c r="A1206">
        <v>41416</v>
      </c>
      <c r="B1206">
        <v>945</v>
      </c>
      <c r="C1206">
        <v>1965</v>
      </c>
      <c r="D1206" t="s">
        <v>8</v>
      </c>
      <c r="E1206" t="s">
        <v>6</v>
      </c>
      <c r="F1206" t="s">
        <v>12</v>
      </c>
      <c r="G1206">
        <v>36317</v>
      </c>
      <c r="H1206">
        <v>1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f>SUM(Table1[[#This Row],[Gold Spending]]+Table1[[#This Row],[Sweet Spending]]+Table1[[#This Row],[Fish Spending]]+Table1[[#This Row],[Meat Spending]]+Table1[[#This Row],[Fruits Spending]]+Table1[[#This Row],[Wine Spending ]])</f>
        <v>133</v>
      </c>
      <c r="Q1206">
        <v>2</v>
      </c>
      <c r="R1206">
        <v>3</v>
      </c>
      <c r="S1206">
        <v>0</v>
      </c>
      <c r="T1206">
        <v>4</v>
      </c>
      <c r="U1206">
        <f>SUM(Table1[[#This Row],[Store_Purchases]]+Table1[[#This Row],[Catalog_Purchases]]+Table1[[#This Row],[Web_Purchases]]+Table1[[#This Row],[Deal_Purchases]])</f>
        <v>9</v>
      </c>
      <c r="V1206">
        <v>7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f>SUM(Table1[[#This Row],[Accepted_Campaign_2]]+Table1[[#This Row],[Accepted_Campaign_1]]+Table1[[#This Row],[Accepted_Campaign_5]]+Table1[[#This Row],[Accepted_Campaign_4]]+Table1[[#This Row],[Accepted_Campaign_3]])</f>
        <v>0</v>
      </c>
      <c r="AC1206">
        <v>0</v>
      </c>
      <c r="AD1206">
        <v>0</v>
      </c>
    </row>
    <row r="1207" spans="1:30" x14ac:dyDescent="0.25">
      <c r="A1207">
        <v>41405</v>
      </c>
      <c r="B1207">
        <v>5048</v>
      </c>
      <c r="C1207">
        <v>1971</v>
      </c>
      <c r="D1207" t="s">
        <v>20</v>
      </c>
      <c r="E1207" t="s">
        <v>14</v>
      </c>
      <c r="F1207" t="s">
        <v>9</v>
      </c>
      <c r="G1207">
        <v>42767</v>
      </c>
      <c r="H1207">
        <v>2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f>SUM(Table1[[#This Row],[Gold Spending]]+Table1[[#This Row],[Sweet Spending]]+Table1[[#This Row],[Fish Spending]]+Table1[[#This Row],[Meat Spending]]+Table1[[#This Row],[Fruits Spending]]+Table1[[#This Row],[Wine Spending ]])</f>
        <v>131</v>
      </c>
      <c r="Q1207">
        <v>1</v>
      </c>
      <c r="R1207">
        <v>3</v>
      </c>
      <c r="S1207">
        <v>1</v>
      </c>
      <c r="T1207">
        <v>2</v>
      </c>
      <c r="U1207">
        <f>SUM(Table1[[#This Row],[Store_Purchases]]+Table1[[#This Row],[Catalog_Purchases]]+Table1[[#This Row],[Web_Purchases]]+Table1[[#This Row],[Deal_Purchases]])</f>
        <v>7</v>
      </c>
      <c r="V1207">
        <v>8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f>SUM(Table1[[#This Row],[Accepted_Campaign_2]]+Table1[[#This Row],[Accepted_Campaign_1]]+Table1[[#This Row],[Accepted_Campaign_5]]+Table1[[#This Row],[Accepted_Campaign_4]]+Table1[[#This Row],[Accepted_Campaign_3]])</f>
        <v>0</v>
      </c>
      <c r="AC1207">
        <v>0</v>
      </c>
      <c r="AD1207">
        <v>0</v>
      </c>
    </row>
    <row r="1208" spans="1:30" x14ac:dyDescent="0.25">
      <c r="A1208">
        <v>41369</v>
      </c>
      <c r="B1208">
        <v>6214</v>
      </c>
      <c r="C1208">
        <v>1982</v>
      </c>
      <c r="D1208" t="s">
        <v>8</v>
      </c>
      <c r="E1208" t="s">
        <v>18</v>
      </c>
      <c r="F1208" t="s">
        <v>11</v>
      </c>
      <c r="G1208">
        <v>43815</v>
      </c>
      <c r="H1208">
        <v>1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f>SUM(Table1[[#This Row],[Gold Spending]]+Table1[[#This Row],[Sweet Spending]]+Table1[[#This Row],[Fish Spending]]+Table1[[#This Row],[Meat Spending]]+Table1[[#This Row],[Fruits Spending]]+Table1[[#This Row],[Wine Spending ]])</f>
        <v>79</v>
      </c>
      <c r="Q1208">
        <v>1</v>
      </c>
      <c r="R1208">
        <v>2</v>
      </c>
      <c r="S1208">
        <v>0</v>
      </c>
      <c r="T1208">
        <v>3</v>
      </c>
      <c r="U1208">
        <f>SUM(Table1[[#This Row],[Store_Purchases]]+Table1[[#This Row],[Catalog_Purchases]]+Table1[[#This Row],[Web_Purchases]]+Table1[[#This Row],[Deal_Purchases]])</f>
        <v>6</v>
      </c>
      <c r="V1208">
        <v>6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f>SUM(Table1[[#This Row],[Accepted_Campaign_2]]+Table1[[#This Row],[Accepted_Campaign_1]]+Table1[[#This Row],[Accepted_Campaign_5]]+Table1[[#This Row],[Accepted_Campaign_4]]+Table1[[#This Row],[Accepted_Campaign_3]])</f>
        <v>0</v>
      </c>
      <c r="AC1208">
        <v>0</v>
      </c>
      <c r="AD1208">
        <v>0</v>
      </c>
    </row>
    <row r="1209" spans="1:30" x14ac:dyDescent="0.25">
      <c r="A1209">
        <v>41320</v>
      </c>
      <c r="B1209">
        <v>6230</v>
      </c>
      <c r="C1209">
        <v>1971</v>
      </c>
      <c r="D1209" t="s">
        <v>8</v>
      </c>
      <c r="E1209" t="s">
        <v>6</v>
      </c>
      <c r="F1209" t="s">
        <v>7</v>
      </c>
      <c r="G1209">
        <v>44421</v>
      </c>
      <c r="H1209">
        <v>2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f>SUM(Table1[[#This Row],[Gold Spending]]+Table1[[#This Row],[Sweet Spending]]+Table1[[#This Row],[Fish Spending]]+Table1[[#This Row],[Meat Spending]]+Table1[[#This Row],[Fruits Spending]]+Table1[[#This Row],[Wine Spending ]])</f>
        <v>189</v>
      </c>
      <c r="Q1209">
        <v>5</v>
      </c>
      <c r="R1209">
        <v>5</v>
      </c>
      <c r="S1209">
        <v>0</v>
      </c>
      <c r="T1209">
        <v>4</v>
      </c>
      <c r="U1209">
        <f>SUM(Table1[[#This Row],[Store_Purchases]]+Table1[[#This Row],[Catalog_Purchases]]+Table1[[#This Row],[Web_Purchases]]+Table1[[#This Row],[Deal_Purchases]])</f>
        <v>14</v>
      </c>
      <c r="V1209">
        <v>8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f>SUM(Table1[[#This Row],[Accepted_Campaign_2]]+Table1[[#This Row],[Accepted_Campaign_1]]+Table1[[#This Row],[Accepted_Campaign_5]]+Table1[[#This Row],[Accepted_Campaign_4]]+Table1[[#This Row],[Accepted_Campaign_3]])</f>
        <v>0</v>
      </c>
      <c r="AC1209">
        <v>0</v>
      </c>
      <c r="AD1209">
        <v>0</v>
      </c>
    </row>
    <row r="1210" spans="1:30" x14ac:dyDescent="0.25">
      <c r="A1210">
        <v>41306</v>
      </c>
      <c r="B1210">
        <v>2968</v>
      </c>
      <c r="C1210">
        <v>1943</v>
      </c>
      <c r="D1210" t="s">
        <v>13</v>
      </c>
      <c r="E1210" t="s">
        <v>14</v>
      </c>
      <c r="F1210" t="s">
        <v>7</v>
      </c>
      <c r="G1210">
        <v>48948</v>
      </c>
      <c r="H1210">
        <v>0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f>SUM(Table1[[#This Row],[Gold Spending]]+Table1[[#This Row],[Sweet Spending]]+Table1[[#This Row],[Fish Spending]]+Table1[[#This Row],[Meat Spending]]+Table1[[#This Row],[Fruits Spending]]+Table1[[#This Row],[Wine Spending ]])</f>
        <v>902</v>
      </c>
      <c r="Q1210">
        <v>2</v>
      </c>
      <c r="R1210">
        <v>7</v>
      </c>
      <c r="S1210">
        <v>10</v>
      </c>
      <c r="T1210">
        <v>5</v>
      </c>
      <c r="U1210">
        <f>SUM(Table1[[#This Row],[Store_Purchases]]+Table1[[#This Row],[Catalog_Purchases]]+Table1[[#This Row],[Web_Purchases]]+Table1[[#This Row],[Deal_Purchases]])</f>
        <v>24</v>
      </c>
      <c r="V1210">
        <v>6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f>SUM(Table1[[#This Row],[Accepted_Campaign_2]]+Table1[[#This Row],[Accepted_Campaign_1]]+Table1[[#This Row],[Accepted_Campaign_5]]+Table1[[#This Row],[Accepted_Campaign_4]]+Table1[[#This Row],[Accepted_Campaign_3]])</f>
        <v>1</v>
      </c>
      <c r="AC1210">
        <v>1</v>
      </c>
      <c r="AD1210">
        <v>0</v>
      </c>
    </row>
    <row r="1211" spans="1:30" x14ac:dyDescent="0.25">
      <c r="A1211">
        <v>41306</v>
      </c>
      <c r="B1211">
        <v>8800</v>
      </c>
      <c r="C1211">
        <v>1943</v>
      </c>
      <c r="D1211" t="s">
        <v>20</v>
      </c>
      <c r="E1211" t="s">
        <v>14</v>
      </c>
      <c r="F1211" t="s">
        <v>7</v>
      </c>
      <c r="G1211">
        <v>48948</v>
      </c>
      <c r="H1211">
        <v>0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f>SUM(Table1[[#This Row],[Gold Spending]]+Table1[[#This Row],[Sweet Spending]]+Table1[[#This Row],[Fish Spending]]+Table1[[#This Row],[Meat Spending]]+Table1[[#This Row],[Fruits Spending]]+Table1[[#This Row],[Wine Spending ]])</f>
        <v>902</v>
      </c>
      <c r="Q1211">
        <v>2</v>
      </c>
      <c r="R1211">
        <v>7</v>
      </c>
      <c r="S1211">
        <v>10</v>
      </c>
      <c r="T1211">
        <v>5</v>
      </c>
      <c r="U1211">
        <f>SUM(Table1[[#This Row],[Store_Purchases]]+Table1[[#This Row],[Catalog_Purchases]]+Table1[[#This Row],[Web_Purchases]]+Table1[[#This Row],[Deal_Purchases]])</f>
        <v>24</v>
      </c>
      <c r="V1211">
        <v>6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f>SUM(Table1[[#This Row],[Accepted_Campaign_2]]+Table1[[#This Row],[Accepted_Campaign_1]]+Table1[[#This Row],[Accepted_Campaign_5]]+Table1[[#This Row],[Accepted_Campaign_4]]+Table1[[#This Row],[Accepted_Campaign_3]])</f>
        <v>1</v>
      </c>
      <c r="AC1211">
        <v>1</v>
      </c>
      <c r="AD1211">
        <v>0</v>
      </c>
    </row>
    <row r="1212" spans="1:30" x14ac:dyDescent="0.25">
      <c r="A1212">
        <v>41180</v>
      </c>
      <c r="B1212">
        <v>1907</v>
      </c>
      <c r="C1212">
        <v>1950</v>
      </c>
      <c r="D1212" t="s">
        <v>8</v>
      </c>
      <c r="E1212" t="s">
        <v>18</v>
      </c>
      <c r="F1212" t="s">
        <v>7</v>
      </c>
      <c r="G1212">
        <v>63120</v>
      </c>
      <c r="H1212">
        <v>1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f>SUM(Table1[[#This Row],[Gold Spending]]+Table1[[#This Row],[Sweet Spending]]+Table1[[#This Row],[Fish Spending]]+Table1[[#This Row],[Meat Spending]]+Table1[[#This Row],[Fruits Spending]]+Table1[[#This Row],[Wine Spending ]])</f>
        <v>1477</v>
      </c>
      <c r="Q1212">
        <v>5</v>
      </c>
      <c r="R1212">
        <v>8</v>
      </c>
      <c r="S1212">
        <v>4</v>
      </c>
      <c r="T1212">
        <v>9</v>
      </c>
      <c r="U1212">
        <f>SUM(Table1[[#This Row],[Store_Purchases]]+Table1[[#This Row],[Catalog_Purchases]]+Table1[[#This Row],[Web_Purchases]]+Table1[[#This Row],[Deal_Purchases]])</f>
        <v>26</v>
      </c>
      <c r="V1212">
        <v>7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f>SUM(Table1[[#This Row],[Accepted_Campaign_2]]+Table1[[#This Row],[Accepted_Campaign_1]]+Table1[[#This Row],[Accepted_Campaign_5]]+Table1[[#This Row],[Accepted_Campaign_4]]+Table1[[#This Row],[Accepted_Campaign_3]])</f>
        <v>0</v>
      </c>
      <c r="AC1212">
        <v>1</v>
      </c>
      <c r="AD1212">
        <v>0</v>
      </c>
    </row>
    <row r="1213" spans="1:30" x14ac:dyDescent="0.25">
      <c r="A1213">
        <v>41179</v>
      </c>
      <c r="B1213">
        <v>10478</v>
      </c>
      <c r="C1213">
        <v>1950</v>
      </c>
      <c r="D1213" t="s">
        <v>20</v>
      </c>
      <c r="E1213" t="s">
        <v>14</v>
      </c>
      <c r="F1213" t="s">
        <v>11</v>
      </c>
      <c r="G1213">
        <v>55517</v>
      </c>
      <c r="H1213">
        <v>2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f>SUM(Table1[[#This Row],[Gold Spending]]+Table1[[#This Row],[Sweet Spending]]+Table1[[#This Row],[Fish Spending]]+Table1[[#This Row],[Meat Spending]]+Table1[[#This Row],[Fruits Spending]]+Table1[[#This Row],[Wine Spending ]])</f>
        <v>633</v>
      </c>
      <c r="Q1213">
        <v>5</v>
      </c>
      <c r="R1213">
        <v>11</v>
      </c>
      <c r="S1213">
        <v>1</v>
      </c>
      <c r="T1213">
        <v>6</v>
      </c>
      <c r="U1213">
        <f>SUM(Table1[[#This Row],[Store_Purchases]]+Table1[[#This Row],[Catalog_Purchases]]+Table1[[#This Row],[Web_Purchases]]+Table1[[#This Row],[Deal_Purchases]])</f>
        <v>23</v>
      </c>
      <c r="V1213">
        <v>9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f>SUM(Table1[[#This Row],[Accepted_Campaign_2]]+Table1[[#This Row],[Accepted_Campaign_1]]+Table1[[#This Row],[Accepted_Campaign_5]]+Table1[[#This Row],[Accepted_Campaign_4]]+Table1[[#This Row],[Accepted_Campaign_3]])</f>
        <v>0</v>
      </c>
      <c r="AC1213">
        <v>1</v>
      </c>
      <c r="AD1213">
        <v>0</v>
      </c>
    </row>
    <row r="1214" spans="1:30" x14ac:dyDescent="0.25">
      <c r="A1214">
        <v>41134</v>
      </c>
      <c r="B1214">
        <v>4188</v>
      </c>
      <c r="C1214">
        <v>1957</v>
      </c>
      <c r="D1214" t="s">
        <v>13</v>
      </c>
      <c r="E1214" t="s">
        <v>6</v>
      </c>
      <c r="F1214" t="s">
        <v>9</v>
      </c>
      <c r="G1214">
        <v>36864</v>
      </c>
      <c r="H1214">
        <v>1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f>SUM(Table1[[#This Row],[Gold Spending]]+Table1[[#This Row],[Sweet Spending]]+Table1[[#This Row],[Fish Spending]]+Table1[[#This Row],[Meat Spending]]+Table1[[#This Row],[Fruits Spending]]+Table1[[#This Row],[Wine Spending ]])</f>
        <v>354</v>
      </c>
      <c r="Q1214">
        <v>3</v>
      </c>
      <c r="R1214">
        <v>5</v>
      </c>
      <c r="S1214">
        <v>2</v>
      </c>
      <c r="T1214">
        <v>4</v>
      </c>
      <c r="U1214">
        <f>SUM(Table1[[#This Row],[Store_Purchases]]+Table1[[#This Row],[Catalog_Purchases]]+Table1[[#This Row],[Web_Purchases]]+Table1[[#This Row],[Deal_Purchases]])</f>
        <v>14</v>
      </c>
      <c r="V1214">
        <v>8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f>SUM(Table1[[#This Row],[Accepted_Campaign_2]]+Table1[[#This Row],[Accepted_Campaign_1]]+Table1[[#This Row],[Accepted_Campaign_5]]+Table1[[#This Row],[Accepted_Campaign_4]]+Table1[[#This Row],[Accepted_Campaign_3]])</f>
        <v>0</v>
      </c>
      <c r="AC1214">
        <v>1</v>
      </c>
      <c r="AD1214">
        <v>0</v>
      </c>
    </row>
    <row r="1215" spans="1:30" x14ac:dyDescent="0.25">
      <c r="A1215">
        <v>41133</v>
      </c>
      <c r="B1215">
        <v>8720</v>
      </c>
      <c r="C1215">
        <v>1978</v>
      </c>
      <c r="D1215" t="s">
        <v>17</v>
      </c>
      <c r="E1215" t="s">
        <v>15</v>
      </c>
      <c r="F1215" t="s">
        <v>12</v>
      </c>
      <c r="G1215">
        <v>53790.45</v>
      </c>
      <c r="H1215">
        <v>0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f>SUM(Table1[[#This Row],[Gold Spending]]+Table1[[#This Row],[Sweet Spending]]+Table1[[#This Row],[Fish Spending]]+Table1[[#This Row],[Meat Spending]]+Table1[[#This Row],[Fruits Spending]]+Table1[[#This Row],[Wine Spending ]])</f>
        <v>1679</v>
      </c>
      <c r="Q1215">
        <v>0</v>
      </c>
      <c r="R1215">
        <v>0</v>
      </c>
      <c r="S1215">
        <v>0</v>
      </c>
      <c r="T1215">
        <v>1</v>
      </c>
      <c r="U1215">
        <f>SUM(Table1[[#This Row],[Store_Purchases]]+Table1[[#This Row],[Catalog_Purchases]]+Table1[[#This Row],[Web_Purchases]]+Table1[[#This Row],[Deal_Purchases]])</f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f>SUM(Table1[[#This Row],[Accepted_Campaign_2]]+Table1[[#This Row],[Accepted_Campaign_1]]+Table1[[#This Row],[Accepted_Campaign_5]]+Table1[[#This Row],[Accepted_Campaign_4]]+Table1[[#This Row],[Accepted_Campaign_3]])</f>
        <v>1</v>
      </c>
      <c r="AC1215">
        <v>0</v>
      </c>
      <c r="AD1215">
        <v>0</v>
      </c>
    </row>
    <row r="1216" spans="1:30" x14ac:dyDescent="0.25">
      <c r="A1216">
        <v>41797</v>
      </c>
      <c r="B1216">
        <v>2225</v>
      </c>
      <c r="C1216">
        <v>1977</v>
      </c>
      <c r="D1216" t="s">
        <v>13</v>
      </c>
      <c r="E1216" t="s">
        <v>6</v>
      </c>
      <c r="F1216" t="s">
        <v>7</v>
      </c>
      <c r="G1216">
        <v>82582</v>
      </c>
      <c r="H1216">
        <v>0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f>SUM(Table1[[#This Row],[Gold Spending]]+Table1[[#This Row],[Sweet Spending]]+Table1[[#This Row],[Fish Spending]]+Table1[[#This Row],[Meat Spending]]+Table1[[#This Row],[Fruits Spending]]+Table1[[#This Row],[Wine Spending ]])</f>
        <v>1617</v>
      </c>
      <c r="Q1216">
        <v>1</v>
      </c>
      <c r="R1216">
        <v>4</v>
      </c>
      <c r="S1216">
        <v>9</v>
      </c>
      <c r="T1216">
        <v>7</v>
      </c>
      <c r="U1216">
        <f>SUM(Table1[[#This Row],[Store_Purchases]]+Table1[[#This Row],[Catalog_Purchases]]+Table1[[#This Row],[Web_Purchases]]+Table1[[#This Row],[Deal_Purchases]])</f>
        <v>21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f>SUM(Table1[[#This Row],[Accepted_Campaign_2]]+Table1[[#This Row],[Accepted_Campaign_1]]+Table1[[#This Row],[Accepted_Campaign_5]]+Table1[[#This Row],[Accepted_Campaign_4]]+Table1[[#This Row],[Accepted_Campaign_3]])</f>
        <v>2</v>
      </c>
      <c r="AC1216">
        <v>1</v>
      </c>
      <c r="AD1216">
        <v>0</v>
      </c>
    </row>
    <row r="1217" spans="1:30" x14ac:dyDescent="0.25">
      <c r="A1217">
        <v>41792</v>
      </c>
      <c r="B1217">
        <v>4790</v>
      </c>
      <c r="C1217">
        <v>1958</v>
      </c>
      <c r="D1217" t="s">
        <v>8</v>
      </c>
      <c r="E1217" t="s">
        <v>6</v>
      </c>
      <c r="F1217" t="s">
        <v>7</v>
      </c>
      <c r="G1217">
        <v>79803</v>
      </c>
      <c r="H1217">
        <v>1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f>SUM(Table1[[#This Row],[Gold Spending]]+Table1[[#This Row],[Sweet Spending]]+Table1[[#This Row],[Fish Spending]]+Table1[[#This Row],[Meat Spending]]+Table1[[#This Row],[Fruits Spending]]+Table1[[#This Row],[Wine Spending ]])</f>
        <v>868</v>
      </c>
      <c r="Q1217">
        <v>1</v>
      </c>
      <c r="R1217">
        <v>4</v>
      </c>
      <c r="S1217">
        <v>3</v>
      </c>
      <c r="T1217">
        <v>5</v>
      </c>
      <c r="U1217">
        <f>SUM(Table1[[#This Row],[Store_Purchases]]+Table1[[#This Row],[Catalog_Purchases]]+Table1[[#This Row],[Web_Purchases]]+Table1[[#This Row],[Deal_Purchases]])</f>
        <v>13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f>SUM(Table1[[#This Row],[Accepted_Campaign_2]]+Table1[[#This Row],[Accepted_Campaign_1]]+Table1[[#This Row],[Accepted_Campaign_5]]+Table1[[#This Row],[Accepted_Campaign_4]]+Table1[[#This Row],[Accepted_Campaign_3]])</f>
        <v>0</v>
      </c>
      <c r="AC1217">
        <v>0</v>
      </c>
      <c r="AD1217">
        <v>0</v>
      </c>
    </row>
    <row r="1218" spans="1:30" x14ac:dyDescent="0.25">
      <c r="A1218">
        <v>41734</v>
      </c>
      <c r="B1218">
        <v>1131</v>
      </c>
      <c r="C1218">
        <v>1967</v>
      </c>
      <c r="D1218" t="s">
        <v>20</v>
      </c>
      <c r="E1218" t="s">
        <v>14</v>
      </c>
      <c r="F1218" t="s">
        <v>9</v>
      </c>
      <c r="G1218">
        <v>52569</v>
      </c>
      <c r="H1218">
        <v>1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f>SUM(Table1[[#This Row],[Gold Spending]]+Table1[[#This Row],[Sweet Spending]]+Table1[[#This Row],[Fish Spending]]+Table1[[#This Row],[Meat Spending]]+Table1[[#This Row],[Fruits Spending]]+Table1[[#This Row],[Wine Spending ]])</f>
        <v>95</v>
      </c>
      <c r="Q1218">
        <v>1</v>
      </c>
      <c r="R1218">
        <v>2</v>
      </c>
      <c r="S1218">
        <v>0</v>
      </c>
      <c r="T1218">
        <v>4</v>
      </c>
      <c r="U1218">
        <f>SUM(Table1[[#This Row],[Store_Purchases]]+Table1[[#This Row],[Catalog_Purchases]]+Table1[[#This Row],[Web_Purchases]]+Table1[[#This Row],[Deal_Purchases]])</f>
        <v>7</v>
      </c>
      <c r="V1218">
        <v>3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f>SUM(Table1[[#This Row],[Accepted_Campaign_2]]+Table1[[#This Row],[Accepted_Campaign_1]]+Table1[[#This Row],[Accepted_Campaign_5]]+Table1[[#This Row],[Accepted_Campaign_4]]+Table1[[#This Row],[Accepted_Campaign_3]])</f>
        <v>0</v>
      </c>
      <c r="AC1218">
        <v>0</v>
      </c>
      <c r="AD1218">
        <v>0</v>
      </c>
    </row>
    <row r="1219" spans="1:30" x14ac:dyDescent="0.25">
      <c r="A1219">
        <v>41734</v>
      </c>
      <c r="B1219">
        <v>202</v>
      </c>
      <c r="C1219">
        <v>1948</v>
      </c>
      <c r="D1219" t="s">
        <v>17</v>
      </c>
      <c r="E1219" t="s">
        <v>14</v>
      </c>
      <c r="F1219" t="s">
        <v>19</v>
      </c>
      <c r="G1219">
        <v>82032</v>
      </c>
      <c r="H1219">
        <v>0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f>SUM(Table1[[#This Row],[Gold Spending]]+Table1[[#This Row],[Sweet Spending]]+Table1[[#This Row],[Fish Spending]]+Table1[[#This Row],[Meat Spending]]+Table1[[#This Row],[Fruits Spending]]+Table1[[#This Row],[Wine Spending ]])</f>
        <v>1234</v>
      </c>
      <c r="Q1219">
        <v>0</v>
      </c>
      <c r="R1219">
        <v>4</v>
      </c>
      <c r="S1219">
        <v>6</v>
      </c>
      <c r="T1219">
        <v>7</v>
      </c>
      <c r="U1219">
        <f>SUM(Table1[[#This Row],[Store_Purchases]]+Table1[[#This Row],[Catalog_Purchases]]+Table1[[#This Row],[Web_Purchases]]+Table1[[#This Row],[Deal_Purchases]])</f>
        <v>17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f>SUM(Table1[[#This Row],[Accepted_Campaign_2]]+Table1[[#This Row],[Accepted_Campaign_1]]+Table1[[#This Row],[Accepted_Campaign_5]]+Table1[[#This Row],[Accepted_Campaign_4]]+Table1[[#This Row],[Accepted_Campaign_3]])</f>
        <v>0</v>
      </c>
      <c r="AC1219">
        <v>0</v>
      </c>
      <c r="AD1219">
        <v>0</v>
      </c>
    </row>
    <row r="1220" spans="1:30" x14ac:dyDescent="0.25">
      <c r="A1220">
        <v>41734</v>
      </c>
      <c r="B1220">
        <v>9589</v>
      </c>
      <c r="C1220">
        <v>1948</v>
      </c>
      <c r="D1220" t="s">
        <v>17</v>
      </c>
      <c r="E1220" t="s">
        <v>14</v>
      </c>
      <c r="F1220" t="s">
        <v>19</v>
      </c>
      <c r="G1220">
        <v>82032</v>
      </c>
      <c r="H1220">
        <v>0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f>SUM(Table1[[#This Row],[Gold Spending]]+Table1[[#This Row],[Sweet Spending]]+Table1[[#This Row],[Fish Spending]]+Table1[[#This Row],[Meat Spending]]+Table1[[#This Row],[Fruits Spending]]+Table1[[#This Row],[Wine Spending ]])</f>
        <v>1234</v>
      </c>
      <c r="Q1220">
        <v>0</v>
      </c>
      <c r="R1220">
        <v>4</v>
      </c>
      <c r="S1220">
        <v>6</v>
      </c>
      <c r="T1220">
        <v>7</v>
      </c>
      <c r="U1220">
        <f>SUM(Table1[[#This Row],[Store_Purchases]]+Table1[[#This Row],[Catalog_Purchases]]+Table1[[#This Row],[Web_Purchases]]+Table1[[#This Row],[Deal_Purchases]])</f>
        <v>17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f>SUM(Table1[[#This Row],[Accepted_Campaign_2]]+Table1[[#This Row],[Accepted_Campaign_1]]+Table1[[#This Row],[Accepted_Campaign_5]]+Table1[[#This Row],[Accepted_Campaign_4]]+Table1[[#This Row],[Accepted_Campaign_3]])</f>
        <v>0</v>
      </c>
      <c r="AC1220">
        <v>0</v>
      </c>
      <c r="AD1220">
        <v>0</v>
      </c>
    </row>
    <row r="1221" spans="1:30" x14ac:dyDescent="0.25">
      <c r="A1221">
        <v>41727</v>
      </c>
      <c r="B1221">
        <v>3900</v>
      </c>
      <c r="C1221">
        <v>1972</v>
      </c>
      <c r="D1221" t="s">
        <v>10</v>
      </c>
      <c r="E1221" t="s">
        <v>6</v>
      </c>
      <c r="F1221" t="s">
        <v>11</v>
      </c>
      <c r="G1221">
        <v>65685</v>
      </c>
      <c r="H1221">
        <v>1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f>SUM(Table1[[#This Row],[Gold Spending]]+Table1[[#This Row],[Sweet Spending]]+Table1[[#This Row],[Fish Spending]]+Table1[[#This Row],[Meat Spending]]+Table1[[#This Row],[Fruits Spending]]+Table1[[#This Row],[Wine Spending ]])</f>
        <v>769</v>
      </c>
      <c r="Q1221">
        <v>1</v>
      </c>
      <c r="R1221">
        <v>9</v>
      </c>
      <c r="S1221">
        <v>2</v>
      </c>
      <c r="T1221">
        <v>9</v>
      </c>
      <c r="U1221">
        <f>SUM(Table1[[#This Row],[Store_Purchases]]+Table1[[#This Row],[Catalog_Purchases]]+Table1[[#This Row],[Web_Purchases]]+Table1[[#This Row],[Deal_Purchases]])</f>
        <v>21</v>
      </c>
      <c r="V1221">
        <v>5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f>SUM(Table1[[#This Row],[Accepted_Campaign_2]]+Table1[[#This Row],[Accepted_Campaign_1]]+Table1[[#This Row],[Accepted_Campaign_5]]+Table1[[#This Row],[Accepted_Campaign_4]]+Table1[[#This Row],[Accepted_Campaign_3]])</f>
        <v>0</v>
      </c>
      <c r="AC1221">
        <v>0</v>
      </c>
      <c r="AD1221">
        <v>0</v>
      </c>
    </row>
    <row r="1222" spans="1:30" x14ac:dyDescent="0.25">
      <c r="A1222">
        <v>41727</v>
      </c>
      <c r="B1222">
        <v>9958</v>
      </c>
      <c r="C1222">
        <v>1972</v>
      </c>
      <c r="D1222" t="s">
        <v>13</v>
      </c>
      <c r="E1222" t="s">
        <v>6</v>
      </c>
      <c r="F1222" t="s">
        <v>11</v>
      </c>
      <c r="G1222">
        <v>65685</v>
      </c>
      <c r="H1222">
        <v>1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f>SUM(Table1[[#This Row],[Gold Spending]]+Table1[[#This Row],[Sweet Spending]]+Table1[[#This Row],[Fish Spending]]+Table1[[#This Row],[Meat Spending]]+Table1[[#This Row],[Fruits Spending]]+Table1[[#This Row],[Wine Spending ]])</f>
        <v>769</v>
      </c>
      <c r="Q1222">
        <v>1</v>
      </c>
      <c r="R1222">
        <v>9</v>
      </c>
      <c r="S1222">
        <v>2</v>
      </c>
      <c r="T1222">
        <v>9</v>
      </c>
      <c r="U1222">
        <f>SUM(Table1[[#This Row],[Store_Purchases]]+Table1[[#This Row],[Catalog_Purchases]]+Table1[[#This Row],[Web_Purchases]]+Table1[[#This Row],[Deal_Purchases]])</f>
        <v>21</v>
      </c>
      <c r="V1222">
        <v>5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f>SUM(Table1[[#This Row],[Accepted_Campaign_2]]+Table1[[#This Row],[Accepted_Campaign_1]]+Table1[[#This Row],[Accepted_Campaign_5]]+Table1[[#This Row],[Accepted_Campaign_4]]+Table1[[#This Row],[Accepted_Campaign_3]])</f>
        <v>0</v>
      </c>
      <c r="AC1222">
        <v>0</v>
      </c>
      <c r="AD1222">
        <v>0</v>
      </c>
    </row>
    <row r="1223" spans="1:30" x14ac:dyDescent="0.25">
      <c r="A1223">
        <v>41686</v>
      </c>
      <c r="B1223">
        <v>8955</v>
      </c>
      <c r="C1223">
        <v>1957</v>
      </c>
      <c r="D1223" t="s">
        <v>8</v>
      </c>
      <c r="E1223" t="s">
        <v>14</v>
      </c>
      <c r="F1223" t="s">
        <v>12</v>
      </c>
      <c r="G1223">
        <v>40451</v>
      </c>
      <c r="H1223">
        <v>2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f>SUM(Table1[[#This Row],[Gold Spending]]+Table1[[#This Row],[Sweet Spending]]+Table1[[#This Row],[Fish Spending]]+Table1[[#This Row],[Meat Spending]]+Table1[[#This Row],[Fruits Spending]]+Table1[[#This Row],[Wine Spending ]])</f>
        <v>49</v>
      </c>
      <c r="Q1223">
        <v>1</v>
      </c>
      <c r="R1223">
        <v>1</v>
      </c>
      <c r="S1223">
        <v>1</v>
      </c>
      <c r="T1223">
        <v>2</v>
      </c>
      <c r="U1223">
        <f>SUM(Table1[[#This Row],[Store_Purchases]]+Table1[[#This Row],[Catalog_Purchases]]+Table1[[#This Row],[Web_Purchases]]+Table1[[#This Row],[Deal_Purchases]])</f>
        <v>5</v>
      </c>
      <c r="V1223">
        <v>5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f>SUM(Table1[[#This Row],[Accepted_Campaign_2]]+Table1[[#This Row],[Accepted_Campaign_1]]+Table1[[#This Row],[Accepted_Campaign_5]]+Table1[[#This Row],[Accepted_Campaign_4]]+Table1[[#This Row],[Accepted_Campaign_3]])</f>
        <v>1</v>
      </c>
      <c r="AC1223">
        <v>0</v>
      </c>
      <c r="AD1223">
        <v>0</v>
      </c>
    </row>
    <row r="1224" spans="1:30" x14ac:dyDescent="0.25">
      <c r="A1224">
        <v>41683</v>
      </c>
      <c r="B1224">
        <v>10033</v>
      </c>
      <c r="C1224">
        <v>1973</v>
      </c>
      <c r="D1224" t="s">
        <v>16</v>
      </c>
      <c r="E1224" t="s">
        <v>15</v>
      </c>
      <c r="F1224" t="s">
        <v>7</v>
      </c>
      <c r="G1224">
        <v>31163</v>
      </c>
      <c r="H1224">
        <v>1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f>SUM(Table1[[#This Row],[Gold Spending]]+Table1[[#This Row],[Sweet Spending]]+Table1[[#This Row],[Fish Spending]]+Table1[[#This Row],[Meat Spending]]+Table1[[#This Row],[Fruits Spending]]+Table1[[#This Row],[Wine Spending ]])</f>
        <v>38</v>
      </c>
      <c r="Q1224">
        <v>1</v>
      </c>
      <c r="R1224">
        <v>1</v>
      </c>
      <c r="S1224">
        <v>0</v>
      </c>
      <c r="T1224">
        <v>3</v>
      </c>
      <c r="U1224">
        <f>SUM(Table1[[#This Row],[Store_Purchases]]+Table1[[#This Row],[Catalog_Purchases]]+Table1[[#This Row],[Web_Purchases]]+Table1[[#This Row],[Deal_Purchases]])</f>
        <v>5</v>
      </c>
      <c r="V1224">
        <v>6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f>SUM(Table1[[#This Row],[Accepted_Campaign_2]]+Table1[[#This Row],[Accepted_Campaign_1]]+Table1[[#This Row],[Accepted_Campaign_5]]+Table1[[#This Row],[Accepted_Campaign_4]]+Table1[[#This Row],[Accepted_Campaign_3]])</f>
        <v>0</v>
      </c>
      <c r="AC1224">
        <v>0</v>
      </c>
      <c r="AD1224">
        <v>0</v>
      </c>
    </row>
    <row r="1225" spans="1:30" x14ac:dyDescent="0.25">
      <c r="A1225">
        <v>41683</v>
      </c>
      <c r="B1225">
        <v>5751</v>
      </c>
      <c r="C1225">
        <v>1973</v>
      </c>
      <c r="D1225" t="s">
        <v>10</v>
      </c>
      <c r="E1225" t="s">
        <v>15</v>
      </c>
      <c r="F1225" t="s">
        <v>7</v>
      </c>
      <c r="G1225">
        <v>31163</v>
      </c>
      <c r="H1225">
        <v>1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f>SUM(Table1[[#This Row],[Gold Spending]]+Table1[[#This Row],[Sweet Spending]]+Table1[[#This Row],[Fish Spending]]+Table1[[#This Row],[Meat Spending]]+Table1[[#This Row],[Fruits Spending]]+Table1[[#This Row],[Wine Spending ]])</f>
        <v>38</v>
      </c>
      <c r="Q1225">
        <v>1</v>
      </c>
      <c r="R1225">
        <v>1</v>
      </c>
      <c r="S1225">
        <v>0</v>
      </c>
      <c r="T1225">
        <v>3</v>
      </c>
      <c r="U1225">
        <f>SUM(Table1[[#This Row],[Store_Purchases]]+Table1[[#This Row],[Catalog_Purchases]]+Table1[[#This Row],[Web_Purchases]]+Table1[[#This Row],[Deal_Purchases]])</f>
        <v>5</v>
      </c>
      <c r="V1225">
        <v>6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f>SUM(Table1[[#This Row],[Accepted_Campaign_2]]+Table1[[#This Row],[Accepted_Campaign_1]]+Table1[[#This Row],[Accepted_Campaign_5]]+Table1[[#This Row],[Accepted_Campaign_4]]+Table1[[#This Row],[Accepted_Campaign_3]])</f>
        <v>0</v>
      </c>
      <c r="AC1225">
        <v>0</v>
      </c>
      <c r="AD1225">
        <v>0</v>
      </c>
    </row>
    <row r="1226" spans="1:30" x14ac:dyDescent="0.25">
      <c r="A1226">
        <v>41642</v>
      </c>
      <c r="B1226">
        <v>3308</v>
      </c>
      <c r="C1226">
        <v>1952</v>
      </c>
      <c r="D1226" t="s">
        <v>20</v>
      </c>
      <c r="E1226" t="s">
        <v>6</v>
      </c>
      <c r="F1226" t="s">
        <v>11</v>
      </c>
      <c r="G1226">
        <v>35704</v>
      </c>
      <c r="H1226">
        <v>2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f>SUM(Table1[[#This Row],[Gold Spending]]+Table1[[#This Row],[Sweet Spending]]+Table1[[#This Row],[Fish Spending]]+Table1[[#This Row],[Meat Spending]]+Table1[[#This Row],[Fruits Spending]]+Table1[[#This Row],[Wine Spending ]])</f>
        <v>94</v>
      </c>
      <c r="Q1226">
        <v>3</v>
      </c>
      <c r="R1226">
        <v>2</v>
      </c>
      <c r="S1226">
        <v>0</v>
      </c>
      <c r="T1226">
        <v>4</v>
      </c>
      <c r="U1226">
        <f>SUM(Table1[[#This Row],[Store_Purchases]]+Table1[[#This Row],[Catalog_Purchases]]+Table1[[#This Row],[Web_Purchases]]+Table1[[#This Row],[Deal_Purchases]])</f>
        <v>9</v>
      </c>
      <c r="V1226">
        <v>4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f>SUM(Table1[[#This Row],[Accepted_Campaign_2]]+Table1[[#This Row],[Accepted_Campaign_1]]+Table1[[#This Row],[Accepted_Campaign_5]]+Table1[[#This Row],[Accepted_Campaign_4]]+Table1[[#This Row],[Accepted_Campaign_3]])</f>
        <v>0</v>
      </c>
      <c r="AC1226">
        <v>0</v>
      </c>
      <c r="AD1226">
        <v>0</v>
      </c>
    </row>
    <row r="1227" spans="1:30" x14ac:dyDescent="0.25">
      <c r="A1227">
        <v>41634</v>
      </c>
      <c r="B1227">
        <v>7297</v>
      </c>
      <c r="C1227">
        <v>1973</v>
      </c>
      <c r="D1227" t="s">
        <v>20</v>
      </c>
      <c r="E1227" t="s">
        <v>6</v>
      </c>
      <c r="F1227" t="s">
        <v>9</v>
      </c>
      <c r="G1227">
        <v>7500</v>
      </c>
      <c r="H1227">
        <v>1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1227">
        <v>4</v>
      </c>
      <c r="R1227">
        <v>3</v>
      </c>
      <c r="S1227">
        <v>1</v>
      </c>
      <c r="T1227">
        <v>3</v>
      </c>
      <c r="U1227">
        <f>SUM(Table1[[#This Row],[Store_Purchases]]+Table1[[#This Row],[Catalog_Purchases]]+Table1[[#This Row],[Web_Purchases]]+Table1[[#This Row],[Deal_Purchases]])</f>
        <v>11</v>
      </c>
      <c r="V1227">
        <v>7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f>SUM(Table1[[#This Row],[Accepted_Campaign_2]]+Table1[[#This Row],[Accepted_Campaign_1]]+Table1[[#This Row],[Accepted_Campaign_5]]+Table1[[#This Row],[Accepted_Campaign_4]]+Table1[[#This Row],[Accepted_Campaign_3]])</f>
        <v>0</v>
      </c>
      <c r="AC1227">
        <v>0</v>
      </c>
      <c r="AD1227">
        <v>0</v>
      </c>
    </row>
    <row r="1228" spans="1:30" x14ac:dyDescent="0.25">
      <c r="A1228">
        <v>41617</v>
      </c>
      <c r="B1228">
        <v>8008</v>
      </c>
      <c r="C1228">
        <v>1983</v>
      </c>
      <c r="D1228" t="s">
        <v>8</v>
      </c>
      <c r="E1228" t="s">
        <v>6</v>
      </c>
      <c r="F1228" t="s">
        <v>12</v>
      </c>
      <c r="G1228">
        <v>36075</v>
      </c>
      <c r="H1228">
        <v>1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f>SUM(Table1[[#This Row],[Gold Spending]]+Table1[[#This Row],[Sweet Spending]]+Table1[[#This Row],[Fish Spending]]+Table1[[#This Row],[Meat Spending]]+Table1[[#This Row],[Fruits Spending]]+Table1[[#This Row],[Wine Spending ]])</f>
        <v>119</v>
      </c>
      <c r="Q1228">
        <v>1</v>
      </c>
      <c r="R1228">
        <v>2</v>
      </c>
      <c r="S1228">
        <v>0</v>
      </c>
      <c r="T1228">
        <v>4</v>
      </c>
      <c r="U1228">
        <f>SUM(Table1[[#This Row],[Store_Purchases]]+Table1[[#This Row],[Catalog_Purchases]]+Table1[[#This Row],[Web_Purchases]]+Table1[[#This Row],[Deal_Purchases]])</f>
        <v>7</v>
      </c>
      <c r="V1228">
        <v>6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f>SUM(Table1[[#This Row],[Accepted_Campaign_2]]+Table1[[#This Row],[Accepted_Campaign_1]]+Table1[[#This Row],[Accepted_Campaign_5]]+Table1[[#This Row],[Accepted_Campaign_4]]+Table1[[#This Row],[Accepted_Campaign_3]])</f>
        <v>0</v>
      </c>
      <c r="AC1228">
        <v>0</v>
      </c>
      <c r="AD1228">
        <v>0</v>
      </c>
    </row>
    <row r="1229" spans="1:30" x14ac:dyDescent="0.25">
      <c r="A1229">
        <v>41572</v>
      </c>
      <c r="B1229">
        <v>1232</v>
      </c>
      <c r="C1229">
        <v>1982</v>
      </c>
      <c r="D1229" t="s">
        <v>16</v>
      </c>
      <c r="E1229" t="s">
        <v>14</v>
      </c>
      <c r="F1229" t="s">
        <v>12</v>
      </c>
      <c r="G1229">
        <v>70038</v>
      </c>
      <c r="H1229">
        <v>0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f>SUM(Table1[[#This Row],[Gold Spending]]+Table1[[#This Row],[Sweet Spending]]+Table1[[#This Row],[Fish Spending]]+Table1[[#This Row],[Meat Spending]]+Table1[[#This Row],[Fruits Spending]]+Table1[[#This Row],[Wine Spending ]])</f>
        <v>1244</v>
      </c>
      <c r="Q1229">
        <v>1</v>
      </c>
      <c r="R1229">
        <v>4</v>
      </c>
      <c r="S1229">
        <v>4</v>
      </c>
      <c r="T1229">
        <v>8</v>
      </c>
      <c r="U1229">
        <f>SUM(Table1[[#This Row],[Store_Purchases]]+Table1[[#This Row],[Catalog_Purchases]]+Table1[[#This Row],[Web_Purchases]]+Table1[[#This Row],[Deal_Purchases]])</f>
        <v>17</v>
      </c>
      <c r="V1229">
        <v>2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f>SUM(Table1[[#This Row],[Accepted_Campaign_2]]+Table1[[#This Row],[Accepted_Campaign_1]]+Table1[[#This Row],[Accepted_Campaign_5]]+Table1[[#This Row],[Accepted_Campaign_4]]+Table1[[#This Row],[Accepted_Campaign_3]])</f>
        <v>0</v>
      </c>
      <c r="AC1229">
        <v>0</v>
      </c>
      <c r="AD1229">
        <v>0</v>
      </c>
    </row>
    <row r="1230" spans="1:30" x14ac:dyDescent="0.25">
      <c r="A1230">
        <v>41572</v>
      </c>
      <c r="B1230">
        <v>2345</v>
      </c>
      <c r="C1230">
        <v>1982</v>
      </c>
      <c r="D1230" t="s">
        <v>13</v>
      </c>
      <c r="E1230" t="s">
        <v>14</v>
      </c>
      <c r="F1230" t="s">
        <v>12</v>
      </c>
      <c r="G1230">
        <v>70038</v>
      </c>
      <c r="H1230">
        <v>0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f>SUM(Table1[[#This Row],[Gold Spending]]+Table1[[#This Row],[Sweet Spending]]+Table1[[#This Row],[Fish Spending]]+Table1[[#This Row],[Meat Spending]]+Table1[[#This Row],[Fruits Spending]]+Table1[[#This Row],[Wine Spending ]])</f>
        <v>1244</v>
      </c>
      <c r="Q1230">
        <v>1</v>
      </c>
      <c r="R1230">
        <v>4</v>
      </c>
      <c r="S1230">
        <v>4</v>
      </c>
      <c r="T1230">
        <v>8</v>
      </c>
      <c r="U1230">
        <f>SUM(Table1[[#This Row],[Store_Purchases]]+Table1[[#This Row],[Catalog_Purchases]]+Table1[[#This Row],[Web_Purchases]]+Table1[[#This Row],[Deal_Purchases]])</f>
        <v>17</v>
      </c>
      <c r="V1230">
        <v>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f>SUM(Table1[[#This Row],[Accepted_Campaign_2]]+Table1[[#This Row],[Accepted_Campaign_1]]+Table1[[#This Row],[Accepted_Campaign_5]]+Table1[[#This Row],[Accepted_Campaign_4]]+Table1[[#This Row],[Accepted_Campaign_3]])</f>
        <v>0</v>
      </c>
      <c r="AC1230">
        <v>0</v>
      </c>
      <c r="AD1230">
        <v>0</v>
      </c>
    </row>
    <row r="1231" spans="1:30" x14ac:dyDescent="0.25">
      <c r="A1231">
        <v>41571</v>
      </c>
      <c r="B1231">
        <v>1628</v>
      </c>
      <c r="C1231">
        <v>1971</v>
      </c>
      <c r="D1231" t="s">
        <v>20</v>
      </c>
      <c r="E1231" t="s">
        <v>6</v>
      </c>
      <c r="F1231" t="s">
        <v>12</v>
      </c>
      <c r="G1231">
        <v>71796</v>
      </c>
      <c r="H1231">
        <v>0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f>SUM(Table1[[#This Row],[Gold Spending]]+Table1[[#This Row],[Sweet Spending]]+Table1[[#This Row],[Fish Spending]]+Table1[[#This Row],[Meat Spending]]+Table1[[#This Row],[Fruits Spending]]+Table1[[#This Row],[Wine Spending ]])</f>
        <v>960</v>
      </c>
      <c r="Q1231">
        <v>1</v>
      </c>
      <c r="R1231">
        <v>9</v>
      </c>
      <c r="S1231">
        <v>3</v>
      </c>
      <c r="T1231">
        <v>4</v>
      </c>
      <c r="U1231">
        <f>SUM(Table1[[#This Row],[Store_Purchases]]+Table1[[#This Row],[Catalog_Purchases]]+Table1[[#This Row],[Web_Purchases]]+Table1[[#This Row],[Deal_Purchases]])</f>
        <v>17</v>
      </c>
      <c r="V1231">
        <v>4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f>SUM(Table1[[#This Row],[Accepted_Campaign_2]]+Table1[[#This Row],[Accepted_Campaign_1]]+Table1[[#This Row],[Accepted_Campaign_5]]+Table1[[#This Row],[Accepted_Campaign_4]]+Table1[[#This Row],[Accepted_Campaign_3]])</f>
        <v>0</v>
      </c>
      <c r="AC1231">
        <v>0</v>
      </c>
      <c r="AD1231">
        <v>0</v>
      </c>
    </row>
    <row r="1232" spans="1:30" x14ac:dyDescent="0.25">
      <c r="A1232">
        <v>41567</v>
      </c>
      <c r="B1232">
        <v>5081</v>
      </c>
      <c r="C1232">
        <v>1967</v>
      </c>
      <c r="D1232" t="s">
        <v>8</v>
      </c>
      <c r="E1232" t="s">
        <v>15</v>
      </c>
      <c r="F1232" t="s">
        <v>12</v>
      </c>
      <c r="G1232">
        <v>47821</v>
      </c>
      <c r="H1232">
        <v>2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f>SUM(Table1[[#This Row],[Gold Spending]]+Table1[[#This Row],[Sweet Spending]]+Table1[[#This Row],[Fish Spending]]+Table1[[#This Row],[Meat Spending]]+Table1[[#This Row],[Fruits Spending]]+Table1[[#This Row],[Wine Spending ]])</f>
        <v>47</v>
      </c>
      <c r="Q1232">
        <v>1</v>
      </c>
      <c r="R1232">
        <v>1</v>
      </c>
      <c r="S1232">
        <v>0</v>
      </c>
      <c r="T1232">
        <v>3</v>
      </c>
      <c r="U1232">
        <f>SUM(Table1[[#This Row],[Store_Purchases]]+Table1[[#This Row],[Catalog_Purchases]]+Table1[[#This Row],[Web_Purchases]]+Table1[[#This Row],[Deal_Purchases]])</f>
        <v>5</v>
      </c>
      <c r="V1232">
        <v>8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f>SUM(Table1[[#This Row],[Accepted_Campaign_2]]+Table1[[#This Row],[Accepted_Campaign_1]]+Table1[[#This Row],[Accepted_Campaign_5]]+Table1[[#This Row],[Accepted_Campaign_4]]+Table1[[#This Row],[Accepted_Campaign_3]])</f>
        <v>0</v>
      </c>
      <c r="AC1232">
        <v>0</v>
      </c>
      <c r="AD1232">
        <v>0</v>
      </c>
    </row>
    <row r="1233" spans="1:30" x14ac:dyDescent="0.25">
      <c r="A1233">
        <v>41542</v>
      </c>
      <c r="B1233">
        <v>839</v>
      </c>
      <c r="C1233">
        <v>1975</v>
      </c>
      <c r="D1233" t="s">
        <v>8</v>
      </c>
      <c r="E1233" t="s">
        <v>14</v>
      </c>
      <c r="F1233" t="s">
        <v>11</v>
      </c>
      <c r="G1233">
        <v>45503</v>
      </c>
      <c r="H1233">
        <v>1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f>SUM(Table1[[#This Row],[Gold Spending]]+Table1[[#This Row],[Sweet Spending]]+Table1[[#This Row],[Fish Spending]]+Table1[[#This Row],[Meat Spending]]+Table1[[#This Row],[Fruits Spending]]+Table1[[#This Row],[Wine Spending ]])</f>
        <v>170</v>
      </c>
      <c r="Q1233">
        <v>1</v>
      </c>
      <c r="R1233">
        <v>3</v>
      </c>
      <c r="S1233">
        <v>1</v>
      </c>
      <c r="T1233">
        <v>4</v>
      </c>
      <c r="U1233">
        <f>SUM(Table1[[#This Row],[Store_Purchases]]+Table1[[#This Row],[Catalog_Purchases]]+Table1[[#This Row],[Web_Purchases]]+Table1[[#This Row],[Deal_Purchases]])</f>
        <v>9</v>
      </c>
      <c r="V1233">
        <v>5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f>SUM(Table1[[#This Row],[Accepted_Campaign_2]]+Table1[[#This Row],[Accepted_Campaign_1]]+Table1[[#This Row],[Accepted_Campaign_5]]+Table1[[#This Row],[Accepted_Campaign_4]]+Table1[[#This Row],[Accepted_Campaign_3]])</f>
        <v>0</v>
      </c>
      <c r="AC1233">
        <v>0</v>
      </c>
      <c r="AD1233">
        <v>0</v>
      </c>
    </row>
    <row r="1234" spans="1:30" x14ac:dyDescent="0.25">
      <c r="A1234">
        <v>41507</v>
      </c>
      <c r="B1234">
        <v>3706</v>
      </c>
      <c r="C1234">
        <v>1978</v>
      </c>
      <c r="D1234" t="s">
        <v>8</v>
      </c>
      <c r="E1234" t="s">
        <v>6</v>
      </c>
      <c r="F1234" t="s">
        <v>9</v>
      </c>
      <c r="G1234">
        <v>28647</v>
      </c>
      <c r="H1234">
        <v>1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f>SUM(Table1[[#This Row],[Gold Spending]]+Table1[[#This Row],[Sweet Spending]]+Table1[[#This Row],[Fish Spending]]+Table1[[#This Row],[Meat Spending]]+Table1[[#This Row],[Fruits Spending]]+Table1[[#This Row],[Wine Spending ]])</f>
        <v>94</v>
      </c>
      <c r="Q1234">
        <v>1</v>
      </c>
      <c r="R1234">
        <v>2</v>
      </c>
      <c r="S1234">
        <v>2</v>
      </c>
      <c r="T1234">
        <v>2</v>
      </c>
      <c r="U1234">
        <f>SUM(Table1[[#This Row],[Store_Purchases]]+Table1[[#This Row],[Catalog_Purchases]]+Table1[[#This Row],[Web_Purchases]]+Table1[[#This Row],[Deal_Purchases]])</f>
        <v>7</v>
      </c>
      <c r="V1234">
        <v>7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f>SUM(Table1[[#This Row],[Accepted_Campaign_2]]+Table1[[#This Row],[Accepted_Campaign_1]]+Table1[[#This Row],[Accepted_Campaign_5]]+Table1[[#This Row],[Accepted_Campaign_4]]+Table1[[#This Row],[Accepted_Campaign_3]])</f>
        <v>1</v>
      </c>
      <c r="AC1234">
        <v>1</v>
      </c>
      <c r="AD1234">
        <v>0</v>
      </c>
    </row>
    <row r="1235" spans="1:30" x14ac:dyDescent="0.25">
      <c r="A1235">
        <v>41497</v>
      </c>
      <c r="B1235">
        <v>5154</v>
      </c>
      <c r="C1235">
        <v>1972</v>
      </c>
      <c r="D1235" t="s">
        <v>8</v>
      </c>
      <c r="E1235" t="s">
        <v>18</v>
      </c>
      <c r="F1235" t="s">
        <v>7</v>
      </c>
      <c r="G1235">
        <v>37760</v>
      </c>
      <c r="H1235">
        <v>1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f>SUM(Table1[[#This Row],[Gold Spending]]+Table1[[#This Row],[Sweet Spending]]+Table1[[#This Row],[Fish Spending]]+Table1[[#This Row],[Meat Spending]]+Table1[[#This Row],[Fruits Spending]]+Table1[[#This Row],[Wine Spending ]])</f>
        <v>54</v>
      </c>
      <c r="Q1235">
        <v>1</v>
      </c>
      <c r="R1235">
        <v>2</v>
      </c>
      <c r="S1235">
        <v>0</v>
      </c>
      <c r="T1235">
        <v>3</v>
      </c>
      <c r="U1235">
        <f>SUM(Table1[[#This Row],[Store_Purchases]]+Table1[[#This Row],[Catalog_Purchases]]+Table1[[#This Row],[Web_Purchases]]+Table1[[#This Row],[Deal_Purchases]])</f>
        <v>6</v>
      </c>
      <c r="V1235">
        <v>6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f>SUM(Table1[[#This Row],[Accepted_Campaign_2]]+Table1[[#This Row],[Accepted_Campaign_1]]+Table1[[#This Row],[Accepted_Campaign_5]]+Table1[[#This Row],[Accepted_Campaign_4]]+Table1[[#This Row],[Accepted_Campaign_3]])</f>
        <v>0</v>
      </c>
      <c r="AC1235">
        <v>0</v>
      </c>
      <c r="AD1235">
        <v>0</v>
      </c>
    </row>
    <row r="1236" spans="1:30" x14ac:dyDescent="0.25">
      <c r="A1236">
        <v>41433</v>
      </c>
      <c r="B1236">
        <v>8584</v>
      </c>
      <c r="C1236">
        <v>1952</v>
      </c>
      <c r="D1236" t="s">
        <v>8</v>
      </c>
      <c r="E1236" t="s">
        <v>14</v>
      </c>
      <c r="F1236" t="s">
        <v>12</v>
      </c>
      <c r="G1236">
        <v>85431</v>
      </c>
      <c r="H1236">
        <v>0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f>SUM(Table1[[#This Row],[Gold Spending]]+Table1[[#This Row],[Sweet Spending]]+Table1[[#This Row],[Fish Spending]]+Table1[[#This Row],[Meat Spending]]+Table1[[#This Row],[Fruits Spending]]+Table1[[#This Row],[Wine Spending ]])</f>
        <v>1165</v>
      </c>
      <c r="Q1236">
        <v>1</v>
      </c>
      <c r="R1236">
        <v>2</v>
      </c>
      <c r="S1236">
        <v>7</v>
      </c>
      <c r="T1236">
        <v>7</v>
      </c>
      <c r="U1236">
        <f>SUM(Table1[[#This Row],[Store_Purchases]]+Table1[[#This Row],[Catalog_Purchases]]+Table1[[#This Row],[Web_Purchases]]+Table1[[#This Row],[Deal_Purchases]])</f>
        <v>17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f>SUM(Table1[[#This Row],[Accepted_Campaign_2]]+Table1[[#This Row],[Accepted_Campaign_1]]+Table1[[#This Row],[Accepted_Campaign_5]]+Table1[[#This Row],[Accepted_Campaign_4]]+Table1[[#This Row],[Accepted_Campaign_3]])</f>
        <v>0</v>
      </c>
      <c r="AC1236">
        <v>0</v>
      </c>
      <c r="AD1236">
        <v>0</v>
      </c>
    </row>
    <row r="1237" spans="1:30" x14ac:dyDescent="0.25">
      <c r="A1237">
        <v>41428</v>
      </c>
      <c r="B1237">
        <v>6583</v>
      </c>
      <c r="C1237">
        <v>1955</v>
      </c>
      <c r="D1237" t="s">
        <v>8</v>
      </c>
      <c r="E1237" t="s">
        <v>15</v>
      </c>
      <c r="F1237" t="s">
        <v>11</v>
      </c>
      <c r="G1237">
        <v>72635</v>
      </c>
      <c r="H1237">
        <v>0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f>SUM(Table1[[#This Row],[Gold Spending]]+Table1[[#This Row],[Sweet Spending]]+Table1[[#This Row],[Fish Spending]]+Table1[[#This Row],[Meat Spending]]+Table1[[#This Row],[Fruits Spending]]+Table1[[#This Row],[Wine Spending ]])</f>
        <v>981</v>
      </c>
      <c r="Q1237">
        <v>1</v>
      </c>
      <c r="R1237">
        <v>6</v>
      </c>
      <c r="S1237">
        <v>8</v>
      </c>
      <c r="T1237">
        <v>6</v>
      </c>
      <c r="U1237">
        <f>SUM(Table1[[#This Row],[Store_Purchases]]+Table1[[#This Row],[Catalog_Purchases]]+Table1[[#This Row],[Web_Purchases]]+Table1[[#This Row],[Deal_Purchases]])</f>
        <v>21</v>
      </c>
      <c r="V1237">
        <v>3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f>SUM(Table1[[#This Row],[Accepted_Campaign_2]]+Table1[[#This Row],[Accepted_Campaign_1]]+Table1[[#This Row],[Accepted_Campaign_5]]+Table1[[#This Row],[Accepted_Campaign_4]]+Table1[[#This Row],[Accepted_Campaign_3]])</f>
        <v>1</v>
      </c>
      <c r="AC1237">
        <v>0</v>
      </c>
      <c r="AD1237">
        <v>0</v>
      </c>
    </row>
    <row r="1238" spans="1:30" x14ac:dyDescent="0.25">
      <c r="A1238">
        <v>41428</v>
      </c>
      <c r="B1238">
        <v>3433</v>
      </c>
      <c r="C1238">
        <v>1955</v>
      </c>
      <c r="D1238" t="s">
        <v>8</v>
      </c>
      <c r="E1238" t="s">
        <v>15</v>
      </c>
      <c r="F1238" t="s">
        <v>11</v>
      </c>
      <c r="G1238">
        <v>72635</v>
      </c>
      <c r="H1238">
        <v>0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f>SUM(Table1[[#This Row],[Gold Spending]]+Table1[[#This Row],[Sweet Spending]]+Table1[[#This Row],[Fish Spending]]+Table1[[#This Row],[Meat Spending]]+Table1[[#This Row],[Fruits Spending]]+Table1[[#This Row],[Wine Spending ]])</f>
        <v>981</v>
      </c>
      <c r="Q1238">
        <v>1</v>
      </c>
      <c r="R1238">
        <v>6</v>
      </c>
      <c r="S1238">
        <v>8</v>
      </c>
      <c r="T1238">
        <v>6</v>
      </c>
      <c r="U1238">
        <f>SUM(Table1[[#This Row],[Store_Purchases]]+Table1[[#This Row],[Catalog_Purchases]]+Table1[[#This Row],[Web_Purchases]]+Table1[[#This Row],[Deal_Purchases]])</f>
        <v>21</v>
      </c>
      <c r="V1238">
        <v>3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f>SUM(Table1[[#This Row],[Accepted_Campaign_2]]+Table1[[#This Row],[Accepted_Campaign_1]]+Table1[[#This Row],[Accepted_Campaign_5]]+Table1[[#This Row],[Accepted_Campaign_4]]+Table1[[#This Row],[Accepted_Campaign_3]])</f>
        <v>1</v>
      </c>
      <c r="AC1238">
        <v>0</v>
      </c>
      <c r="AD1238">
        <v>0</v>
      </c>
    </row>
    <row r="1239" spans="1:30" x14ac:dyDescent="0.25">
      <c r="A1239">
        <v>41423</v>
      </c>
      <c r="B1239">
        <v>10486</v>
      </c>
      <c r="C1239">
        <v>1948</v>
      </c>
      <c r="D1239" t="s">
        <v>8</v>
      </c>
      <c r="E1239" t="s">
        <v>6</v>
      </c>
      <c r="F1239" t="s">
        <v>11</v>
      </c>
      <c r="G1239">
        <v>77142</v>
      </c>
      <c r="H1239">
        <v>0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f>SUM(Table1[[#This Row],[Gold Spending]]+Table1[[#This Row],[Sweet Spending]]+Table1[[#This Row],[Fish Spending]]+Table1[[#This Row],[Meat Spending]]+Table1[[#This Row],[Fruits Spending]]+Table1[[#This Row],[Wine Spending ]])</f>
        <v>990</v>
      </c>
      <c r="Q1239">
        <v>1</v>
      </c>
      <c r="R1239">
        <v>4</v>
      </c>
      <c r="S1239">
        <v>4</v>
      </c>
      <c r="T1239">
        <v>8</v>
      </c>
      <c r="U1239">
        <f>SUM(Table1[[#This Row],[Store_Purchases]]+Table1[[#This Row],[Catalog_Purchases]]+Table1[[#This Row],[Web_Purchases]]+Table1[[#This Row],[Deal_Purchases]])</f>
        <v>17</v>
      </c>
      <c r="V1239">
        <v>2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f>SUM(Table1[[#This Row],[Accepted_Campaign_2]]+Table1[[#This Row],[Accepted_Campaign_1]]+Table1[[#This Row],[Accepted_Campaign_5]]+Table1[[#This Row],[Accepted_Campaign_4]]+Table1[[#This Row],[Accepted_Campaign_3]])</f>
        <v>0</v>
      </c>
      <c r="AC1239">
        <v>0</v>
      </c>
      <c r="AD1239">
        <v>0</v>
      </c>
    </row>
    <row r="1240" spans="1:30" x14ac:dyDescent="0.25">
      <c r="A1240">
        <v>41400</v>
      </c>
      <c r="B1240">
        <v>8687</v>
      </c>
      <c r="C1240">
        <v>1978</v>
      </c>
      <c r="D1240" t="s">
        <v>17</v>
      </c>
      <c r="E1240" t="s">
        <v>6</v>
      </c>
      <c r="F1240" t="s">
        <v>12</v>
      </c>
      <c r="G1240">
        <v>53172</v>
      </c>
      <c r="H1240">
        <v>1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f>SUM(Table1[[#This Row],[Gold Spending]]+Table1[[#This Row],[Sweet Spending]]+Table1[[#This Row],[Fish Spending]]+Table1[[#This Row],[Meat Spending]]+Table1[[#This Row],[Fruits Spending]]+Table1[[#This Row],[Wine Spending ]])</f>
        <v>486</v>
      </c>
      <c r="Q1240">
        <v>3</v>
      </c>
      <c r="R1240">
        <v>2</v>
      </c>
      <c r="S1240">
        <v>3</v>
      </c>
      <c r="T1240">
        <v>8</v>
      </c>
      <c r="U1240">
        <f>SUM(Table1[[#This Row],[Store_Purchases]]+Table1[[#This Row],[Catalog_Purchases]]+Table1[[#This Row],[Web_Purchases]]+Table1[[#This Row],[Deal_Purchases]])</f>
        <v>16</v>
      </c>
      <c r="V1240">
        <v>3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f>SUM(Table1[[#This Row],[Accepted_Campaign_2]]+Table1[[#This Row],[Accepted_Campaign_1]]+Table1[[#This Row],[Accepted_Campaign_5]]+Table1[[#This Row],[Accepted_Campaign_4]]+Table1[[#This Row],[Accepted_Campaign_3]])</f>
        <v>0</v>
      </c>
      <c r="AC1240">
        <v>0</v>
      </c>
      <c r="AD1240">
        <v>0</v>
      </c>
    </row>
    <row r="1241" spans="1:30" x14ac:dyDescent="0.25">
      <c r="A1241">
        <v>41364</v>
      </c>
      <c r="B1241">
        <v>7842</v>
      </c>
      <c r="C1241">
        <v>1968</v>
      </c>
      <c r="D1241" t="s">
        <v>8</v>
      </c>
      <c r="E1241" t="s">
        <v>6</v>
      </c>
      <c r="F1241" t="s">
        <v>9</v>
      </c>
      <c r="G1241">
        <v>36065</v>
      </c>
      <c r="H1241">
        <v>2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f>SUM(Table1[[#This Row],[Gold Spending]]+Table1[[#This Row],[Sweet Spending]]+Table1[[#This Row],[Fish Spending]]+Table1[[#This Row],[Meat Spending]]+Table1[[#This Row],[Fruits Spending]]+Table1[[#This Row],[Wine Spending ]])</f>
        <v>74</v>
      </c>
      <c r="Q1241">
        <v>3</v>
      </c>
      <c r="R1241">
        <v>3</v>
      </c>
      <c r="S1241">
        <v>0</v>
      </c>
      <c r="T1241">
        <v>3</v>
      </c>
      <c r="U1241">
        <f>SUM(Table1[[#This Row],[Store_Purchases]]+Table1[[#This Row],[Catalog_Purchases]]+Table1[[#This Row],[Web_Purchases]]+Table1[[#This Row],[Deal_Purchases]])</f>
        <v>9</v>
      </c>
      <c r="V1241">
        <v>8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f>SUM(Table1[[#This Row],[Accepted_Campaign_2]]+Table1[[#This Row],[Accepted_Campaign_1]]+Table1[[#This Row],[Accepted_Campaign_5]]+Table1[[#This Row],[Accepted_Campaign_4]]+Table1[[#This Row],[Accepted_Campaign_3]])</f>
        <v>0</v>
      </c>
      <c r="AC1241">
        <v>0</v>
      </c>
      <c r="AD1241">
        <v>0</v>
      </c>
    </row>
    <row r="1242" spans="1:30" x14ac:dyDescent="0.25">
      <c r="A1242">
        <v>41335</v>
      </c>
      <c r="B1242">
        <v>3749</v>
      </c>
      <c r="C1242">
        <v>1973</v>
      </c>
      <c r="D1242" t="s">
        <v>10</v>
      </c>
      <c r="E1242" t="s">
        <v>6</v>
      </c>
      <c r="F1242" t="s">
        <v>12</v>
      </c>
      <c r="G1242">
        <v>73926</v>
      </c>
      <c r="H1242">
        <v>0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f>SUM(Table1[[#This Row],[Gold Spending]]+Table1[[#This Row],[Sweet Spending]]+Table1[[#This Row],[Fish Spending]]+Table1[[#This Row],[Meat Spending]]+Table1[[#This Row],[Fruits Spending]]+Table1[[#This Row],[Wine Spending ]])</f>
        <v>1580</v>
      </c>
      <c r="Q1242">
        <v>1</v>
      </c>
      <c r="R1242">
        <v>6</v>
      </c>
      <c r="S1242">
        <v>5</v>
      </c>
      <c r="T1242">
        <v>12</v>
      </c>
      <c r="U1242">
        <f>SUM(Table1[[#This Row],[Store_Purchases]]+Table1[[#This Row],[Catalog_Purchases]]+Table1[[#This Row],[Web_Purchases]]+Table1[[#This Row],[Deal_Purchases]])</f>
        <v>24</v>
      </c>
      <c r="V1242">
        <v>3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f>SUM(Table1[[#This Row],[Accepted_Campaign_2]]+Table1[[#This Row],[Accepted_Campaign_1]]+Table1[[#This Row],[Accepted_Campaign_5]]+Table1[[#This Row],[Accepted_Campaign_4]]+Table1[[#This Row],[Accepted_Campaign_3]])</f>
        <v>0</v>
      </c>
      <c r="AC1242">
        <v>0</v>
      </c>
      <c r="AD1242">
        <v>0</v>
      </c>
    </row>
    <row r="1243" spans="1:30" x14ac:dyDescent="0.25">
      <c r="A1243">
        <v>41276</v>
      </c>
      <c r="B1243">
        <v>1331</v>
      </c>
      <c r="C1243">
        <v>1977</v>
      </c>
      <c r="D1243" t="s">
        <v>13</v>
      </c>
      <c r="E1243" t="s">
        <v>6</v>
      </c>
      <c r="F1243" t="s">
        <v>9</v>
      </c>
      <c r="G1243">
        <v>35790</v>
      </c>
      <c r="H1243">
        <v>1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f>SUM(Table1[[#This Row],[Gold Spending]]+Table1[[#This Row],[Sweet Spending]]+Table1[[#This Row],[Fish Spending]]+Table1[[#This Row],[Meat Spending]]+Table1[[#This Row],[Fruits Spending]]+Table1[[#This Row],[Wine Spending ]])</f>
        <v>72</v>
      </c>
      <c r="Q1243">
        <v>2</v>
      </c>
      <c r="R1243">
        <v>2</v>
      </c>
      <c r="S1243">
        <v>0</v>
      </c>
      <c r="T1243">
        <v>3</v>
      </c>
      <c r="U1243">
        <f>SUM(Table1[[#This Row],[Store_Purchases]]+Table1[[#This Row],[Catalog_Purchases]]+Table1[[#This Row],[Web_Purchases]]+Table1[[#This Row],[Deal_Purchases]])</f>
        <v>7</v>
      </c>
      <c r="V1243">
        <v>7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f>SUM(Table1[[#This Row],[Accepted_Campaign_2]]+Table1[[#This Row],[Accepted_Campaign_1]]+Table1[[#This Row],[Accepted_Campaign_5]]+Table1[[#This Row],[Accepted_Campaign_4]]+Table1[[#This Row],[Accepted_Campaign_3]])</f>
        <v>0</v>
      </c>
      <c r="AC1243">
        <v>0</v>
      </c>
      <c r="AD1243">
        <v>0</v>
      </c>
    </row>
    <row r="1244" spans="1:30" x14ac:dyDescent="0.25">
      <c r="A1244">
        <v>41261</v>
      </c>
      <c r="B1244">
        <v>5995</v>
      </c>
      <c r="C1244">
        <v>1962</v>
      </c>
      <c r="D1244" t="s">
        <v>8</v>
      </c>
      <c r="E1244" t="s">
        <v>6</v>
      </c>
      <c r="F1244" t="s">
        <v>7</v>
      </c>
      <c r="G1244">
        <v>39552</v>
      </c>
      <c r="H1244">
        <v>2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f>SUM(Table1[[#This Row],[Gold Spending]]+Table1[[#This Row],[Sweet Spending]]+Table1[[#This Row],[Fish Spending]]+Table1[[#This Row],[Meat Spending]]+Table1[[#This Row],[Fruits Spending]]+Table1[[#This Row],[Wine Spending ]])</f>
        <v>384</v>
      </c>
      <c r="Q1244">
        <v>7</v>
      </c>
      <c r="R1244">
        <v>6</v>
      </c>
      <c r="S1244">
        <v>2</v>
      </c>
      <c r="T1244">
        <v>5</v>
      </c>
      <c r="U1244">
        <f>SUM(Table1[[#This Row],[Store_Purchases]]+Table1[[#This Row],[Catalog_Purchases]]+Table1[[#This Row],[Web_Purchases]]+Table1[[#This Row],[Deal_Purchases]])</f>
        <v>20</v>
      </c>
      <c r="V1244">
        <v>8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f>SUM(Table1[[#This Row],[Accepted_Campaign_2]]+Table1[[#This Row],[Accepted_Campaign_1]]+Table1[[#This Row],[Accepted_Campaign_5]]+Table1[[#This Row],[Accepted_Campaign_4]]+Table1[[#This Row],[Accepted_Campaign_3]])</f>
        <v>0</v>
      </c>
      <c r="AC1244">
        <v>1</v>
      </c>
      <c r="AD1244">
        <v>0</v>
      </c>
    </row>
    <row r="1245" spans="1:30" x14ac:dyDescent="0.25">
      <c r="A1245">
        <v>41217</v>
      </c>
      <c r="B1245">
        <v>8985</v>
      </c>
      <c r="C1245">
        <v>1964</v>
      </c>
      <c r="D1245" t="s">
        <v>8</v>
      </c>
      <c r="E1245" t="s">
        <v>15</v>
      </c>
      <c r="F1245" t="s">
        <v>12</v>
      </c>
      <c r="G1245">
        <v>68316</v>
      </c>
      <c r="H1245">
        <v>1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f>SUM(Table1[[#This Row],[Gold Spending]]+Table1[[#This Row],[Sweet Spending]]+Table1[[#This Row],[Fish Spending]]+Table1[[#This Row],[Meat Spending]]+Table1[[#This Row],[Fruits Spending]]+Table1[[#This Row],[Wine Spending ]])</f>
        <v>1211</v>
      </c>
      <c r="Q1245">
        <v>5</v>
      </c>
      <c r="R1245">
        <v>10</v>
      </c>
      <c r="S1245">
        <v>7</v>
      </c>
      <c r="T1245">
        <v>10</v>
      </c>
      <c r="U1245">
        <f>SUM(Table1[[#This Row],[Store_Purchases]]+Table1[[#This Row],[Catalog_Purchases]]+Table1[[#This Row],[Web_Purchases]]+Table1[[#This Row],[Deal_Purchases]])</f>
        <v>32</v>
      </c>
      <c r="V1245">
        <v>6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f>SUM(Table1[[#This Row],[Accepted_Campaign_2]]+Table1[[#This Row],[Accepted_Campaign_1]]+Table1[[#This Row],[Accepted_Campaign_5]]+Table1[[#This Row],[Accepted_Campaign_4]]+Table1[[#This Row],[Accepted_Campaign_3]])</f>
        <v>0</v>
      </c>
      <c r="AC1245">
        <v>0</v>
      </c>
      <c r="AD1245">
        <v>0</v>
      </c>
    </row>
    <row r="1246" spans="1:30" x14ac:dyDescent="0.25">
      <c r="A1246">
        <v>41215</v>
      </c>
      <c r="B1246">
        <v>2798</v>
      </c>
      <c r="C1246">
        <v>1977</v>
      </c>
      <c r="D1246" t="s">
        <v>20</v>
      </c>
      <c r="E1246" t="s">
        <v>14</v>
      </c>
      <c r="F1246" t="s">
        <v>12</v>
      </c>
      <c r="G1246">
        <v>102160</v>
      </c>
      <c r="H1246">
        <v>0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f>SUM(Table1[[#This Row],[Gold Spending]]+Table1[[#This Row],[Sweet Spending]]+Table1[[#This Row],[Fish Spending]]+Table1[[#This Row],[Meat Spending]]+Table1[[#This Row],[Fruits Spending]]+Table1[[#This Row],[Wine Spending ]])</f>
        <v>1240</v>
      </c>
      <c r="Q1246">
        <v>0</v>
      </c>
      <c r="R1246">
        <v>7</v>
      </c>
      <c r="S1246">
        <v>9</v>
      </c>
      <c r="T1246">
        <v>10</v>
      </c>
      <c r="U1246">
        <f>SUM(Table1[[#This Row],[Store_Purchases]]+Table1[[#This Row],[Catalog_Purchases]]+Table1[[#This Row],[Web_Purchases]]+Table1[[#This Row],[Deal_Purchases]])</f>
        <v>26</v>
      </c>
      <c r="V1246">
        <v>4</v>
      </c>
      <c r="W1246">
        <v>0</v>
      </c>
      <c r="X1246">
        <v>1</v>
      </c>
      <c r="Y1246">
        <v>1</v>
      </c>
      <c r="Z1246">
        <v>1</v>
      </c>
      <c r="AA1246">
        <v>0</v>
      </c>
      <c r="AB1246">
        <f>SUM(Table1[[#This Row],[Accepted_Campaign_2]]+Table1[[#This Row],[Accepted_Campaign_1]]+Table1[[#This Row],[Accepted_Campaign_5]]+Table1[[#This Row],[Accepted_Campaign_4]]+Table1[[#This Row],[Accepted_Campaign_3]])</f>
        <v>3</v>
      </c>
      <c r="AC1246">
        <v>1</v>
      </c>
      <c r="AD1246">
        <v>0</v>
      </c>
    </row>
    <row r="1247" spans="1:30" x14ac:dyDescent="0.25">
      <c r="A1247">
        <v>41160</v>
      </c>
      <c r="B1247">
        <v>7108</v>
      </c>
      <c r="C1247">
        <v>1965</v>
      </c>
      <c r="D1247" t="s">
        <v>20</v>
      </c>
      <c r="E1247" t="s">
        <v>18</v>
      </c>
      <c r="F1247" t="s">
        <v>19</v>
      </c>
      <c r="G1247">
        <v>51390</v>
      </c>
      <c r="H1247">
        <v>2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f>SUM(Table1[[#This Row],[Gold Spending]]+Table1[[#This Row],[Sweet Spending]]+Table1[[#This Row],[Fish Spending]]+Table1[[#This Row],[Meat Spending]]+Table1[[#This Row],[Fruits Spending]]+Table1[[#This Row],[Wine Spending ]])</f>
        <v>353</v>
      </c>
      <c r="Q1247">
        <v>6</v>
      </c>
      <c r="R1247">
        <v>5</v>
      </c>
      <c r="S1247">
        <v>2</v>
      </c>
      <c r="T1247">
        <v>5</v>
      </c>
      <c r="U1247">
        <f>SUM(Table1[[#This Row],[Store_Purchases]]+Table1[[#This Row],[Catalog_Purchases]]+Table1[[#This Row],[Web_Purchases]]+Table1[[#This Row],[Deal_Purchases]])</f>
        <v>18</v>
      </c>
      <c r="V1247">
        <v>5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f>SUM(Table1[[#This Row],[Accepted_Campaign_2]]+Table1[[#This Row],[Accepted_Campaign_1]]+Table1[[#This Row],[Accepted_Campaign_5]]+Table1[[#This Row],[Accepted_Campaign_4]]+Table1[[#This Row],[Accepted_Campaign_3]])</f>
        <v>0</v>
      </c>
      <c r="AC1247">
        <v>0</v>
      </c>
      <c r="AD1247">
        <v>0</v>
      </c>
    </row>
    <row r="1248" spans="1:30" x14ac:dyDescent="0.25">
      <c r="A1248">
        <v>41813</v>
      </c>
      <c r="B1248">
        <v>2781</v>
      </c>
      <c r="C1248">
        <v>1981</v>
      </c>
      <c r="D1248" t="s">
        <v>20</v>
      </c>
      <c r="E1248" t="s">
        <v>6</v>
      </c>
      <c r="F1248" t="s">
        <v>9</v>
      </c>
      <c r="G1248">
        <v>72066</v>
      </c>
      <c r="H1248">
        <v>0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f>SUM(Table1[[#This Row],[Gold Spending]]+Table1[[#This Row],[Sweet Spending]]+Table1[[#This Row],[Fish Spending]]+Table1[[#This Row],[Meat Spending]]+Table1[[#This Row],[Fruits Spending]]+Table1[[#This Row],[Wine Spending ]])</f>
        <v>1792</v>
      </c>
      <c r="Q1248">
        <v>1</v>
      </c>
      <c r="R1248">
        <v>4</v>
      </c>
      <c r="S1248">
        <v>6</v>
      </c>
      <c r="T1248">
        <v>6</v>
      </c>
      <c r="U1248">
        <f>SUM(Table1[[#This Row],[Store_Purchases]]+Table1[[#This Row],[Catalog_Purchases]]+Table1[[#This Row],[Web_Purchases]]+Table1[[#This Row],[Deal_Purchases]])</f>
        <v>17</v>
      </c>
      <c r="V1248">
        <v>2</v>
      </c>
      <c r="W1248">
        <v>0</v>
      </c>
      <c r="X1248">
        <v>0</v>
      </c>
      <c r="Y1248">
        <v>1</v>
      </c>
      <c r="Z1248">
        <v>1</v>
      </c>
      <c r="AA1248">
        <v>0</v>
      </c>
      <c r="AB1248">
        <f>SUM(Table1[[#This Row],[Accepted_Campaign_2]]+Table1[[#This Row],[Accepted_Campaign_1]]+Table1[[#This Row],[Accepted_Campaign_5]]+Table1[[#This Row],[Accepted_Campaign_4]]+Table1[[#This Row],[Accepted_Campaign_3]])</f>
        <v>2</v>
      </c>
      <c r="AC1248">
        <v>1</v>
      </c>
      <c r="AD1248">
        <v>0</v>
      </c>
    </row>
    <row r="1249" spans="1:30" x14ac:dyDescent="0.25">
      <c r="A1249">
        <v>41801</v>
      </c>
      <c r="B1249">
        <v>3623</v>
      </c>
      <c r="C1249">
        <v>1976</v>
      </c>
      <c r="D1249" t="s">
        <v>17</v>
      </c>
      <c r="E1249" t="s">
        <v>6</v>
      </c>
      <c r="F1249" t="s">
        <v>12</v>
      </c>
      <c r="G1249">
        <v>21675</v>
      </c>
      <c r="H1249">
        <v>1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f>SUM(Table1[[#This Row],[Gold Spending]]+Table1[[#This Row],[Sweet Spending]]+Table1[[#This Row],[Fish Spending]]+Table1[[#This Row],[Meat Spending]]+Table1[[#This Row],[Fruits Spending]]+Table1[[#This Row],[Wine Spending ]])</f>
        <v>45</v>
      </c>
      <c r="Q1249">
        <v>3</v>
      </c>
      <c r="R1249">
        <v>4</v>
      </c>
      <c r="S1249">
        <v>0</v>
      </c>
      <c r="T1249">
        <v>3</v>
      </c>
      <c r="U1249">
        <f>SUM(Table1[[#This Row],[Store_Purchases]]+Table1[[#This Row],[Catalog_Purchases]]+Table1[[#This Row],[Web_Purchases]]+Table1[[#This Row],[Deal_Purchases]])</f>
        <v>10</v>
      </c>
      <c r="V1249">
        <v>7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f>SUM(Table1[[#This Row],[Accepted_Campaign_2]]+Table1[[#This Row],[Accepted_Campaign_1]]+Table1[[#This Row],[Accepted_Campaign_5]]+Table1[[#This Row],[Accepted_Campaign_4]]+Table1[[#This Row],[Accepted_Campaign_3]])</f>
        <v>0</v>
      </c>
      <c r="AC1249">
        <v>0</v>
      </c>
      <c r="AD1249">
        <v>0</v>
      </c>
    </row>
    <row r="1250" spans="1:30" x14ac:dyDescent="0.25">
      <c r="A1250">
        <v>41799</v>
      </c>
      <c r="B1250">
        <v>194</v>
      </c>
      <c r="C1250">
        <v>1965</v>
      </c>
      <c r="D1250" t="s">
        <v>8</v>
      </c>
      <c r="E1250" t="s">
        <v>6</v>
      </c>
      <c r="F1250" t="s">
        <v>11</v>
      </c>
      <c r="G1250">
        <v>48006</v>
      </c>
      <c r="H1250">
        <v>2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f>SUM(Table1[[#This Row],[Gold Spending]]+Table1[[#This Row],[Sweet Spending]]+Table1[[#This Row],[Fish Spending]]+Table1[[#This Row],[Meat Spending]]+Table1[[#This Row],[Fruits Spending]]+Table1[[#This Row],[Wine Spending ]])</f>
        <v>41</v>
      </c>
      <c r="Q1250">
        <v>1</v>
      </c>
      <c r="R1250">
        <v>1</v>
      </c>
      <c r="S1250">
        <v>0</v>
      </c>
      <c r="T1250">
        <v>3</v>
      </c>
      <c r="U1250">
        <f>SUM(Table1[[#This Row],[Store_Purchases]]+Table1[[#This Row],[Catalog_Purchases]]+Table1[[#This Row],[Web_Purchases]]+Table1[[#This Row],[Deal_Purchases]])</f>
        <v>5</v>
      </c>
      <c r="V1250">
        <v>6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f>SUM(Table1[[#This Row],[Accepted_Campaign_2]]+Table1[[#This Row],[Accepted_Campaign_1]]+Table1[[#This Row],[Accepted_Campaign_5]]+Table1[[#This Row],[Accepted_Campaign_4]]+Table1[[#This Row],[Accepted_Campaign_3]])</f>
        <v>0</v>
      </c>
      <c r="AC1250">
        <v>0</v>
      </c>
      <c r="AD1250">
        <v>0</v>
      </c>
    </row>
    <row r="1251" spans="1:30" x14ac:dyDescent="0.25">
      <c r="A1251">
        <v>41783</v>
      </c>
      <c r="B1251">
        <v>10833</v>
      </c>
      <c r="C1251">
        <v>1975</v>
      </c>
      <c r="D1251" t="s">
        <v>8</v>
      </c>
      <c r="E1251" t="s">
        <v>6</v>
      </c>
      <c r="F1251" t="s">
        <v>11</v>
      </c>
      <c r="G1251">
        <v>65106</v>
      </c>
      <c r="H1251">
        <v>1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f>SUM(Table1[[#This Row],[Gold Spending]]+Table1[[#This Row],[Sweet Spending]]+Table1[[#This Row],[Fish Spending]]+Table1[[#This Row],[Meat Spending]]+Table1[[#This Row],[Fruits Spending]]+Table1[[#This Row],[Wine Spending ]])</f>
        <v>973</v>
      </c>
      <c r="Q1251">
        <v>3</v>
      </c>
      <c r="R1251">
        <v>8</v>
      </c>
      <c r="S1251">
        <v>3</v>
      </c>
      <c r="T1251">
        <v>13</v>
      </c>
      <c r="U1251">
        <f>SUM(Table1[[#This Row],[Store_Purchases]]+Table1[[#This Row],[Catalog_Purchases]]+Table1[[#This Row],[Web_Purchases]]+Table1[[#This Row],[Deal_Purchases]])</f>
        <v>27</v>
      </c>
      <c r="V1251">
        <v>6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f>SUM(Table1[[#This Row],[Accepted_Campaign_2]]+Table1[[#This Row],[Accepted_Campaign_1]]+Table1[[#This Row],[Accepted_Campaign_5]]+Table1[[#This Row],[Accepted_Campaign_4]]+Table1[[#This Row],[Accepted_Campaign_3]])</f>
        <v>1</v>
      </c>
      <c r="AC1251">
        <v>0</v>
      </c>
      <c r="AD1251">
        <v>0</v>
      </c>
    </row>
    <row r="1252" spans="1:30" x14ac:dyDescent="0.25">
      <c r="A1252">
        <v>41749</v>
      </c>
      <c r="B1252">
        <v>2315</v>
      </c>
      <c r="C1252">
        <v>1960</v>
      </c>
      <c r="D1252" t="s">
        <v>8</v>
      </c>
      <c r="E1252" t="s">
        <v>6</v>
      </c>
      <c r="F1252" t="s">
        <v>7</v>
      </c>
      <c r="G1252">
        <v>58401</v>
      </c>
      <c r="H1252">
        <v>1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f>SUM(Table1[[#This Row],[Gold Spending]]+Table1[[#This Row],[Sweet Spending]]+Table1[[#This Row],[Fish Spending]]+Table1[[#This Row],[Meat Spending]]+Table1[[#This Row],[Fruits Spending]]+Table1[[#This Row],[Wine Spending ]])</f>
        <v>96</v>
      </c>
      <c r="Q1252">
        <v>1</v>
      </c>
      <c r="R1252">
        <v>1</v>
      </c>
      <c r="S1252">
        <v>2</v>
      </c>
      <c r="T1252">
        <v>2</v>
      </c>
      <c r="U1252">
        <f>SUM(Table1[[#This Row],[Store_Purchases]]+Table1[[#This Row],[Catalog_Purchases]]+Table1[[#This Row],[Web_Purchases]]+Table1[[#This Row],[Deal_Purchases]])</f>
        <v>6</v>
      </c>
      <c r="V1252">
        <v>4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f>SUM(Table1[[#This Row],[Accepted_Campaign_2]]+Table1[[#This Row],[Accepted_Campaign_1]]+Table1[[#This Row],[Accepted_Campaign_5]]+Table1[[#This Row],[Accepted_Campaign_4]]+Table1[[#This Row],[Accepted_Campaign_3]])</f>
        <v>0</v>
      </c>
      <c r="AC1252">
        <v>0</v>
      </c>
      <c r="AD1252">
        <v>0</v>
      </c>
    </row>
    <row r="1253" spans="1:30" x14ac:dyDescent="0.25">
      <c r="A1253">
        <v>41735</v>
      </c>
      <c r="B1253">
        <v>6336</v>
      </c>
      <c r="C1253">
        <v>1960</v>
      </c>
      <c r="D1253" t="s">
        <v>20</v>
      </c>
      <c r="E1253" t="s">
        <v>6</v>
      </c>
      <c r="F1253" t="s">
        <v>11</v>
      </c>
      <c r="G1253">
        <v>29315</v>
      </c>
      <c r="H1253">
        <v>2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f>SUM(Table1[[#This Row],[Gold Spending]]+Table1[[#This Row],[Sweet Spending]]+Table1[[#This Row],[Fish Spending]]+Table1[[#This Row],[Meat Spending]]+Table1[[#This Row],[Fruits Spending]]+Table1[[#This Row],[Wine Spending ]])</f>
        <v>48</v>
      </c>
      <c r="Q1253">
        <v>4</v>
      </c>
      <c r="R1253">
        <v>2</v>
      </c>
      <c r="S1253">
        <v>0</v>
      </c>
      <c r="T1253">
        <v>4</v>
      </c>
      <c r="U1253">
        <f>SUM(Table1[[#This Row],[Store_Purchases]]+Table1[[#This Row],[Catalog_Purchases]]+Table1[[#This Row],[Web_Purchases]]+Table1[[#This Row],[Deal_Purchases]])</f>
        <v>10</v>
      </c>
      <c r="V1253">
        <v>6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f>SUM(Table1[[#This Row],[Accepted_Campaign_2]]+Table1[[#This Row],[Accepted_Campaign_1]]+Table1[[#This Row],[Accepted_Campaign_5]]+Table1[[#This Row],[Accepted_Campaign_4]]+Table1[[#This Row],[Accepted_Campaign_3]])</f>
        <v>0</v>
      </c>
      <c r="AC1253">
        <v>0</v>
      </c>
      <c r="AD1253">
        <v>0</v>
      </c>
    </row>
    <row r="1254" spans="1:30" x14ac:dyDescent="0.25">
      <c r="A1254">
        <v>41515</v>
      </c>
      <c r="B1254">
        <v>10738</v>
      </c>
      <c r="C1254">
        <v>1951</v>
      </c>
      <c r="D1254" t="s">
        <v>13</v>
      </c>
      <c r="E1254" t="s">
        <v>18</v>
      </c>
      <c r="F1254" t="s">
        <v>9</v>
      </c>
      <c r="G1254">
        <v>49389</v>
      </c>
      <c r="H1254">
        <v>2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f>SUM(Table1[[#This Row],[Gold Spending]]+Table1[[#This Row],[Sweet Spending]]+Table1[[#This Row],[Fish Spending]]+Table1[[#This Row],[Meat Spending]]+Table1[[#This Row],[Fruits Spending]]+Table1[[#This Row],[Wine Spending ]])</f>
        <v>65</v>
      </c>
      <c r="Q1254">
        <v>1</v>
      </c>
      <c r="R1254">
        <v>2</v>
      </c>
      <c r="S1254">
        <v>0</v>
      </c>
      <c r="T1254">
        <v>3</v>
      </c>
      <c r="U1254">
        <f>SUM(Table1[[#This Row],[Store_Purchases]]+Table1[[#This Row],[Catalog_Purchases]]+Table1[[#This Row],[Web_Purchases]]+Table1[[#This Row],[Deal_Purchases]])</f>
        <v>6</v>
      </c>
      <c r="V1254">
        <v>7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f>SUM(Table1[[#This Row],[Accepted_Campaign_2]]+Table1[[#This Row],[Accepted_Campaign_1]]+Table1[[#This Row],[Accepted_Campaign_5]]+Table1[[#This Row],[Accepted_Campaign_4]]+Table1[[#This Row],[Accepted_Campaign_3]])</f>
        <v>0</v>
      </c>
      <c r="AC1254">
        <v>0</v>
      </c>
      <c r="AD1254">
        <v>0</v>
      </c>
    </row>
    <row r="1255" spans="1:30" x14ac:dyDescent="0.25">
      <c r="A1255">
        <v>41506</v>
      </c>
      <c r="B1255">
        <v>8286</v>
      </c>
      <c r="C1255">
        <v>1965</v>
      </c>
      <c r="D1255" t="s">
        <v>20</v>
      </c>
      <c r="E1255" t="s">
        <v>14</v>
      </c>
      <c r="F1255" t="s">
        <v>12</v>
      </c>
      <c r="G1255">
        <v>51717</v>
      </c>
      <c r="H1255">
        <v>1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f>SUM(Table1[[#This Row],[Gold Spending]]+Table1[[#This Row],[Sweet Spending]]+Table1[[#This Row],[Fish Spending]]+Table1[[#This Row],[Meat Spending]]+Table1[[#This Row],[Fruits Spending]]+Table1[[#This Row],[Wine Spending ]])</f>
        <v>122</v>
      </c>
      <c r="Q1255">
        <v>1</v>
      </c>
      <c r="R1255">
        <v>3</v>
      </c>
      <c r="S1255">
        <v>0</v>
      </c>
      <c r="T1255">
        <v>4</v>
      </c>
      <c r="U1255">
        <f>SUM(Table1[[#This Row],[Store_Purchases]]+Table1[[#This Row],[Catalog_Purchases]]+Table1[[#This Row],[Web_Purchases]]+Table1[[#This Row],[Deal_Purchases]])</f>
        <v>8</v>
      </c>
      <c r="V1255">
        <v>7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f>SUM(Table1[[#This Row],[Accepted_Campaign_2]]+Table1[[#This Row],[Accepted_Campaign_1]]+Table1[[#This Row],[Accepted_Campaign_5]]+Table1[[#This Row],[Accepted_Campaign_4]]+Table1[[#This Row],[Accepted_Campaign_3]])</f>
        <v>1</v>
      </c>
      <c r="AC1255">
        <v>0</v>
      </c>
      <c r="AD1255">
        <v>0</v>
      </c>
    </row>
    <row r="1256" spans="1:30" x14ac:dyDescent="0.25">
      <c r="A1256">
        <v>41467</v>
      </c>
      <c r="B1256">
        <v>2166</v>
      </c>
      <c r="C1256">
        <v>1960</v>
      </c>
      <c r="D1256" t="s">
        <v>20</v>
      </c>
      <c r="E1256" t="s">
        <v>15</v>
      </c>
      <c r="F1256" t="s">
        <v>19</v>
      </c>
      <c r="G1256">
        <v>46779</v>
      </c>
      <c r="H1256">
        <v>2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f>SUM(Table1[[#This Row],[Gold Spending]]+Table1[[#This Row],[Sweet Spending]]+Table1[[#This Row],[Fish Spending]]+Table1[[#This Row],[Meat Spending]]+Table1[[#This Row],[Fruits Spending]]+Table1[[#This Row],[Wine Spending ]])</f>
        <v>23</v>
      </c>
      <c r="Q1256">
        <v>1</v>
      </c>
      <c r="R1256">
        <v>0</v>
      </c>
      <c r="S1256">
        <v>1</v>
      </c>
      <c r="T1256">
        <v>2</v>
      </c>
      <c r="U1256">
        <f>SUM(Table1[[#This Row],[Store_Purchases]]+Table1[[#This Row],[Catalog_Purchases]]+Table1[[#This Row],[Web_Purchases]]+Table1[[#This Row],[Deal_Purchases]])</f>
        <v>4</v>
      </c>
      <c r="V1256">
        <v>4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f>SUM(Table1[[#This Row],[Accepted_Campaign_2]]+Table1[[#This Row],[Accepted_Campaign_1]]+Table1[[#This Row],[Accepted_Campaign_5]]+Table1[[#This Row],[Accepted_Campaign_4]]+Table1[[#This Row],[Accepted_Campaign_3]])</f>
        <v>0</v>
      </c>
      <c r="AC1256">
        <v>0</v>
      </c>
      <c r="AD1256">
        <v>0</v>
      </c>
    </row>
    <row r="1257" spans="1:30" x14ac:dyDescent="0.25">
      <c r="A1257">
        <v>41439</v>
      </c>
      <c r="B1257">
        <v>10691</v>
      </c>
      <c r="C1257">
        <v>1960</v>
      </c>
      <c r="D1257" t="s">
        <v>8</v>
      </c>
      <c r="E1257" t="s">
        <v>18</v>
      </c>
      <c r="F1257" t="s">
        <v>11</v>
      </c>
      <c r="G1257">
        <v>28520</v>
      </c>
      <c r="H1257">
        <v>2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f>SUM(Table1[[#This Row],[Gold Spending]]+Table1[[#This Row],[Sweet Spending]]+Table1[[#This Row],[Fish Spending]]+Table1[[#This Row],[Meat Spending]]+Table1[[#This Row],[Fruits Spending]]+Table1[[#This Row],[Wine Spending ]])</f>
        <v>43</v>
      </c>
      <c r="Q1257">
        <v>1</v>
      </c>
      <c r="R1257">
        <v>1</v>
      </c>
      <c r="S1257">
        <v>1</v>
      </c>
      <c r="T1257">
        <v>2</v>
      </c>
      <c r="U1257">
        <f>SUM(Table1[[#This Row],[Store_Purchases]]+Table1[[#This Row],[Catalog_Purchases]]+Table1[[#This Row],[Web_Purchases]]+Table1[[#This Row],[Deal_Purchases]])</f>
        <v>5</v>
      </c>
      <c r="V1257">
        <v>6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f>SUM(Table1[[#This Row],[Accepted_Campaign_2]]+Table1[[#This Row],[Accepted_Campaign_1]]+Table1[[#This Row],[Accepted_Campaign_5]]+Table1[[#This Row],[Accepted_Campaign_4]]+Table1[[#This Row],[Accepted_Campaign_3]])</f>
        <v>0</v>
      </c>
      <c r="AC1257">
        <v>0</v>
      </c>
      <c r="AD1257">
        <v>0</v>
      </c>
    </row>
    <row r="1258" spans="1:30" x14ac:dyDescent="0.25">
      <c r="A1258">
        <v>41293</v>
      </c>
      <c r="B1258">
        <v>9739</v>
      </c>
      <c r="C1258">
        <v>1963</v>
      </c>
      <c r="D1258" t="s">
        <v>8</v>
      </c>
      <c r="E1258" t="s">
        <v>6</v>
      </c>
      <c r="F1258" t="s">
        <v>9</v>
      </c>
      <c r="G1258">
        <v>34377</v>
      </c>
      <c r="H1258">
        <v>1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f>SUM(Table1[[#This Row],[Gold Spending]]+Table1[[#This Row],[Sweet Spending]]+Table1[[#This Row],[Fish Spending]]+Table1[[#This Row],[Meat Spending]]+Table1[[#This Row],[Fruits Spending]]+Table1[[#This Row],[Wine Spending ]])</f>
        <v>114</v>
      </c>
      <c r="Q1258">
        <v>2</v>
      </c>
      <c r="R1258">
        <v>2</v>
      </c>
      <c r="S1258">
        <v>2</v>
      </c>
      <c r="T1258">
        <v>2</v>
      </c>
      <c r="U1258">
        <f>SUM(Table1[[#This Row],[Store_Purchases]]+Table1[[#This Row],[Catalog_Purchases]]+Table1[[#This Row],[Web_Purchases]]+Table1[[#This Row],[Deal_Purchases]])</f>
        <v>8</v>
      </c>
      <c r="V1258">
        <v>7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f>SUM(Table1[[#This Row],[Accepted_Campaign_2]]+Table1[[#This Row],[Accepted_Campaign_1]]+Table1[[#This Row],[Accepted_Campaign_5]]+Table1[[#This Row],[Accepted_Campaign_4]]+Table1[[#This Row],[Accepted_Campaign_3]])</f>
        <v>0</v>
      </c>
      <c r="AC1258">
        <v>0</v>
      </c>
      <c r="AD1258">
        <v>0</v>
      </c>
    </row>
    <row r="1259" spans="1:30" x14ac:dyDescent="0.25">
      <c r="A1259">
        <v>41293</v>
      </c>
      <c r="B1259">
        <v>1829</v>
      </c>
      <c r="C1259">
        <v>1961</v>
      </c>
      <c r="D1259" t="s">
        <v>8</v>
      </c>
      <c r="E1259" t="s">
        <v>14</v>
      </c>
      <c r="F1259" t="s">
        <v>7</v>
      </c>
      <c r="G1259">
        <v>54959</v>
      </c>
      <c r="H1259">
        <v>1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f>SUM(Table1[[#This Row],[Gold Spending]]+Table1[[#This Row],[Sweet Spending]]+Table1[[#This Row],[Fish Spending]]+Table1[[#This Row],[Meat Spending]]+Table1[[#This Row],[Fruits Spending]]+Table1[[#This Row],[Wine Spending ]])</f>
        <v>1232</v>
      </c>
      <c r="Q1259">
        <v>3</v>
      </c>
      <c r="R1259">
        <v>9</v>
      </c>
      <c r="S1259">
        <v>5</v>
      </c>
      <c r="T1259">
        <v>4</v>
      </c>
      <c r="U1259">
        <f>SUM(Table1[[#This Row],[Store_Purchases]]+Table1[[#This Row],[Catalog_Purchases]]+Table1[[#This Row],[Web_Purchases]]+Table1[[#This Row],[Deal_Purchases]])</f>
        <v>21</v>
      </c>
      <c r="V1259">
        <v>7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f>SUM(Table1[[#This Row],[Accepted_Campaign_2]]+Table1[[#This Row],[Accepted_Campaign_1]]+Table1[[#This Row],[Accepted_Campaign_5]]+Table1[[#This Row],[Accepted_Campaign_4]]+Table1[[#This Row],[Accepted_Campaign_3]])</f>
        <v>1</v>
      </c>
      <c r="AC1259">
        <v>1</v>
      </c>
      <c r="AD1259">
        <v>0</v>
      </c>
    </row>
    <row r="1260" spans="1:30" x14ac:dyDescent="0.25">
      <c r="A1260">
        <v>41232</v>
      </c>
      <c r="B1260">
        <v>6260</v>
      </c>
      <c r="C1260">
        <v>1955</v>
      </c>
      <c r="D1260" t="s">
        <v>13</v>
      </c>
      <c r="E1260" t="s">
        <v>18</v>
      </c>
      <c r="F1260" t="s">
        <v>12</v>
      </c>
      <c r="G1260">
        <v>82384</v>
      </c>
      <c r="H1260">
        <v>0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f>SUM(Table1[[#This Row],[Gold Spending]]+Table1[[#This Row],[Sweet Spending]]+Table1[[#This Row],[Fish Spending]]+Table1[[#This Row],[Meat Spending]]+Table1[[#This Row],[Fruits Spending]]+Table1[[#This Row],[Wine Spending ]])</f>
        <v>1957</v>
      </c>
      <c r="Q1260">
        <v>1</v>
      </c>
      <c r="R1260">
        <v>3</v>
      </c>
      <c r="S1260">
        <v>10</v>
      </c>
      <c r="T1260">
        <v>13</v>
      </c>
      <c r="U1260">
        <f>SUM(Table1[[#This Row],[Store_Purchases]]+Table1[[#This Row],[Catalog_Purchases]]+Table1[[#This Row],[Web_Purchases]]+Table1[[#This Row],[Deal_Purchases]])</f>
        <v>27</v>
      </c>
      <c r="V1260">
        <v>1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f>SUM(Table1[[#This Row],[Accepted_Campaign_2]]+Table1[[#This Row],[Accepted_Campaign_1]]+Table1[[#This Row],[Accepted_Campaign_5]]+Table1[[#This Row],[Accepted_Campaign_4]]+Table1[[#This Row],[Accepted_Campaign_3]])</f>
        <v>1</v>
      </c>
      <c r="AC1260">
        <v>1</v>
      </c>
      <c r="AD1260">
        <v>0</v>
      </c>
    </row>
    <row r="1261" spans="1:30" x14ac:dyDescent="0.25">
      <c r="A1261">
        <v>41204</v>
      </c>
      <c r="B1261">
        <v>10448</v>
      </c>
      <c r="C1261">
        <v>1956</v>
      </c>
      <c r="D1261" t="s">
        <v>8</v>
      </c>
      <c r="E1261" t="s">
        <v>6</v>
      </c>
      <c r="F1261" t="s">
        <v>9</v>
      </c>
      <c r="G1261">
        <v>46998</v>
      </c>
      <c r="H1261">
        <v>1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f>SUM(Table1[[#This Row],[Gold Spending]]+Table1[[#This Row],[Sweet Spending]]+Table1[[#This Row],[Fish Spending]]+Table1[[#This Row],[Meat Spending]]+Table1[[#This Row],[Fruits Spending]]+Table1[[#This Row],[Wine Spending ]])</f>
        <v>377</v>
      </c>
      <c r="Q1261">
        <v>5</v>
      </c>
      <c r="R1261">
        <v>5</v>
      </c>
      <c r="S1261">
        <v>3</v>
      </c>
      <c r="T1261">
        <v>5</v>
      </c>
      <c r="U1261">
        <f>SUM(Table1[[#This Row],[Store_Purchases]]+Table1[[#This Row],[Catalog_Purchases]]+Table1[[#This Row],[Web_Purchases]]+Table1[[#This Row],[Deal_Purchases]])</f>
        <v>18</v>
      </c>
      <c r="V1261">
        <v>7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f>SUM(Table1[[#This Row],[Accepted_Campaign_2]]+Table1[[#This Row],[Accepted_Campaign_1]]+Table1[[#This Row],[Accepted_Campaign_5]]+Table1[[#This Row],[Accepted_Campaign_4]]+Table1[[#This Row],[Accepted_Campaign_3]])</f>
        <v>1</v>
      </c>
      <c r="AC1261">
        <v>0</v>
      </c>
      <c r="AD1261">
        <v>0</v>
      </c>
    </row>
    <row r="1262" spans="1:30" x14ac:dyDescent="0.25">
      <c r="A1262">
        <v>41178</v>
      </c>
      <c r="B1262">
        <v>1343</v>
      </c>
      <c r="C1262">
        <v>1968</v>
      </c>
      <c r="D1262" t="s">
        <v>63</v>
      </c>
      <c r="E1262" t="s">
        <v>6</v>
      </c>
      <c r="F1262" t="s">
        <v>12</v>
      </c>
      <c r="G1262">
        <v>58554</v>
      </c>
      <c r="H1262">
        <v>2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f>SUM(Table1[[#This Row],[Gold Spending]]+Table1[[#This Row],[Sweet Spending]]+Table1[[#This Row],[Fish Spending]]+Table1[[#This Row],[Meat Spending]]+Table1[[#This Row],[Fruits Spending]]+Table1[[#This Row],[Wine Spending ]])</f>
        <v>586</v>
      </c>
      <c r="Q1262">
        <v>6</v>
      </c>
      <c r="R1262">
        <v>8</v>
      </c>
      <c r="S1262">
        <v>2</v>
      </c>
      <c r="T1262">
        <v>6</v>
      </c>
      <c r="U1262">
        <f>SUM(Table1[[#This Row],[Store_Purchases]]+Table1[[#This Row],[Catalog_Purchases]]+Table1[[#This Row],[Web_Purchases]]+Table1[[#This Row],[Deal_Purchases]])</f>
        <v>22</v>
      </c>
      <c r="V1262">
        <v>7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f>SUM(Table1[[#This Row],[Accepted_Campaign_2]]+Table1[[#This Row],[Accepted_Campaign_1]]+Table1[[#This Row],[Accepted_Campaign_5]]+Table1[[#This Row],[Accepted_Campaign_4]]+Table1[[#This Row],[Accepted_Campaign_3]])</f>
        <v>0</v>
      </c>
      <c r="AC1262">
        <v>0</v>
      </c>
      <c r="AD1262">
        <v>0</v>
      </c>
    </row>
    <row r="1263" spans="1:30" x14ac:dyDescent="0.25">
      <c r="A1263">
        <v>41178</v>
      </c>
      <c r="B1263">
        <v>4749</v>
      </c>
      <c r="C1263">
        <v>1968</v>
      </c>
      <c r="D1263" t="s">
        <v>17</v>
      </c>
      <c r="E1263" t="s">
        <v>6</v>
      </c>
      <c r="F1263" t="s">
        <v>12</v>
      </c>
      <c r="G1263">
        <v>58554</v>
      </c>
      <c r="H1263">
        <v>2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f>SUM(Table1[[#This Row],[Gold Spending]]+Table1[[#This Row],[Sweet Spending]]+Table1[[#This Row],[Fish Spending]]+Table1[[#This Row],[Meat Spending]]+Table1[[#This Row],[Fruits Spending]]+Table1[[#This Row],[Wine Spending ]])</f>
        <v>586</v>
      </c>
      <c r="Q1263">
        <v>6</v>
      </c>
      <c r="R1263">
        <v>8</v>
      </c>
      <c r="S1263">
        <v>2</v>
      </c>
      <c r="T1263">
        <v>6</v>
      </c>
      <c r="U1263">
        <f>SUM(Table1[[#This Row],[Store_Purchases]]+Table1[[#This Row],[Catalog_Purchases]]+Table1[[#This Row],[Web_Purchases]]+Table1[[#This Row],[Deal_Purchases]])</f>
        <v>22</v>
      </c>
      <c r="V1263">
        <v>7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f>SUM(Table1[[#This Row],[Accepted_Campaign_2]]+Table1[[#This Row],[Accepted_Campaign_1]]+Table1[[#This Row],[Accepted_Campaign_5]]+Table1[[#This Row],[Accepted_Campaign_4]]+Table1[[#This Row],[Accepted_Campaign_3]])</f>
        <v>0</v>
      </c>
      <c r="AC1263">
        <v>0</v>
      </c>
      <c r="AD1263">
        <v>0</v>
      </c>
    </row>
    <row r="1264" spans="1:30" x14ac:dyDescent="0.25">
      <c r="A1264">
        <v>41174</v>
      </c>
      <c r="B1264">
        <v>531</v>
      </c>
      <c r="C1264">
        <v>1954</v>
      </c>
      <c r="D1264" t="s">
        <v>8</v>
      </c>
      <c r="E1264" t="s">
        <v>14</v>
      </c>
      <c r="F1264" t="s">
        <v>7</v>
      </c>
      <c r="G1264">
        <v>57333</v>
      </c>
      <c r="H1264">
        <v>1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f>SUM(Table1[[#This Row],[Gold Spending]]+Table1[[#This Row],[Sweet Spending]]+Table1[[#This Row],[Fish Spending]]+Table1[[#This Row],[Meat Spending]]+Table1[[#This Row],[Fruits Spending]]+Table1[[#This Row],[Wine Spending ]])</f>
        <v>1662</v>
      </c>
      <c r="Q1264">
        <v>11</v>
      </c>
      <c r="R1264">
        <v>8</v>
      </c>
      <c r="S1264">
        <v>5</v>
      </c>
      <c r="T1264">
        <v>9</v>
      </c>
      <c r="U1264">
        <f>SUM(Table1[[#This Row],[Store_Purchases]]+Table1[[#This Row],[Catalog_Purchases]]+Table1[[#This Row],[Web_Purchases]]+Table1[[#This Row],[Deal_Purchases]])</f>
        <v>33</v>
      </c>
      <c r="V1264">
        <v>6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f>SUM(Table1[[#This Row],[Accepted_Campaign_2]]+Table1[[#This Row],[Accepted_Campaign_1]]+Table1[[#This Row],[Accepted_Campaign_5]]+Table1[[#This Row],[Accepted_Campaign_4]]+Table1[[#This Row],[Accepted_Campaign_3]])</f>
        <v>0</v>
      </c>
      <c r="AC1264">
        <v>1</v>
      </c>
      <c r="AD1264">
        <v>0</v>
      </c>
    </row>
    <row r="1265" spans="1:30" x14ac:dyDescent="0.25">
      <c r="A1265">
        <v>41143</v>
      </c>
      <c r="B1265">
        <v>6905</v>
      </c>
      <c r="C1265">
        <v>1994</v>
      </c>
      <c r="D1265" t="s">
        <v>8</v>
      </c>
      <c r="E1265" t="s">
        <v>6</v>
      </c>
      <c r="F1265" t="s">
        <v>12</v>
      </c>
      <c r="G1265">
        <v>80685</v>
      </c>
      <c r="H1265">
        <v>0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f>SUM(Table1[[#This Row],[Gold Spending]]+Table1[[#This Row],[Sweet Spending]]+Table1[[#This Row],[Fish Spending]]+Table1[[#This Row],[Meat Spending]]+Table1[[#This Row],[Fruits Spending]]+Table1[[#This Row],[Wine Spending ]])</f>
        <v>1004</v>
      </c>
      <c r="Q1265">
        <v>1</v>
      </c>
      <c r="R1265">
        <v>6</v>
      </c>
      <c r="S1265">
        <v>4</v>
      </c>
      <c r="T1265">
        <v>10</v>
      </c>
      <c r="U1265">
        <f>SUM(Table1[[#This Row],[Store_Purchases]]+Table1[[#This Row],[Catalog_Purchases]]+Table1[[#This Row],[Web_Purchases]]+Table1[[#This Row],[Deal_Purchases]])</f>
        <v>21</v>
      </c>
      <c r="V1265">
        <v>2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f>SUM(Table1[[#This Row],[Accepted_Campaign_2]]+Table1[[#This Row],[Accepted_Campaign_1]]+Table1[[#This Row],[Accepted_Campaign_5]]+Table1[[#This Row],[Accepted_Campaign_4]]+Table1[[#This Row],[Accepted_Campaign_3]])</f>
        <v>0</v>
      </c>
      <c r="AC1265">
        <v>0</v>
      </c>
      <c r="AD1265">
        <v>0</v>
      </c>
    </row>
    <row r="1266" spans="1:30" x14ac:dyDescent="0.25">
      <c r="A1266">
        <v>41137</v>
      </c>
      <c r="B1266">
        <v>1045</v>
      </c>
      <c r="C1266">
        <v>1965</v>
      </c>
      <c r="D1266" t="s">
        <v>8</v>
      </c>
      <c r="E1266" t="s">
        <v>6</v>
      </c>
      <c r="F1266" t="s">
        <v>12</v>
      </c>
      <c r="G1266">
        <v>52117</v>
      </c>
      <c r="H1266">
        <v>1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f>SUM(Table1[[#This Row],[Gold Spending]]+Table1[[#This Row],[Sweet Spending]]+Table1[[#This Row],[Fish Spending]]+Table1[[#This Row],[Meat Spending]]+Table1[[#This Row],[Fruits Spending]]+Table1[[#This Row],[Wine Spending ]])</f>
        <v>279</v>
      </c>
      <c r="Q1266">
        <v>2</v>
      </c>
      <c r="R1266">
        <v>5</v>
      </c>
      <c r="S1266">
        <v>2</v>
      </c>
      <c r="T1266">
        <v>4</v>
      </c>
      <c r="U1266">
        <f>SUM(Table1[[#This Row],[Store_Purchases]]+Table1[[#This Row],[Catalog_Purchases]]+Table1[[#This Row],[Web_Purchases]]+Table1[[#This Row],[Deal_Purchases]])</f>
        <v>13</v>
      </c>
      <c r="V1266">
        <v>7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f>SUM(Table1[[#This Row],[Accepted_Campaign_2]]+Table1[[#This Row],[Accepted_Campaign_1]]+Table1[[#This Row],[Accepted_Campaign_5]]+Table1[[#This Row],[Accepted_Campaign_4]]+Table1[[#This Row],[Accepted_Campaign_3]])</f>
        <v>0</v>
      </c>
      <c r="AC1266">
        <v>0</v>
      </c>
      <c r="AD1266">
        <v>0</v>
      </c>
    </row>
    <row r="1267" spans="1:30" x14ac:dyDescent="0.25">
      <c r="A1267">
        <v>41132</v>
      </c>
      <c r="B1267">
        <v>4012</v>
      </c>
      <c r="C1267">
        <v>1972</v>
      </c>
      <c r="D1267" t="s">
        <v>16</v>
      </c>
      <c r="E1267" t="s">
        <v>14</v>
      </c>
      <c r="F1267" t="s">
        <v>12</v>
      </c>
      <c r="G1267">
        <v>62220</v>
      </c>
      <c r="H1267">
        <v>1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f>SUM(Table1[[#This Row],[Gold Spending]]+Table1[[#This Row],[Sweet Spending]]+Table1[[#This Row],[Fish Spending]]+Table1[[#This Row],[Meat Spending]]+Table1[[#This Row],[Fruits Spending]]+Table1[[#This Row],[Wine Spending ]])</f>
        <v>1226</v>
      </c>
      <c r="Q1267">
        <v>5</v>
      </c>
      <c r="R1267">
        <v>7</v>
      </c>
      <c r="S1267">
        <v>6</v>
      </c>
      <c r="T1267">
        <v>5</v>
      </c>
      <c r="U1267">
        <f>SUM(Table1[[#This Row],[Store_Purchases]]+Table1[[#This Row],[Catalog_Purchases]]+Table1[[#This Row],[Web_Purchases]]+Table1[[#This Row],[Deal_Purchases]])</f>
        <v>23</v>
      </c>
      <c r="V1267">
        <v>6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f>SUM(Table1[[#This Row],[Accepted_Campaign_2]]+Table1[[#This Row],[Accepted_Campaign_1]]+Table1[[#This Row],[Accepted_Campaign_5]]+Table1[[#This Row],[Accepted_Campaign_4]]+Table1[[#This Row],[Accepted_Campaign_3]])</f>
        <v>0</v>
      </c>
      <c r="AC1267">
        <v>1</v>
      </c>
      <c r="AD1267">
        <v>0</v>
      </c>
    </row>
    <row r="1268" spans="1:30" x14ac:dyDescent="0.25">
      <c r="A1268">
        <v>41800</v>
      </c>
      <c r="B1268">
        <v>5529</v>
      </c>
      <c r="C1268">
        <v>1946</v>
      </c>
      <c r="D1268" t="s">
        <v>10</v>
      </c>
      <c r="E1268" t="s">
        <v>14</v>
      </c>
      <c r="F1268" t="s">
        <v>12</v>
      </c>
      <c r="G1268">
        <v>64014</v>
      </c>
      <c r="H1268">
        <v>3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f>SUM(Table1[[#This Row],[Gold Spending]]+Table1[[#This Row],[Sweet Spending]]+Table1[[#This Row],[Fish Spending]]+Table1[[#This Row],[Meat Spending]]+Table1[[#This Row],[Fruits Spending]]+Table1[[#This Row],[Wine Spending ]])</f>
        <v>444</v>
      </c>
      <c r="Q1268">
        <v>7</v>
      </c>
      <c r="R1268">
        <v>8</v>
      </c>
      <c r="S1268">
        <v>2</v>
      </c>
      <c r="T1268">
        <v>5</v>
      </c>
      <c r="U1268">
        <f>SUM(Table1[[#This Row],[Store_Purchases]]+Table1[[#This Row],[Catalog_Purchases]]+Table1[[#This Row],[Web_Purchases]]+Table1[[#This Row],[Deal_Purchases]])</f>
        <v>22</v>
      </c>
      <c r="V1268">
        <v>7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f>SUM(Table1[[#This Row],[Accepted_Campaign_2]]+Table1[[#This Row],[Accepted_Campaign_1]]+Table1[[#This Row],[Accepted_Campaign_5]]+Table1[[#This Row],[Accepted_Campaign_4]]+Table1[[#This Row],[Accepted_Campaign_3]])</f>
        <v>1</v>
      </c>
      <c r="AC1268">
        <v>0</v>
      </c>
      <c r="AD1268">
        <v>0</v>
      </c>
    </row>
    <row r="1269" spans="1:30" x14ac:dyDescent="0.25">
      <c r="A1269">
        <v>41800</v>
      </c>
      <c r="B1269">
        <v>4001</v>
      </c>
      <c r="C1269">
        <v>1946</v>
      </c>
      <c r="D1269" t="s">
        <v>20</v>
      </c>
      <c r="E1269" t="s">
        <v>14</v>
      </c>
      <c r="F1269" t="s">
        <v>12</v>
      </c>
      <c r="G1269">
        <v>64014</v>
      </c>
      <c r="H1269">
        <v>3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f>SUM(Table1[[#This Row],[Gold Spending]]+Table1[[#This Row],[Sweet Spending]]+Table1[[#This Row],[Fish Spending]]+Table1[[#This Row],[Meat Spending]]+Table1[[#This Row],[Fruits Spending]]+Table1[[#This Row],[Wine Spending ]])</f>
        <v>444</v>
      </c>
      <c r="Q1269">
        <v>7</v>
      </c>
      <c r="R1269">
        <v>8</v>
      </c>
      <c r="S1269">
        <v>2</v>
      </c>
      <c r="T1269">
        <v>5</v>
      </c>
      <c r="U1269">
        <f>SUM(Table1[[#This Row],[Store_Purchases]]+Table1[[#This Row],[Catalog_Purchases]]+Table1[[#This Row],[Web_Purchases]]+Table1[[#This Row],[Deal_Purchases]])</f>
        <v>22</v>
      </c>
      <c r="V1269">
        <v>7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f>SUM(Table1[[#This Row],[Accepted_Campaign_2]]+Table1[[#This Row],[Accepted_Campaign_1]]+Table1[[#This Row],[Accepted_Campaign_5]]+Table1[[#This Row],[Accepted_Campaign_4]]+Table1[[#This Row],[Accepted_Campaign_3]])</f>
        <v>1</v>
      </c>
      <c r="AC1269">
        <v>0</v>
      </c>
      <c r="AD1269">
        <v>0</v>
      </c>
    </row>
    <row r="1270" spans="1:30" x14ac:dyDescent="0.25">
      <c r="A1270">
        <v>41764</v>
      </c>
      <c r="B1270">
        <v>10420</v>
      </c>
      <c r="C1270">
        <v>1955</v>
      </c>
      <c r="D1270" t="s">
        <v>63</v>
      </c>
      <c r="E1270" t="s">
        <v>18</v>
      </c>
      <c r="F1270" t="s">
        <v>7</v>
      </c>
      <c r="G1270">
        <v>46390</v>
      </c>
      <c r="H1270">
        <v>1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f>SUM(Table1[[#This Row],[Gold Spending]]+Table1[[#This Row],[Sweet Spending]]+Table1[[#This Row],[Fish Spending]]+Table1[[#This Row],[Meat Spending]]+Table1[[#This Row],[Fruits Spending]]+Table1[[#This Row],[Wine Spending ]])</f>
        <v>222</v>
      </c>
      <c r="Q1270">
        <v>1</v>
      </c>
      <c r="R1270">
        <v>4</v>
      </c>
      <c r="S1270">
        <v>2</v>
      </c>
      <c r="T1270">
        <v>3</v>
      </c>
      <c r="U1270">
        <f>SUM(Table1[[#This Row],[Store_Purchases]]+Table1[[#This Row],[Catalog_Purchases]]+Table1[[#This Row],[Web_Purchases]]+Table1[[#This Row],[Deal_Purchases]])</f>
        <v>10</v>
      </c>
      <c r="V1270">
        <v>7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f>SUM(Table1[[#This Row],[Accepted_Campaign_2]]+Table1[[#This Row],[Accepted_Campaign_1]]+Table1[[#This Row],[Accepted_Campaign_5]]+Table1[[#This Row],[Accepted_Campaign_4]]+Table1[[#This Row],[Accepted_Campaign_3]])</f>
        <v>0</v>
      </c>
      <c r="AC1270">
        <v>0</v>
      </c>
      <c r="AD1270">
        <v>0</v>
      </c>
    </row>
    <row r="1271" spans="1:30" x14ac:dyDescent="0.25">
      <c r="A1271">
        <v>41761</v>
      </c>
      <c r="B1271">
        <v>7723</v>
      </c>
      <c r="C1271">
        <v>1979</v>
      </c>
      <c r="D1271" t="s">
        <v>16</v>
      </c>
      <c r="E1271" t="s">
        <v>6</v>
      </c>
      <c r="F1271" t="s">
        <v>12</v>
      </c>
      <c r="G1271">
        <v>75507</v>
      </c>
      <c r="H1271">
        <v>0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f>SUM(Table1[[#This Row],[Gold Spending]]+Table1[[#This Row],[Sweet Spending]]+Table1[[#This Row],[Fish Spending]]+Table1[[#This Row],[Meat Spending]]+Table1[[#This Row],[Fruits Spending]]+Table1[[#This Row],[Wine Spending ]])</f>
        <v>1440</v>
      </c>
      <c r="Q1271">
        <v>1</v>
      </c>
      <c r="R1271">
        <v>8</v>
      </c>
      <c r="S1271">
        <v>6</v>
      </c>
      <c r="T1271">
        <v>6</v>
      </c>
      <c r="U1271">
        <f>SUM(Table1[[#This Row],[Store_Purchases]]+Table1[[#This Row],[Catalog_Purchases]]+Table1[[#This Row],[Web_Purchases]]+Table1[[#This Row],[Deal_Purchases]])</f>
        <v>21</v>
      </c>
      <c r="V1271">
        <v>3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f>SUM(Table1[[#This Row],[Accepted_Campaign_2]]+Table1[[#This Row],[Accepted_Campaign_1]]+Table1[[#This Row],[Accepted_Campaign_5]]+Table1[[#This Row],[Accepted_Campaign_4]]+Table1[[#This Row],[Accepted_Campaign_3]])</f>
        <v>0</v>
      </c>
      <c r="AC1271">
        <v>0</v>
      </c>
      <c r="AD1271">
        <v>0</v>
      </c>
    </row>
    <row r="1272" spans="1:30" x14ac:dyDescent="0.25">
      <c r="A1272">
        <v>41761</v>
      </c>
      <c r="B1272">
        <v>2963</v>
      </c>
      <c r="C1272">
        <v>1979</v>
      </c>
      <c r="D1272" t="s">
        <v>13</v>
      </c>
      <c r="E1272" t="s">
        <v>6</v>
      </c>
      <c r="F1272" t="s">
        <v>12</v>
      </c>
      <c r="G1272">
        <v>75507</v>
      </c>
      <c r="H1272">
        <v>0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f>SUM(Table1[[#This Row],[Gold Spending]]+Table1[[#This Row],[Sweet Spending]]+Table1[[#This Row],[Fish Spending]]+Table1[[#This Row],[Meat Spending]]+Table1[[#This Row],[Fruits Spending]]+Table1[[#This Row],[Wine Spending ]])</f>
        <v>1440</v>
      </c>
      <c r="Q1272">
        <v>1</v>
      </c>
      <c r="R1272">
        <v>8</v>
      </c>
      <c r="S1272">
        <v>6</v>
      </c>
      <c r="T1272">
        <v>6</v>
      </c>
      <c r="U1272">
        <f>SUM(Table1[[#This Row],[Store_Purchases]]+Table1[[#This Row],[Catalog_Purchases]]+Table1[[#This Row],[Web_Purchases]]+Table1[[#This Row],[Deal_Purchases]])</f>
        <v>21</v>
      </c>
      <c r="V1272">
        <v>3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f>SUM(Table1[[#This Row],[Accepted_Campaign_2]]+Table1[[#This Row],[Accepted_Campaign_1]]+Table1[[#This Row],[Accepted_Campaign_5]]+Table1[[#This Row],[Accepted_Campaign_4]]+Table1[[#This Row],[Accepted_Campaign_3]])</f>
        <v>0</v>
      </c>
      <c r="AC1272">
        <v>0</v>
      </c>
      <c r="AD1272">
        <v>0</v>
      </c>
    </row>
    <row r="1273" spans="1:30" x14ac:dyDescent="0.25">
      <c r="A1273">
        <v>41748</v>
      </c>
      <c r="B1273">
        <v>10634</v>
      </c>
      <c r="C1273">
        <v>1951</v>
      </c>
      <c r="D1273" t="s">
        <v>8</v>
      </c>
      <c r="E1273" t="s">
        <v>18</v>
      </c>
      <c r="F1273" t="s">
        <v>11</v>
      </c>
      <c r="G1273">
        <v>59412</v>
      </c>
      <c r="H1273">
        <v>0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f>SUM(Table1[[#This Row],[Gold Spending]]+Table1[[#This Row],[Sweet Spending]]+Table1[[#This Row],[Fish Spending]]+Table1[[#This Row],[Meat Spending]]+Table1[[#This Row],[Fruits Spending]]+Table1[[#This Row],[Wine Spending ]])</f>
        <v>406</v>
      </c>
      <c r="Q1273">
        <v>1</v>
      </c>
      <c r="R1273">
        <v>4</v>
      </c>
      <c r="S1273">
        <v>2</v>
      </c>
      <c r="T1273">
        <v>8</v>
      </c>
      <c r="U1273">
        <f>SUM(Table1[[#This Row],[Store_Purchases]]+Table1[[#This Row],[Catalog_Purchases]]+Table1[[#This Row],[Web_Purchases]]+Table1[[#This Row],[Deal_Purchases]])</f>
        <v>15</v>
      </c>
      <c r="V1273">
        <v>3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f>SUM(Table1[[#This Row],[Accepted_Campaign_2]]+Table1[[#This Row],[Accepted_Campaign_1]]+Table1[[#This Row],[Accepted_Campaign_5]]+Table1[[#This Row],[Accepted_Campaign_4]]+Table1[[#This Row],[Accepted_Campaign_3]])</f>
        <v>0</v>
      </c>
      <c r="AC1273">
        <v>0</v>
      </c>
      <c r="AD1273">
        <v>0</v>
      </c>
    </row>
    <row r="1274" spans="1:30" x14ac:dyDescent="0.25">
      <c r="A1274">
        <v>41747</v>
      </c>
      <c r="B1274">
        <v>5180</v>
      </c>
      <c r="C1274">
        <v>1968</v>
      </c>
      <c r="D1274" t="s">
        <v>8</v>
      </c>
      <c r="E1274" t="s">
        <v>14</v>
      </c>
      <c r="F1274" t="s">
        <v>7</v>
      </c>
      <c r="G1274">
        <v>50616</v>
      </c>
      <c r="H1274">
        <v>1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f>SUM(Table1[[#This Row],[Gold Spending]]+Table1[[#This Row],[Sweet Spending]]+Table1[[#This Row],[Fish Spending]]+Table1[[#This Row],[Meat Spending]]+Table1[[#This Row],[Fruits Spending]]+Table1[[#This Row],[Wine Spending ]])</f>
        <v>149</v>
      </c>
      <c r="Q1274">
        <v>2</v>
      </c>
      <c r="R1274">
        <v>4</v>
      </c>
      <c r="S1274">
        <v>0</v>
      </c>
      <c r="T1274">
        <v>4</v>
      </c>
      <c r="U1274">
        <f>SUM(Table1[[#This Row],[Store_Purchases]]+Table1[[#This Row],[Catalog_Purchases]]+Table1[[#This Row],[Web_Purchases]]+Table1[[#This Row],[Deal_Purchases]])</f>
        <v>10</v>
      </c>
      <c r="V1274">
        <v>7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f>SUM(Table1[[#This Row],[Accepted_Campaign_2]]+Table1[[#This Row],[Accepted_Campaign_1]]+Table1[[#This Row],[Accepted_Campaign_5]]+Table1[[#This Row],[Accepted_Campaign_4]]+Table1[[#This Row],[Accepted_Campaign_3]])</f>
        <v>0</v>
      </c>
      <c r="AC1274">
        <v>0</v>
      </c>
      <c r="AD1274">
        <v>0</v>
      </c>
    </row>
    <row r="1275" spans="1:30" x14ac:dyDescent="0.25">
      <c r="A1275">
        <v>41721</v>
      </c>
      <c r="B1275">
        <v>6866</v>
      </c>
      <c r="C1275">
        <v>1969</v>
      </c>
      <c r="D1275" t="s">
        <v>20</v>
      </c>
      <c r="E1275" t="s">
        <v>18</v>
      </c>
      <c r="F1275" t="s">
        <v>12</v>
      </c>
      <c r="G1275">
        <v>35924</v>
      </c>
      <c r="H1275">
        <v>2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f>SUM(Table1[[#This Row],[Gold Spending]]+Table1[[#This Row],[Sweet Spending]]+Table1[[#This Row],[Fish Spending]]+Table1[[#This Row],[Meat Spending]]+Table1[[#This Row],[Fruits Spending]]+Table1[[#This Row],[Wine Spending ]])</f>
        <v>34</v>
      </c>
      <c r="Q1275">
        <v>1</v>
      </c>
      <c r="R1275">
        <v>1</v>
      </c>
      <c r="S1275">
        <v>0</v>
      </c>
      <c r="T1275">
        <v>3</v>
      </c>
      <c r="U1275">
        <f>SUM(Table1[[#This Row],[Store_Purchases]]+Table1[[#This Row],[Catalog_Purchases]]+Table1[[#This Row],[Web_Purchases]]+Table1[[#This Row],[Deal_Purchases]])</f>
        <v>5</v>
      </c>
      <c r="V1275">
        <v>5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f>SUM(Table1[[#This Row],[Accepted_Campaign_2]]+Table1[[#This Row],[Accepted_Campaign_1]]+Table1[[#This Row],[Accepted_Campaign_5]]+Table1[[#This Row],[Accepted_Campaign_4]]+Table1[[#This Row],[Accepted_Campaign_3]])</f>
        <v>0</v>
      </c>
      <c r="AC1275">
        <v>0</v>
      </c>
      <c r="AD1275">
        <v>0</v>
      </c>
    </row>
    <row r="1276" spans="1:30" x14ac:dyDescent="0.25">
      <c r="A1276">
        <v>41686</v>
      </c>
      <c r="B1276">
        <v>1328</v>
      </c>
      <c r="C1276">
        <v>1982</v>
      </c>
      <c r="D1276" t="s">
        <v>20</v>
      </c>
      <c r="E1276" t="s">
        <v>15</v>
      </c>
      <c r="F1276" t="s">
        <v>11</v>
      </c>
      <c r="G1276">
        <v>57937</v>
      </c>
      <c r="H1276">
        <v>1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f>SUM(Table1[[#This Row],[Gold Spending]]+Table1[[#This Row],[Sweet Spending]]+Table1[[#This Row],[Fish Spending]]+Table1[[#This Row],[Meat Spending]]+Table1[[#This Row],[Fruits Spending]]+Table1[[#This Row],[Wine Spending ]])</f>
        <v>683</v>
      </c>
      <c r="Q1276">
        <v>3</v>
      </c>
      <c r="R1276">
        <v>4</v>
      </c>
      <c r="S1276">
        <v>4</v>
      </c>
      <c r="T1276">
        <v>9</v>
      </c>
      <c r="U1276">
        <f>SUM(Table1[[#This Row],[Store_Purchases]]+Table1[[#This Row],[Catalog_Purchases]]+Table1[[#This Row],[Web_Purchases]]+Table1[[#This Row],[Deal_Purchases]])</f>
        <v>20</v>
      </c>
      <c r="V1276">
        <v>3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f>SUM(Table1[[#This Row],[Accepted_Campaign_2]]+Table1[[#This Row],[Accepted_Campaign_1]]+Table1[[#This Row],[Accepted_Campaign_5]]+Table1[[#This Row],[Accepted_Campaign_4]]+Table1[[#This Row],[Accepted_Campaign_3]])</f>
        <v>0</v>
      </c>
      <c r="AC1276">
        <v>0</v>
      </c>
      <c r="AD1276">
        <v>0</v>
      </c>
    </row>
    <row r="1277" spans="1:30" x14ac:dyDescent="0.25">
      <c r="A1277">
        <v>41676</v>
      </c>
      <c r="B1277">
        <v>1139</v>
      </c>
      <c r="C1277">
        <v>1984</v>
      </c>
      <c r="D1277" t="s">
        <v>8</v>
      </c>
      <c r="E1277" t="s">
        <v>14</v>
      </c>
      <c r="F1277" t="s">
        <v>11</v>
      </c>
      <c r="G1277">
        <v>73356</v>
      </c>
      <c r="H1277">
        <v>0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f>SUM(Table1[[#This Row],[Gold Spending]]+Table1[[#This Row],[Sweet Spending]]+Table1[[#This Row],[Fish Spending]]+Table1[[#This Row],[Meat Spending]]+Table1[[#This Row],[Fruits Spending]]+Table1[[#This Row],[Wine Spending ]])</f>
        <v>1512</v>
      </c>
      <c r="Q1277">
        <v>1</v>
      </c>
      <c r="R1277">
        <v>5</v>
      </c>
      <c r="S1277">
        <v>11</v>
      </c>
      <c r="T1277">
        <v>5</v>
      </c>
      <c r="U1277">
        <f>SUM(Table1[[#This Row],[Store_Purchases]]+Table1[[#This Row],[Catalog_Purchases]]+Table1[[#This Row],[Web_Purchases]]+Table1[[#This Row],[Deal_Purchases]])</f>
        <v>22</v>
      </c>
      <c r="V1277">
        <v>2</v>
      </c>
      <c r="W1277">
        <v>1</v>
      </c>
      <c r="X1277">
        <v>0</v>
      </c>
      <c r="Y1277">
        <v>1</v>
      </c>
      <c r="Z1277">
        <v>1</v>
      </c>
      <c r="AA1277">
        <v>0</v>
      </c>
      <c r="AB1277">
        <f>SUM(Table1[[#This Row],[Accepted_Campaign_2]]+Table1[[#This Row],[Accepted_Campaign_1]]+Table1[[#This Row],[Accepted_Campaign_5]]+Table1[[#This Row],[Accepted_Campaign_4]]+Table1[[#This Row],[Accepted_Campaign_3]])</f>
        <v>3</v>
      </c>
      <c r="AC1277">
        <v>1</v>
      </c>
      <c r="AD1277">
        <v>0</v>
      </c>
    </row>
    <row r="1278" spans="1:30" x14ac:dyDescent="0.25">
      <c r="A1278">
        <v>41660</v>
      </c>
      <c r="B1278">
        <v>4961</v>
      </c>
      <c r="C1278">
        <v>1974</v>
      </c>
      <c r="D1278" t="s">
        <v>8</v>
      </c>
      <c r="E1278" t="s">
        <v>18</v>
      </c>
      <c r="F1278" t="s">
        <v>12</v>
      </c>
      <c r="G1278">
        <v>21255</v>
      </c>
      <c r="H1278">
        <v>1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f>SUM(Table1[[#This Row],[Gold Spending]]+Table1[[#This Row],[Sweet Spending]]+Table1[[#This Row],[Fish Spending]]+Table1[[#This Row],[Meat Spending]]+Table1[[#This Row],[Fruits Spending]]+Table1[[#This Row],[Wine Spending ]])</f>
        <v>61</v>
      </c>
      <c r="Q1278">
        <v>4</v>
      </c>
      <c r="R1278">
        <v>2</v>
      </c>
      <c r="S1278">
        <v>1</v>
      </c>
      <c r="T1278">
        <v>4</v>
      </c>
      <c r="U1278">
        <f>SUM(Table1[[#This Row],[Store_Purchases]]+Table1[[#This Row],[Catalog_Purchases]]+Table1[[#This Row],[Web_Purchases]]+Table1[[#This Row],[Deal_Purchases]])</f>
        <v>11</v>
      </c>
      <c r="V1278">
        <v>4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f>SUM(Table1[[#This Row],[Accepted_Campaign_2]]+Table1[[#This Row],[Accepted_Campaign_1]]+Table1[[#This Row],[Accepted_Campaign_5]]+Table1[[#This Row],[Accepted_Campaign_4]]+Table1[[#This Row],[Accepted_Campaign_3]])</f>
        <v>0</v>
      </c>
      <c r="AC1278">
        <v>0</v>
      </c>
      <c r="AD1278">
        <v>0</v>
      </c>
    </row>
    <row r="1279" spans="1:30" x14ac:dyDescent="0.25">
      <c r="A1279">
        <v>41620</v>
      </c>
      <c r="B1279">
        <v>5177</v>
      </c>
      <c r="C1279">
        <v>1974</v>
      </c>
      <c r="D1279" t="s">
        <v>20</v>
      </c>
      <c r="E1279" t="s">
        <v>18</v>
      </c>
      <c r="F1279" t="s">
        <v>11</v>
      </c>
      <c r="G1279">
        <v>58494</v>
      </c>
      <c r="H1279">
        <v>1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f>SUM(Table1[[#This Row],[Gold Spending]]+Table1[[#This Row],[Sweet Spending]]+Table1[[#This Row],[Fish Spending]]+Table1[[#This Row],[Meat Spending]]+Table1[[#This Row],[Fruits Spending]]+Table1[[#This Row],[Wine Spending ]])</f>
        <v>396</v>
      </c>
      <c r="Q1279">
        <v>2</v>
      </c>
      <c r="R1279">
        <v>6</v>
      </c>
      <c r="S1279">
        <v>2</v>
      </c>
      <c r="T1279">
        <v>6</v>
      </c>
      <c r="U1279">
        <f>SUM(Table1[[#This Row],[Store_Purchases]]+Table1[[#This Row],[Catalog_Purchases]]+Table1[[#This Row],[Web_Purchases]]+Table1[[#This Row],[Deal_Purchases]])</f>
        <v>16</v>
      </c>
      <c r="V1279">
        <v>6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f>SUM(Table1[[#This Row],[Accepted_Campaign_2]]+Table1[[#This Row],[Accepted_Campaign_1]]+Table1[[#This Row],[Accepted_Campaign_5]]+Table1[[#This Row],[Accepted_Campaign_4]]+Table1[[#This Row],[Accepted_Campaign_3]])</f>
        <v>0</v>
      </c>
      <c r="AC1279">
        <v>0</v>
      </c>
      <c r="AD1279">
        <v>0</v>
      </c>
    </row>
    <row r="1280" spans="1:30" x14ac:dyDescent="0.25">
      <c r="A1280">
        <v>41592</v>
      </c>
      <c r="B1280">
        <v>2075</v>
      </c>
      <c r="C1280">
        <v>1969</v>
      </c>
      <c r="D1280" t="s">
        <v>20</v>
      </c>
      <c r="E1280" t="s">
        <v>6</v>
      </c>
      <c r="F1280" t="s">
        <v>11</v>
      </c>
      <c r="G1280">
        <v>72460</v>
      </c>
      <c r="H1280">
        <v>0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f>SUM(Table1[[#This Row],[Gold Spending]]+Table1[[#This Row],[Sweet Spending]]+Table1[[#This Row],[Fish Spending]]+Table1[[#This Row],[Meat Spending]]+Table1[[#This Row],[Fruits Spending]]+Table1[[#This Row],[Wine Spending ]])</f>
        <v>1047</v>
      </c>
      <c r="Q1280">
        <v>1</v>
      </c>
      <c r="R1280">
        <v>3</v>
      </c>
      <c r="S1280">
        <v>5</v>
      </c>
      <c r="T1280">
        <v>7</v>
      </c>
      <c r="U1280">
        <f>SUM(Table1[[#This Row],[Store_Purchases]]+Table1[[#This Row],[Catalog_Purchases]]+Table1[[#This Row],[Web_Purchases]]+Table1[[#This Row],[Deal_Purchases]])</f>
        <v>16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f>SUM(Table1[[#This Row],[Accepted_Campaign_2]]+Table1[[#This Row],[Accepted_Campaign_1]]+Table1[[#This Row],[Accepted_Campaign_5]]+Table1[[#This Row],[Accepted_Campaign_4]]+Table1[[#This Row],[Accepted_Campaign_3]])</f>
        <v>0</v>
      </c>
      <c r="AC1280">
        <v>0</v>
      </c>
      <c r="AD1280">
        <v>0</v>
      </c>
    </row>
    <row r="1281" spans="1:30" x14ac:dyDescent="0.25">
      <c r="A1281">
        <v>41553</v>
      </c>
      <c r="B1281">
        <v>3428</v>
      </c>
      <c r="C1281">
        <v>1991</v>
      </c>
      <c r="D1281" t="s">
        <v>8</v>
      </c>
      <c r="E1281" t="s">
        <v>14</v>
      </c>
      <c r="F1281" t="s">
        <v>12</v>
      </c>
      <c r="G1281">
        <v>68682</v>
      </c>
      <c r="H1281">
        <v>0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f>SUM(Table1[[#This Row],[Gold Spending]]+Table1[[#This Row],[Sweet Spending]]+Table1[[#This Row],[Fish Spending]]+Table1[[#This Row],[Meat Spending]]+Table1[[#This Row],[Fruits Spending]]+Table1[[#This Row],[Wine Spending ]])</f>
        <v>1598</v>
      </c>
      <c r="Q1281">
        <v>1</v>
      </c>
      <c r="R1281">
        <v>4</v>
      </c>
      <c r="S1281">
        <v>9</v>
      </c>
      <c r="T1281">
        <v>10</v>
      </c>
      <c r="U1281">
        <f>SUM(Table1[[#This Row],[Store_Purchases]]+Table1[[#This Row],[Catalog_Purchases]]+Table1[[#This Row],[Web_Purchases]]+Table1[[#This Row],[Deal_Purchases]])</f>
        <v>24</v>
      </c>
      <c r="V1281">
        <v>2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f>SUM(Table1[[#This Row],[Accepted_Campaign_2]]+Table1[[#This Row],[Accepted_Campaign_1]]+Table1[[#This Row],[Accepted_Campaign_5]]+Table1[[#This Row],[Accepted_Campaign_4]]+Table1[[#This Row],[Accepted_Campaign_3]])</f>
        <v>0</v>
      </c>
      <c r="AC1281">
        <v>0</v>
      </c>
      <c r="AD1281">
        <v>0</v>
      </c>
    </row>
    <row r="1282" spans="1:30" x14ac:dyDescent="0.25">
      <c r="A1282">
        <v>41553</v>
      </c>
      <c r="B1282">
        <v>4500</v>
      </c>
      <c r="C1282">
        <v>1991</v>
      </c>
      <c r="D1282" t="s">
        <v>8</v>
      </c>
      <c r="E1282" t="s">
        <v>14</v>
      </c>
      <c r="F1282" t="s">
        <v>12</v>
      </c>
      <c r="G1282">
        <v>68682</v>
      </c>
      <c r="H1282">
        <v>0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f>SUM(Table1[[#This Row],[Gold Spending]]+Table1[[#This Row],[Sweet Spending]]+Table1[[#This Row],[Fish Spending]]+Table1[[#This Row],[Meat Spending]]+Table1[[#This Row],[Fruits Spending]]+Table1[[#This Row],[Wine Spending ]])</f>
        <v>1598</v>
      </c>
      <c r="Q1282">
        <v>1</v>
      </c>
      <c r="R1282">
        <v>4</v>
      </c>
      <c r="S1282">
        <v>9</v>
      </c>
      <c r="T1282">
        <v>10</v>
      </c>
      <c r="U1282">
        <f>SUM(Table1[[#This Row],[Store_Purchases]]+Table1[[#This Row],[Catalog_Purchases]]+Table1[[#This Row],[Web_Purchases]]+Table1[[#This Row],[Deal_Purchases]])</f>
        <v>24</v>
      </c>
      <c r="V1282">
        <v>2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f>SUM(Table1[[#This Row],[Accepted_Campaign_2]]+Table1[[#This Row],[Accepted_Campaign_1]]+Table1[[#This Row],[Accepted_Campaign_5]]+Table1[[#This Row],[Accepted_Campaign_4]]+Table1[[#This Row],[Accepted_Campaign_3]])</f>
        <v>0</v>
      </c>
      <c r="AC1282">
        <v>0</v>
      </c>
      <c r="AD1282">
        <v>0</v>
      </c>
    </row>
    <row r="1283" spans="1:30" x14ac:dyDescent="0.25">
      <c r="A1283">
        <v>41549</v>
      </c>
      <c r="B1283">
        <v>7369</v>
      </c>
      <c r="C1283">
        <v>1981</v>
      </c>
      <c r="D1283" t="s">
        <v>8</v>
      </c>
      <c r="E1283" t="s">
        <v>18</v>
      </c>
      <c r="F1283" t="s">
        <v>11</v>
      </c>
      <c r="G1283">
        <v>36959</v>
      </c>
      <c r="H1283">
        <v>1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f>SUM(Table1[[#This Row],[Gold Spending]]+Table1[[#This Row],[Sweet Spending]]+Table1[[#This Row],[Fish Spending]]+Table1[[#This Row],[Meat Spending]]+Table1[[#This Row],[Fruits Spending]]+Table1[[#This Row],[Wine Spending ]])</f>
        <v>62</v>
      </c>
      <c r="Q1283">
        <v>2</v>
      </c>
      <c r="R1283">
        <v>2</v>
      </c>
      <c r="S1283">
        <v>0</v>
      </c>
      <c r="T1283">
        <v>3</v>
      </c>
      <c r="U1283">
        <f>SUM(Table1[[#This Row],[Store_Purchases]]+Table1[[#This Row],[Catalog_Purchases]]+Table1[[#This Row],[Web_Purchases]]+Table1[[#This Row],[Deal_Purchases]])</f>
        <v>7</v>
      </c>
      <c r="V1283">
        <v>8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f>SUM(Table1[[#This Row],[Accepted_Campaign_2]]+Table1[[#This Row],[Accepted_Campaign_1]]+Table1[[#This Row],[Accepted_Campaign_5]]+Table1[[#This Row],[Accepted_Campaign_4]]+Table1[[#This Row],[Accepted_Campaign_3]])</f>
        <v>0</v>
      </c>
      <c r="AC1283">
        <v>0</v>
      </c>
      <c r="AD1283">
        <v>0</v>
      </c>
    </row>
    <row r="1284" spans="1:30" x14ac:dyDescent="0.25">
      <c r="A1284">
        <v>41504</v>
      </c>
      <c r="B1284">
        <v>4381</v>
      </c>
      <c r="C1284">
        <v>1971</v>
      </c>
      <c r="D1284" t="s">
        <v>8</v>
      </c>
      <c r="E1284" t="s">
        <v>14</v>
      </c>
      <c r="F1284" t="s">
        <v>11</v>
      </c>
      <c r="G1284">
        <v>46463</v>
      </c>
      <c r="H1284">
        <v>2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f>SUM(Table1[[#This Row],[Gold Spending]]+Table1[[#This Row],[Sweet Spending]]+Table1[[#This Row],[Fish Spending]]+Table1[[#This Row],[Meat Spending]]+Table1[[#This Row],[Fruits Spending]]+Table1[[#This Row],[Wine Spending ]])</f>
        <v>235</v>
      </c>
      <c r="Q1284">
        <v>7</v>
      </c>
      <c r="R1284">
        <v>3</v>
      </c>
      <c r="S1284">
        <v>1</v>
      </c>
      <c r="T1284">
        <v>6</v>
      </c>
      <c r="U1284">
        <f>SUM(Table1[[#This Row],[Store_Purchases]]+Table1[[#This Row],[Catalog_Purchases]]+Table1[[#This Row],[Web_Purchases]]+Table1[[#This Row],[Deal_Purchases]])</f>
        <v>17</v>
      </c>
      <c r="V1284">
        <v>6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f>SUM(Table1[[#This Row],[Accepted_Campaign_2]]+Table1[[#This Row],[Accepted_Campaign_1]]+Table1[[#This Row],[Accepted_Campaign_5]]+Table1[[#This Row],[Accepted_Campaign_4]]+Table1[[#This Row],[Accepted_Campaign_3]])</f>
        <v>0</v>
      </c>
      <c r="AC1284">
        <v>0</v>
      </c>
      <c r="AD1284">
        <v>0</v>
      </c>
    </row>
    <row r="1285" spans="1:30" x14ac:dyDescent="0.25">
      <c r="A1285">
        <v>41493</v>
      </c>
      <c r="B1285">
        <v>9964</v>
      </c>
      <c r="C1285">
        <v>1979</v>
      </c>
      <c r="D1285" t="s">
        <v>8</v>
      </c>
      <c r="E1285" t="s">
        <v>6</v>
      </c>
      <c r="F1285" t="s">
        <v>9</v>
      </c>
      <c r="G1285">
        <v>61825</v>
      </c>
      <c r="H1285">
        <v>1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f>SUM(Table1[[#This Row],[Gold Spending]]+Table1[[#This Row],[Sweet Spending]]+Table1[[#This Row],[Fish Spending]]+Table1[[#This Row],[Meat Spending]]+Table1[[#This Row],[Fruits Spending]]+Table1[[#This Row],[Wine Spending ]])</f>
        <v>424</v>
      </c>
      <c r="Q1285">
        <v>1</v>
      </c>
      <c r="R1285">
        <v>4</v>
      </c>
      <c r="S1285">
        <v>2</v>
      </c>
      <c r="T1285">
        <v>8</v>
      </c>
      <c r="U1285">
        <f>SUM(Table1[[#This Row],[Store_Purchases]]+Table1[[#This Row],[Catalog_Purchases]]+Table1[[#This Row],[Web_Purchases]]+Table1[[#This Row],[Deal_Purchases]])</f>
        <v>15</v>
      </c>
      <c r="V1285">
        <v>4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f>SUM(Table1[[#This Row],[Accepted_Campaign_2]]+Table1[[#This Row],[Accepted_Campaign_1]]+Table1[[#This Row],[Accepted_Campaign_5]]+Table1[[#This Row],[Accepted_Campaign_4]]+Table1[[#This Row],[Accepted_Campaign_3]])</f>
        <v>0</v>
      </c>
      <c r="AC1285">
        <v>0</v>
      </c>
      <c r="AD1285">
        <v>0</v>
      </c>
    </row>
    <row r="1286" spans="1:30" x14ac:dyDescent="0.25">
      <c r="A1286">
        <v>41493</v>
      </c>
      <c r="B1286">
        <v>1630</v>
      </c>
      <c r="C1286">
        <v>1979</v>
      </c>
      <c r="D1286" t="s">
        <v>8</v>
      </c>
      <c r="E1286" t="s">
        <v>6</v>
      </c>
      <c r="F1286" t="s">
        <v>9</v>
      </c>
      <c r="G1286">
        <v>61825</v>
      </c>
      <c r="H1286">
        <v>1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f>SUM(Table1[[#This Row],[Gold Spending]]+Table1[[#This Row],[Sweet Spending]]+Table1[[#This Row],[Fish Spending]]+Table1[[#This Row],[Meat Spending]]+Table1[[#This Row],[Fruits Spending]]+Table1[[#This Row],[Wine Spending ]])</f>
        <v>424</v>
      </c>
      <c r="Q1286">
        <v>1</v>
      </c>
      <c r="R1286">
        <v>4</v>
      </c>
      <c r="S1286">
        <v>2</v>
      </c>
      <c r="T1286">
        <v>8</v>
      </c>
      <c r="U1286">
        <f>SUM(Table1[[#This Row],[Store_Purchases]]+Table1[[#This Row],[Catalog_Purchases]]+Table1[[#This Row],[Web_Purchases]]+Table1[[#This Row],[Deal_Purchases]])</f>
        <v>15</v>
      </c>
      <c r="V1286">
        <v>4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f>SUM(Table1[[#This Row],[Accepted_Campaign_2]]+Table1[[#This Row],[Accepted_Campaign_1]]+Table1[[#This Row],[Accepted_Campaign_5]]+Table1[[#This Row],[Accepted_Campaign_4]]+Table1[[#This Row],[Accepted_Campaign_3]])</f>
        <v>0</v>
      </c>
      <c r="AC1286">
        <v>0</v>
      </c>
      <c r="AD1286">
        <v>0</v>
      </c>
    </row>
    <row r="1287" spans="1:30" x14ac:dyDescent="0.25">
      <c r="A1287">
        <v>41459</v>
      </c>
      <c r="B1287">
        <v>5012</v>
      </c>
      <c r="C1287">
        <v>1989</v>
      </c>
      <c r="D1287" t="s">
        <v>8</v>
      </c>
      <c r="E1287" t="s">
        <v>6</v>
      </c>
      <c r="F1287" t="s">
        <v>11</v>
      </c>
      <c r="G1287">
        <v>28691</v>
      </c>
      <c r="H1287">
        <v>1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f>SUM(Table1[[#This Row],[Gold Spending]]+Table1[[#This Row],[Sweet Spending]]+Table1[[#This Row],[Fish Spending]]+Table1[[#This Row],[Meat Spending]]+Table1[[#This Row],[Fruits Spending]]+Table1[[#This Row],[Wine Spending ]])</f>
        <v>34</v>
      </c>
      <c r="Q1287">
        <v>1</v>
      </c>
      <c r="R1287">
        <v>1</v>
      </c>
      <c r="S1287">
        <v>0</v>
      </c>
      <c r="T1287">
        <v>3</v>
      </c>
      <c r="U1287">
        <f>SUM(Table1[[#This Row],[Store_Purchases]]+Table1[[#This Row],[Catalog_Purchases]]+Table1[[#This Row],[Web_Purchases]]+Table1[[#This Row],[Deal_Purchases]])</f>
        <v>5</v>
      </c>
      <c r="V1287">
        <v>8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f>SUM(Table1[[#This Row],[Accepted_Campaign_2]]+Table1[[#This Row],[Accepted_Campaign_1]]+Table1[[#This Row],[Accepted_Campaign_5]]+Table1[[#This Row],[Accepted_Campaign_4]]+Table1[[#This Row],[Accepted_Campaign_3]])</f>
        <v>0</v>
      </c>
      <c r="AC1287">
        <v>0</v>
      </c>
      <c r="AD1287">
        <v>0</v>
      </c>
    </row>
    <row r="1288" spans="1:30" x14ac:dyDescent="0.25">
      <c r="A1288">
        <v>41459</v>
      </c>
      <c r="B1288">
        <v>6918</v>
      </c>
      <c r="C1288">
        <v>1989</v>
      </c>
      <c r="D1288" t="s">
        <v>8</v>
      </c>
      <c r="E1288" t="s">
        <v>6</v>
      </c>
      <c r="F1288" t="s">
        <v>11</v>
      </c>
      <c r="G1288">
        <v>28691</v>
      </c>
      <c r="H1288">
        <v>1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f>SUM(Table1[[#This Row],[Gold Spending]]+Table1[[#This Row],[Sweet Spending]]+Table1[[#This Row],[Fish Spending]]+Table1[[#This Row],[Meat Spending]]+Table1[[#This Row],[Fruits Spending]]+Table1[[#This Row],[Wine Spending ]])</f>
        <v>34</v>
      </c>
      <c r="Q1288">
        <v>1</v>
      </c>
      <c r="R1288">
        <v>1</v>
      </c>
      <c r="S1288">
        <v>0</v>
      </c>
      <c r="T1288">
        <v>3</v>
      </c>
      <c r="U1288">
        <f>SUM(Table1[[#This Row],[Store_Purchases]]+Table1[[#This Row],[Catalog_Purchases]]+Table1[[#This Row],[Web_Purchases]]+Table1[[#This Row],[Deal_Purchases]])</f>
        <v>5</v>
      </c>
      <c r="V1288">
        <v>8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f>SUM(Table1[[#This Row],[Accepted_Campaign_2]]+Table1[[#This Row],[Accepted_Campaign_1]]+Table1[[#This Row],[Accepted_Campaign_5]]+Table1[[#This Row],[Accepted_Campaign_4]]+Table1[[#This Row],[Accepted_Campaign_3]])</f>
        <v>0</v>
      </c>
      <c r="AC1288">
        <v>0</v>
      </c>
      <c r="AD1288">
        <v>0</v>
      </c>
    </row>
    <row r="1289" spans="1:30" x14ac:dyDescent="0.25">
      <c r="A1289">
        <v>41429</v>
      </c>
      <c r="B1289">
        <v>7822</v>
      </c>
      <c r="C1289">
        <v>1976</v>
      </c>
      <c r="D1289" t="s">
        <v>8</v>
      </c>
      <c r="E1289" t="s">
        <v>6</v>
      </c>
      <c r="F1289" t="s">
        <v>12</v>
      </c>
      <c r="G1289">
        <v>54058</v>
      </c>
      <c r="H1289">
        <v>1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f>SUM(Table1[[#This Row],[Gold Spending]]+Table1[[#This Row],[Sweet Spending]]+Table1[[#This Row],[Fish Spending]]+Table1[[#This Row],[Meat Spending]]+Table1[[#This Row],[Fruits Spending]]+Table1[[#This Row],[Wine Spending ]])</f>
        <v>662</v>
      </c>
      <c r="Q1289">
        <v>2</v>
      </c>
      <c r="R1289">
        <v>4</v>
      </c>
      <c r="S1289">
        <v>6</v>
      </c>
      <c r="T1289">
        <v>8</v>
      </c>
      <c r="U1289">
        <f>SUM(Table1[[#This Row],[Store_Purchases]]+Table1[[#This Row],[Catalog_Purchases]]+Table1[[#This Row],[Web_Purchases]]+Table1[[#This Row],[Deal_Purchases]])</f>
        <v>20</v>
      </c>
      <c r="V1289">
        <v>3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f>SUM(Table1[[#This Row],[Accepted_Campaign_2]]+Table1[[#This Row],[Accepted_Campaign_1]]+Table1[[#This Row],[Accepted_Campaign_5]]+Table1[[#This Row],[Accepted_Campaign_4]]+Table1[[#This Row],[Accepted_Campaign_3]])</f>
        <v>0</v>
      </c>
      <c r="AC1289">
        <v>0</v>
      </c>
      <c r="AD1289">
        <v>0</v>
      </c>
    </row>
    <row r="1290" spans="1:30" x14ac:dyDescent="0.25">
      <c r="A1290">
        <v>41428</v>
      </c>
      <c r="B1290">
        <v>10156</v>
      </c>
      <c r="C1290">
        <v>1975</v>
      </c>
      <c r="D1290" t="s">
        <v>8</v>
      </c>
      <c r="E1290" t="s">
        <v>6</v>
      </c>
      <c r="F1290" t="s">
        <v>9</v>
      </c>
      <c r="G1290">
        <v>84196</v>
      </c>
      <c r="H1290">
        <v>1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f>SUM(Table1[[#This Row],[Gold Spending]]+Table1[[#This Row],[Sweet Spending]]+Table1[[#This Row],[Fish Spending]]+Table1[[#This Row],[Meat Spending]]+Table1[[#This Row],[Fruits Spending]]+Table1[[#This Row],[Wine Spending ]])</f>
        <v>1237</v>
      </c>
      <c r="Q1290">
        <v>1</v>
      </c>
      <c r="R1290">
        <v>8</v>
      </c>
      <c r="S1290">
        <v>4</v>
      </c>
      <c r="T1290">
        <v>7</v>
      </c>
      <c r="U1290">
        <f>SUM(Table1[[#This Row],[Store_Purchases]]+Table1[[#This Row],[Catalog_Purchases]]+Table1[[#This Row],[Web_Purchases]]+Table1[[#This Row],[Deal_Purchases]])</f>
        <v>20</v>
      </c>
      <c r="V1290">
        <v>3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f>SUM(Table1[[#This Row],[Accepted_Campaign_2]]+Table1[[#This Row],[Accepted_Campaign_1]]+Table1[[#This Row],[Accepted_Campaign_5]]+Table1[[#This Row],[Accepted_Campaign_4]]+Table1[[#This Row],[Accepted_Campaign_3]])</f>
        <v>0</v>
      </c>
      <c r="AC1290">
        <v>0</v>
      </c>
      <c r="AD1290">
        <v>0</v>
      </c>
    </row>
    <row r="1291" spans="1:30" x14ac:dyDescent="0.25">
      <c r="A1291">
        <v>41405</v>
      </c>
      <c r="B1291">
        <v>3033</v>
      </c>
      <c r="C1291">
        <v>1963</v>
      </c>
      <c r="D1291" t="s">
        <v>13</v>
      </c>
      <c r="E1291" t="s">
        <v>18</v>
      </c>
      <c r="F1291" t="s">
        <v>12</v>
      </c>
      <c r="G1291">
        <v>38620</v>
      </c>
      <c r="H1291">
        <v>0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f>SUM(Table1[[#This Row],[Gold Spending]]+Table1[[#This Row],[Sweet Spending]]+Table1[[#This Row],[Fish Spending]]+Table1[[#This Row],[Meat Spending]]+Table1[[#This Row],[Fruits Spending]]+Table1[[#This Row],[Wine Spending ]])</f>
        <v>318</v>
      </c>
      <c r="Q1291">
        <v>1</v>
      </c>
      <c r="R1291">
        <v>2</v>
      </c>
      <c r="S1291">
        <v>5</v>
      </c>
      <c r="T1291">
        <v>3</v>
      </c>
      <c r="U1291">
        <f>SUM(Table1[[#This Row],[Store_Purchases]]+Table1[[#This Row],[Catalog_Purchases]]+Table1[[#This Row],[Web_Purchases]]+Table1[[#This Row],[Deal_Purchases]])</f>
        <v>11</v>
      </c>
      <c r="V1291">
        <v>3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f>SUM(Table1[[#This Row],[Accepted_Campaign_2]]+Table1[[#This Row],[Accepted_Campaign_1]]+Table1[[#This Row],[Accepted_Campaign_5]]+Table1[[#This Row],[Accepted_Campaign_4]]+Table1[[#This Row],[Accepted_Campaign_3]])</f>
        <v>0</v>
      </c>
      <c r="AC1291">
        <v>0</v>
      </c>
      <c r="AD1291">
        <v>0</v>
      </c>
    </row>
    <row r="1292" spans="1:30" x14ac:dyDescent="0.25">
      <c r="A1292">
        <v>41405</v>
      </c>
      <c r="B1292">
        <v>4119</v>
      </c>
      <c r="C1292">
        <v>1963</v>
      </c>
      <c r="D1292" t="s">
        <v>16</v>
      </c>
      <c r="E1292" t="s">
        <v>18</v>
      </c>
      <c r="F1292" t="s">
        <v>12</v>
      </c>
      <c r="G1292">
        <v>38620</v>
      </c>
      <c r="H1292">
        <v>0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f>SUM(Table1[[#This Row],[Gold Spending]]+Table1[[#This Row],[Sweet Spending]]+Table1[[#This Row],[Fish Spending]]+Table1[[#This Row],[Meat Spending]]+Table1[[#This Row],[Fruits Spending]]+Table1[[#This Row],[Wine Spending ]])</f>
        <v>318</v>
      </c>
      <c r="Q1292">
        <v>1</v>
      </c>
      <c r="R1292">
        <v>2</v>
      </c>
      <c r="S1292">
        <v>5</v>
      </c>
      <c r="T1292">
        <v>3</v>
      </c>
      <c r="U1292">
        <f>SUM(Table1[[#This Row],[Store_Purchases]]+Table1[[#This Row],[Catalog_Purchases]]+Table1[[#This Row],[Web_Purchases]]+Table1[[#This Row],[Deal_Purchases]])</f>
        <v>11</v>
      </c>
      <c r="V1292">
        <v>3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f>SUM(Table1[[#This Row],[Accepted_Campaign_2]]+Table1[[#This Row],[Accepted_Campaign_1]]+Table1[[#This Row],[Accepted_Campaign_5]]+Table1[[#This Row],[Accepted_Campaign_4]]+Table1[[#This Row],[Accepted_Campaign_3]])</f>
        <v>0</v>
      </c>
      <c r="AC1292">
        <v>0</v>
      </c>
      <c r="AD1292">
        <v>0</v>
      </c>
    </row>
    <row r="1293" spans="1:30" x14ac:dyDescent="0.25">
      <c r="A1293">
        <v>41377</v>
      </c>
      <c r="B1293">
        <v>11110</v>
      </c>
      <c r="C1293">
        <v>1973</v>
      </c>
      <c r="D1293" t="s">
        <v>17</v>
      </c>
      <c r="E1293" t="s">
        <v>6</v>
      </c>
      <c r="F1293" t="s">
        <v>9</v>
      </c>
      <c r="G1293">
        <v>3502</v>
      </c>
      <c r="H1293">
        <v>1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f>SUM(Table1[[#This Row],[Gold Spending]]+Table1[[#This Row],[Sweet Spending]]+Table1[[#This Row],[Fish Spending]]+Table1[[#This Row],[Meat Spending]]+Table1[[#This Row],[Fruits Spending]]+Table1[[#This Row],[Wine Spending ]])</f>
        <v>5</v>
      </c>
      <c r="Q1293">
        <v>0</v>
      </c>
      <c r="R1293">
        <v>0</v>
      </c>
      <c r="S1293">
        <v>0</v>
      </c>
      <c r="T1293">
        <v>0</v>
      </c>
      <c r="U1293">
        <f>SUM(Table1[[#This Row],[Store_Purchases]]+Table1[[#This Row],[Catalog_Purchases]]+Table1[[#This Row],[Web_Purchases]]+Table1[[#This Row],[Deal_Purchases]])</f>
        <v>0</v>
      </c>
      <c r="V1293">
        <v>14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f>SUM(Table1[[#This Row],[Accepted_Campaign_2]]+Table1[[#This Row],[Accepted_Campaign_1]]+Table1[[#This Row],[Accepted_Campaign_5]]+Table1[[#This Row],[Accepted_Campaign_4]]+Table1[[#This Row],[Accepted_Campaign_3]])</f>
        <v>0</v>
      </c>
      <c r="AC1293">
        <v>0</v>
      </c>
      <c r="AD1293">
        <v>0</v>
      </c>
    </row>
    <row r="1294" spans="1:30" x14ac:dyDescent="0.25">
      <c r="A1294">
        <v>41355</v>
      </c>
      <c r="B1294">
        <v>332</v>
      </c>
      <c r="C1294">
        <v>1957</v>
      </c>
      <c r="D1294" t="s">
        <v>8</v>
      </c>
      <c r="E1294" t="s">
        <v>6</v>
      </c>
      <c r="F1294" t="s">
        <v>11</v>
      </c>
      <c r="G1294">
        <v>47743</v>
      </c>
      <c r="H1294">
        <v>1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f>SUM(Table1[[#This Row],[Gold Spending]]+Table1[[#This Row],[Sweet Spending]]+Table1[[#This Row],[Fish Spending]]+Table1[[#This Row],[Meat Spending]]+Table1[[#This Row],[Fruits Spending]]+Table1[[#This Row],[Wine Spending ]])</f>
        <v>275</v>
      </c>
      <c r="Q1294">
        <v>3</v>
      </c>
      <c r="R1294">
        <v>4</v>
      </c>
      <c r="S1294">
        <v>1</v>
      </c>
      <c r="T1294">
        <v>6</v>
      </c>
      <c r="U1294">
        <f>SUM(Table1[[#This Row],[Store_Purchases]]+Table1[[#This Row],[Catalog_Purchases]]+Table1[[#This Row],[Web_Purchases]]+Table1[[#This Row],[Deal_Purchases]])</f>
        <v>14</v>
      </c>
      <c r="V1294">
        <v>6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f>SUM(Table1[[#This Row],[Accepted_Campaign_2]]+Table1[[#This Row],[Accepted_Campaign_1]]+Table1[[#This Row],[Accepted_Campaign_5]]+Table1[[#This Row],[Accepted_Campaign_4]]+Table1[[#This Row],[Accepted_Campaign_3]])</f>
        <v>1</v>
      </c>
      <c r="AC1294">
        <v>0</v>
      </c>
      <c r="AD1294">
        <v>0</v>
      </c>
    </row>
    <row r="1295" spans="1:30" x14ac:dyDescent="0.25">
      <c r="A1295">
        <v>41336</v>
      </c>
      <c r="B1295">
        <v>737</v>
      </c>
      <c r="C1295">
        <v>1949</v>
      </c>
      <c r="D1295" t="s">
        <v>8</v>
      </c>
      <c r="E1295" t="s">
        <v>14</v>
      </c>
      <c r="F1295" t="s">
        <v>11</v>
      </c>
      <c r="G1295">
        <v>80360</v>
      </c>
      <c r="H1295">
        <v>0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f>SUM(Table1[[#This Row],[Gold Spending]]+Table1[[#This Row],[Sweet Spending]]+Table1[[#This Row],[Fish Spending]]+Table1[[#This Row],[Meat Spending]]+Table1[[#This Row],[Fruits Spending]]+Table1[[#This Row],[Wine Spending ]])</f>
        <v>2231</v>
      </c>
      <c r="Q1295">
        <v>2</v>
      </c>
      <c r="R1295">
        <v>4</v>
      </c>
      <c r="S1295">
        <v>4</v>
      </c>
      <c r="T1295">
        <v>5</v>
      </c>
      <c r="U1295">
        <f>SUM(Table1[[#This Row],[Store_Purchases]]+Table1[[#This Row],[Catalog_Purchases]]+Table1[[#This Row],[Web_Purchases]]+Table1[[#This Row],[Deal_Purchases]])</f>
        <v>15</v>
      </c>
      <c r="V1295">
        <v>2</v>
      </c>
      <c r="W1295">
        <v>0</v>
      </c>
      <c r="X1295">
        <v>1</v>
      </c>
      <c r="Y1295">
        <v>1</v>
      </c>
      <c r="Z1295">
        <v>1</v>
      </c>
      <c r="AA1295">
        <v>0</v>
      </c>
      <c r="AB1295">
        <f>SUM(Table1[[#This Row],[Accepted_Campaign_2]]+Table1[[#This Row],[Accepted_Campaign_1]]+Table1[[#This Row],[Accepted_Campaign_5]]+Table1[[#This Row],[Accepted_Campaign_4]]+Table1[[#This Row],[Accepted_Campaign_3]])</f>
        <v>3</v>
      </c>
      <c r="AC1295">
        <v>0</v>
      </c>
      <c r="AD1295">
        <v>0</v>
      </c>
    </row>
    <row r="1296" spans="1:30" x14ac:dyDescent="0.25">
      <c r="A1296">
        <v>41331</v>
      </c>
      <c r="B1296">
        <v>10319</v>
      </c>
      <c r="C1296">
        <v>1971</v>
      </c>
      <c r="D1296" t="s">
        <v>8</v>
      </c>
      <c r="E1296" t="s">
        <v>6</v>
      </c>
      <c r="F1296" t="s">
        <v>11</v>
      </c>
      <c r="G1296">
        <v>66303</v>
      </c>
      <c r="H1296">
        <v>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f>SUM(Table1[[#This Row],[Gold Spending]]+Table1[[#This Row],[Sweet Spending]]+Table1[[#This Row],[Fish Spending]]+Table1[[#This Row],[Meat Spending]]+Table1[[#This Row],[Fruits Spending]]+Table1[[#This Row],[Wine Spending ]])</f>
        <v>1286</v>
      </c>
      <c r="Q1296">
        <v>4</v>
      </c>
      <c r="R1296">
        <v>3</v>
      </c>
      <c r="S1296">
        <v>4</v>
      </c>
      <c r="T1296">
        <v>11</v>
      </c>
      <c r="U1296">
        <f>SUM(Table1[[#This Row],[Store_Purchases]]+Table1[[#This Row],[Catalog_Purchases]]+Table1[[#This Row],[Web_Purchases]]+Table1[[#This Row],[Deal_Purchases]])</f>
        <v>22</v>
      </c>
      <c r="V1296">
        <v>8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f>SUM(Table1[[#This Row],[Accepted_Campaign_2]]+Table1[[#This Row],[Accepted_Campaign_1]]+Table1[[#This Row],[Accepted_Campaign_5]]+Table1[[#This Row],[Accepted_Campaign_4]]+Table1[[#This Row],[Accepted_Campaign_3]])</f>
        <v>1</v>
      </c>
      <c r="AC1296">
        <v>0</v>
      </c>
      <c r="AD1296">
        <v>0</v>
      </c>
    </row>
    <row r="1297" spans="1:30" x14ac:dyDescent="0.25">
      <c r="A1297">
        <v>41307</v>
      </c>
      <c r="B1297">
        <v>2683</v>
      </c>
      <c r="C1297">
        <v>1969</v>
      </c>
      <c r="D1297" t="s">
        <v>10</v>
      </c>
      <c r="E1297" t="s">
        <v>6</v>
      </c>
      <c r="F1297" t="s">
        <v>11</v>
      </c>
      <c r="G1297">
        <v>52413</v>
      </c>
      <c r="H1297">
        <v>2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f>SUM(Table1[[#This Row],[Gold Spending]]+Table1[[#This Row],[Sweet Spending]]+Table1[[#This Row],[Fish Spending]]+Table1[[#This Row],[Meat Spending]]+Table1[[#This Row],[Fruits Spending]]+Table1[[#This Row],[Wine Spending ]])</f>
        <v>910</v>
      </c>
      <c r="Q1297">
        <v>4</v>
      </c>
      <c r="R1297">
        <v>6</v>
      </c>
      <c r="S1297">
        <v>4</v>
      </c>
      <c r="T1297">
        <v>12</v>
      </c>
      <c r="U1297">
        <f>SUM(Table1[[#This Row],[Store_Purchases]]+Table1[[#This Row],[Catalog_Purchases]]+Table1[[#This Row],[Web_Purchases]]+Table1[[#This Row],[Deal_Purchases]])</f>
        <v>26</v>
      </c>
      <c r="V1297">
        <v>6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f>SUM(Table1[[#This Row],[Accepted_Campaign_2]]+Table1[[#This Row],[Accepted_Campaign_1]]+Table1[[#This Row],[Accepted_Campaign_5]]+Table1[[#This Row],[Accepted_Campaign_4]]+Table1[[#This Row],[Accepted_Campaign_3]])</f>
        <v>0</v>
      </c>
      <c r="AC1297">
        <v>0</v>
      </c>
      <c r="AD1297">
        <v>0</v>
      </c>
    </row>
    <row r="1298" spans="1:30" x14ac:dyDescent="0.25">
      <c r="A1298">
        <v>41291</v>
      </c>
      <c r="B1298">
        <v>3445</v>
      </c>
      <c r="C1298">
        <v>1956</v>
      </c>
      <c r="D1298" t="s">
        <v>20</v>
      </c>
      <c r="E1298" t="s">
        <v>6</v>
      </c>
      <c r="F1298" t="s">
        <v>9</v>
      </c>
      <c r="G1298">
        <v>60714</v>
      </c>
      <c r="H1298">
        <v>0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f>SUM(Table1[[#This Row],[Gold Spending]]+Table1[[#This Row],[Sweet Spending]]+Table1[[#This Row],[Fish Spending]]+Table1[[#This Row],[Meat Spending]]+Table1[[#This Row],[Fruits Spending]]+Table1[[#This Row],[Wine Spending ]])</f>
        <v>957</v>
      </c>
      <c r="Q1298">
        <v>2</v>
      </c>
      <c r="R1298">
        <v>7</v>
      </c>
      <c r="S1298">
        <v>4</v>
      </c>
      <c r="T1298">
        <v>10</v>
      </c>
      <c r="U1298">
        <f>SUM(Table1[[#This Row],[Store_Purchases]]+Table1[[#This Row],[Catalog_Purchases]]+Table1[[#This Row],[Web_Purchases]]+Table1[[#This Row],[Deal_Purchases]])</f>
        <v>23</v>
      </c>
      <c r="V1298">
        <v>5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f>SUM(Table1[[#This Row],[Accepted_Campaign_2]]+Table1[[#This Row],[Accepted_Campaign_1]]+Table1[[#This Row],[Accepted_Campaign_5]]+Table1[[#This Row],[Accepted_Campaign_4]]+Table1[[#This Row],[Accepted_Campaign_3]])</f>
        <v>0</v>
      </c>
      <c r="AC1298">
        <v>1</v>
      </c>
      <c r="AD1298">
        <v>0</v>
      </c>
    </row>
    <row r="1299" spans="1:30" x14ac:dyDescent="0.25">
      <c r="A1299">
        <v>41248</v>
      </c>
      <c r="B1299">
        <v>10913</v>
      </c>
      <c r="C1299">
        <v>1984</v>
      </c>
      <c r="D1299" t="s">
        <v>8</v>
      </c>
      <c r="E1299" t="s">
        <v>18</v>
      </c>
      <c r="F1299" t="s">
        <v>9</v>
      </c>
      <c r="G1299">
        <v>31385</v>
      </c>
      <c r="H1299">
        <v>1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f>SUM(Table1[[#This Row],[Gold Spending]]+Table1[[#This Row],[Sweet Spending]]+Table1[[#This Row],[Fish Spending]]+Table1[[#This Row],[Meat Spending]]+Table1[[#This Row],[Fruits Spending]]+Table1[[#This Row],[Wine Spending ]])</f>
        <v>27</v>
      </c>
      <c r="Q1299">
        <v>1</v>
      </c>
      <c r="R1299">
        <v>1</v>
      </c>
      <c r="S1299">
        <v>0</v>
      </c>
      <c r="T1299">
        <v>2</v>
      </c>
      <c r="U1299">
        <f>SUM(Table1[[#This Row],[Store_Purchases]]+Table1[[#This Row],[Catalog_Purchases]]+Table1[[#This Row],[Web_Purchases]]+Table1[[#This Row],[Deal_Purchases]])</f>
        <v>4</v>
      </c>
      <c r="V1299">
        <v>8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f>SUM(Table1[[#This Row],[Accepted_Campaign_2]]+Table1[[#This Row],[Accepted_Campaign_1]]+Table1[[#This Row],[Accepted_Campaign_5]]+Table1[[#This Row],[Accepted_Campaign_4]]+Table1[[#This Row],[Accepted_Campaign_3]])</f>
        <v>1</v>
      </c>
      <c r="AC1299">
        <v>1</v>
      </c>
      <c r="AD1299">
        <v>0</v>
      </c>
    </row>
    <row r="1300" spans="1:30" x14ac:dyDescent="0.25">
      <c r="A1300">
        <v>41170</v>
      </c>
      <c r="B1300">
        <v>4427</v>
      </c>
      <c r="C1300">
        <v>1995</v>
      </c>
      <c r="D1300" t="s">
        <v>8</v>
      </c>
      <c r="E1300" t="s">
        <v>15</v>
      </c>
      <c r="F1300" t="s">
        <v>9</v>
      </c>
      <c r="G1300">
        <v>83257</v>
      </c>
      <c r="H1300">
        <v>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f>SUM(Table1[[#This Row],[Gold Spending]]+Table1[[#This Row],[Sweet Spending]]+Table1[[#This Row],[Fish Spending]]+Table1[[#This Row],[Meat Spending]]+Table1[[#This Row],[Fruits Spending]]+Table1[[#This Row],[Wine Spending ]])</f>
        <v>1365</v>
      </c>
      <c r="Q1300">
        <v>1</v>
      </c>
      <c r="R1300">
        <v>5</v>
      </c>
      <c r="S1300">
        <v>10</v>
      </c>
      <c r="T1300">
        <v>12</v>
      </c>
      <c r="U1300">
        <f>SUM(Table1[[#This Row],[Store_Purchases]]+Table1[[#This Row],[Catalog_Purchases]]+Table1[[#This Row],[Web_Purchases]]+Table1[[#This Row],[Deal_Purchases]])</f>
        <v>28</v>
      </c>
      <c r="V1300">
        <v>6</v>
      </c>
      <c r="W1300">
        <v>1</v>
      </c>
      <c r="X1300">
        <v>0</v>
      </c>
      <c r="Y1300">
        <v>1</v>
      </c>
      <c r="Z1300">
        <v>0</v>
      </c>
      <c r="AA1300">
        <v>0</v>
      </c>
      <c r="AB1300">
        <f>SUM(Table1[[#This Row],[Accepted_Campaign_2]]+Table1[[#This Row],[Accepted_Campaign_1]]+Table1[[#This Row],[Accepted_Campaign_5]]+Table1[[#This Row],[Accepted_Campaign_4]]+Table1[[#This Row],[Accepted_Campaign_3]])</f>
        <v>2</v>
      </c>
      <c r="AC1300">
        <v>1</v>
      </c>
      <c r="AD1300">
        <v>1</v>
      </c>
    </row>
    <row r="1301" spans="1:30" x14ac:dyDescent="0.25">
      <c r="A1301">
        <v>41164</v>
      </c>
      <c r="B1301">
        <v>8717</v>
      </c>
      <c r="C1301">
        <v>1975</v>
      </c>
      <c r="D1301" t="s">
        <v>17</v>
      </c>
      <c r="E1301" t="s">
        <v>14</v>
      </c>
      <c r="F1301" t="s">
        <v>11</v>
      </c>
      <c r="G1301">
        <v>80427</v>
      </c>
      <c r="H1301">
        <v>1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f>SUM(Table1[[#This Row],[Gold Spending]]+Table1[[#This Row],[Sweet Spending]]+Table1[[#This Row],[Fish Spending]]+Table1[[#This Row],[Meat Spending]]+Table1[[#This Row],[Fruits Spending]]+Table1[[#This Row],[Wine Spending ]])</f>
        <v>1835</v>
      </c>
      <c r="Q1301">
        <v>1</v>
      </c>
      <c r="R1301">
        <v>11</v>
      </c>
      <c r="S1301">
        <v>8</v>
      </c>
      <c r="T1301">
        <v>8</v>
      </c>
      <c r="U1301">
        <f>SUM(Table1[[#This Row],[Store_Purchases]]+Table1[[#This Row],[Catalog_Purchases]]+Table1[[#This Row],[Web_Purchases]]+Table1[[#This Row],[Deal_Purchases]])</f>
        <v>28</v>
      </c>
      <c r="V1301">
        <v>5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f>SUM(Table1[[#This Row],[Accepted_Campaign_2]]+Table1[[#This Row],[Accepted_Campaign_1]]+Table1[[#This Row],[Accepted_Campaign_5]]+Table1[[#This Row],[Accepted_Campaign_4]]+Table1[[#This Row],[Accepted_Campaign_3]])</f>
        <v>0</v>
      </c>
      <c r="AC1301">
        <v>0</v>
      </c>
      <c r="AD1301">
        <v>0</v>
      </c>
    </row>
    <row r="1302" spans="1:30" x14ac:dyDescent="0.25">
      <c r="A1302">
        <v>41151</v>
      </c>
      <c r="B1302">
        <v>2066</v>
      </c>
      <c r="C1302">
        <v>1949</v>
      </c>
      <c r="D1302" t="s">
        <v>8</v>
      </c>
      <c r="E1302" t="s">
        <v>6</v>
      </c>
      <c r="F1302" t="s">
        <v>12</v>
      </c>
      <c r="G1302">
        <v>38823</v>
      </c>
      <c r="H1302">
        <v>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f>SUM(Table1[[#This Row],[Gold Spending]]+Table1[[#This Row],[Sweet Spending]]+Table1[[#This Row],[Fish Spending]]+Table1[[#This Row],[Meat Spending]]+Table1[[#This Row],[Fruits Spending]]+Table1[[#This Row],[Wine Spending ]])</f>
        <v>114</v>
      </c>
      <c r="Q1302">
        <v>1</v>
      </c>
      <c r="R1302">
        <v>2</v>
      </c>
      <c r="S1302">
        <v>1</v>
      </c>
      <c r="T1302">
        <v>3</v>
      </c>
      <c r="U1302">
        <f>SUM(Table1[[#This Row],[Store_Purchases]]+Table1[[#This Row],[Catalog_Purchases]]+Table1[[#This Row],[Web_Purchases]]+Table1[[#This Row],[Deal_Purchases]])</f>
        <v>7</v>
      </c>
      <c r="V1302">
        <v>6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f>SUM(Table1[[#This Row],[Accepted_Campaign_2]]+Table1[[#This Row],[Accepted_Campaign_1]]+Table1[[#This Row],[Accepted_Campaign_5]]+Table1[[#This Row],[Accepted_Campaign_4]]+Table1[[#This Row],[Accepted_Campaign_3]])</f>
        <v>0</v>
      </c>
      <c r="AC1302">
        <v>0</v>
      </c>
      <c r="AD1302">
        <v>0</v>
      </c>
    </row>
    <row r="1303" spans="1:30" x14ac:dyDescent="0.25">
      <c r="A1303">
        <v>41138</v>
      </c>
      <c r="B1303">
        <v>3340</v>
      </c>
      <c r="C1303">
        <v>1977</v>
      </c>
      <c r="D1303" t="s">
        <v>10</v>
      </c>
      <c r="E1303" t="s">
        <v>6</v>
      </c>
      <c r="F1303" t="s">
        <v>11</v>
      </c>
      <c r="G1303">
        <v>42014</v>
      </c>
      <c r="H1303">
        <v>1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f>SUM(Table1[[#This Row],[Gold Spending]]+Table1[[#This Row],[Sweet Spending]]+Table1[[#This Row],[Fish Spending]]+Table1[[#This Row],[Meat Spending]]+Table1[[#This Row],[Fruits Spending]]+Table1[[#This Row],[Wine Spending ]])</f>
        <v>436</v>
      </c>
      <c r="Q1303">
        <v>6</v>
      </c>
      <c r="R1303">
        <v>7</v>
      </c>
      <c r="S1303">
        <v>1</v>
      </c>
      <c r="T1303">
        <v>6</v>
      </c>
      <c r="U1303">
        <f>SUM(Table1[[#This Row],[Store_Purchases]]+Table1[[#This Row],[Catalog_Purchases]]+Table1[[#This Row],[Web_Purchases]]+Table1[[#This Row],[Deal_Purchases]])</f>
        <v>20</v>
      </c>
      <c r="V1303">
        <v>8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f>SUM(Table1[[#This Row],[Accepted_Campaign_2]]+Table1[[#This Row],[Accepted_Campaign_1]]+Table1[[#This Row],[Accepted_Campaign_5]]+Table1[[#This Row],[Accepted_Campaign_4]]+Table1[[#This Row],[Accepted_Campaign_3]])</f>
        <v>0</v>
      </c>
      <c r="AC1303">
        <v>1</v>
      </c>
      <c r="AD1303">
        <v>0</v>
      </c>
    </row>
    <row r="1304" spans="1:30" x14ac:dyDescent="0.25">
      <c r="A1304">
        <v>41138</v>
      </c>
      <c r="B1304">
        <v>8685</v>
      </c>
      <c r="C1304">
        <v>1977</v>
      </c>
      <c r="D1304" t="s">
        <v>20</v>
      </c>
      <c r="E1304" t="s">
        <v>6</v>
      </c>
      <c r="F1304" t="s">
        <v>11</v>
      </c>
      <c r="G1304">
        <v>42014</v>
      </c>
      <c r="H1304">
        <v>1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f>SUM(Table1[[#This Row],[Gold Spending]]+Table1[[#This Row],[Sweet Spending]]+Table1[[#This Row],[Fish Spending]]+Table1[[#This Row],[Meat Spending]]+Table1[[#This Row],[Fruits Spending]]+Table1[[#This Row],[Wine Spending ]])</f>
        <v>436</v>
      </c>
      <c r="Q1304">
        <v>6</v>
      </c>
      <c r="R1304">
        <v>7</v>
      </c>
      <c r="S1304">
        <v>1</v>
      </c>
      <c r="T1304">
        <v>6</v>
      </c>
      <c r="U1304">
        <f>SUM(Table1[[#This Row],[Store_Purchases]]+Table1[[#This Row],[Catalog_Purchases]]+Table1[[#This Row],[Web_Purchases]]+Table1[[#This Row],[Deal_Purchases]])</f>
        <v>20</v>
      </c>
      <c r="V1304">
        <v>8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f>SUM(Table1[[#This Row],[Accepted_Campaign_2]]+Table1[[#This Row],[Accepted_Campaign_1]]+Table1[[#This Row],[Accepted_Campaign_5]]+Table1[[#This Row],[Accepted_Campaign_4]]+Table1[[#This Row],[Accepted_Campaign_3]])</f>
        <v>0</v>
      </c>
      <c r="AC1304">
        <v>1</v>
      </c>
      <c r="AD1304">
        <v>0</v>
      </c>
    </row>
    <row r="1305" spans="1:30" x14ac:dyDescent="0.25">
      <c r="A1305">
        <v>41772</v>
      </c>
      <c r="B1305">
        <v>4149</v>
      </c>
      <c r="C1305">
        <v>1948</v>
      </c>
      <c r="D1305" t="s">
        <v>8</v>
      </c>
      <c r="E1305" t="s">
        <v>14</v>
      </c>
      <c r="F1305" t="s">
        <v>12</v>
      </c>
      <c r="G1305">
        <v>76140</v>
      </c>
      <c r="H1305">
        <v>0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f>SUM(Table1[[#This Row],[Gold Spending]]+Table1[[#This Row],[Sweet Spending]]+Table1[[#This Row],[Fish Spending]]+Table1[[#This Row],[Meat Spending]]+Table1[[#This Row],[Fruits Spending]]+Table1[[#This Row],[Wine Spending ]])</f>
        <v>1348</v>
      </c>
      <c r="Q1305">
        <v>1</v>
      </c>
      <c r="R1305">
        <v>5</v>
      </c>
      <c r="S1305">
        <v>9</v>
      </c>
      <c r="T1305">
        <v>6</v>
      </c>
      <c r="U1305">
        <f>SUM(Table1[[#This Row],[Store_Purchases]]+Table1[[#This Row],[Catalog_Purchases]]+Table1[[#This Row],[Web_Purchases]]+Table1[[#This Row],[Deal_Purchases]])</f>
        <v>21</v>
      </c>
      <c r="V1305">
        <v>2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f>SUM(Table1[[#This Row],[Accepted_Campaign_2]]+Table1[[#This Row],[Accepted_Campaign_1]]+Table1[[#This Row],[Accepted_Campaign_5]]+Table1[[#This Row],[Accepted_Campaign_4]]+Table1[[#This Row],[Accepted_Campaign_3]])</f>
        <v>0</v>
      </c>
      <c r="AC1305">
        <v>0</v>
      </c>
      <c r="AD1305">
        <v>0</v>
      </c>
    </row>
    <row r="1306" spans="1:30" x14ac:dyDescent="0.25">
      <c r="A1306">
        <v>41758</v>
      </c>
      <c r="B1306">
        <v>8726</v>
      </c>
      <c r="C1306">
        <v>1964</v>
      </c>
      <c r="D1306" t="s">
        <v>10</v>
      </c>
      <c r="E1306" t="s">
        <v>15</v>
      </c>
      <c r="F1306" t="s">
        <v>7</v>
      </c>
      <c r="G1306">
        <v>41713</v>
      </c>
      <c r="H1306">
        <v>2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f>SUM(Table1[[#This Row],[Gold Spending]]+Table1[[#This Row],[Sweet Spending]]+Table1[[#This Row],[Fish Spending]]+Table1[[#This Row],[Meat Spending]]+Table1[[#This Row],[Fruits Spending]]+Table1[[#This Row],[Wine Spending ]])</f>
        <v>174</v>
      </c>
      <c r="Q1306">
        <v>5</v>
      </c>
      <c r="R1306">
        <v>3</v>
      </c>
      <c r="S1306">
        <v>1</v>
      </c>
      <c r="T1306">
        <v>4</v>
      </c>
      <c r="U1306">
        <f>SUM(Table1[[#This Row],[Store_Purchases]]+Table1[[#This Row],[Catalog_Purchases]]+Table1[[#This Row],[Web_Purchases]]+Table1[[#This Row],[Deal_Purchases]])</f>
        <v>13</v>
      </c>
      <c r="V1306">
        <v>6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f>SUM(Table1[[#This Row],[Accepted_Campaign_2]]+Table1[[#This Row],[Accepted_Campaign_1]]+Table1[[#This Row],[Accepted_Campaign_5]]+Table1[[#This Row],[Accepted_Campaign_4]]+Table1[[#This Row],[Accepted_Campaign_3]])</f>
        <v>0</v>
      </c>
      <c r="AC1306">
        <v>0</v>
      </c>
      <c r="AD1306">
        <v>0</v>
      </c>
    </row>
    <row r="1307" spans="1:30" x14ac:dyDescent="0.25">
      <c r="A1307">
        <v>41672</v>
      </c>
      <c r="B1307">
        <v>2295</v>
      </c>
      <c r="C1307">
        <v>1954</v>
      </c>
      <c r="D1307" t="s">
        <v>20</v>
      </c>
      <c r="E1307" t="s">
        <v>14</v>
      </c>
      <c r="F1307" t="s">
        <v>11</v>
      </c>
      <c r="G1307">
        <v>62670</v>
      </c>
      <c r="H1307">
        <v>1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f>SUM(Table1[[#This Row],[Gold Spending]]+Table1[[#This Row],[Sweet Spending]]+Table1[[#This Row],[Fish Spending]]+Table1[[#This Row],[Meat Spending]]+Table1[[#This Row],[Fruits Spending]]+Table1[[#This Row],[Wine Spending ]])</f>
        <v>825</v>
      </c>
      <c r="Q1307">
        <v>1</v>
      </c>
      <c r="R1307">
        <v>5</v>
      </c>
      <c r="S1307">
        <v>3</v>
      </c>
      <c r="T1307">
        <v>13</v>
      </c>
      <c r="U1307">
        <f>SUM(Table1[[#This Row],[Store_Purchases]]+Table1[[#This Row],[Catalog_Purchases]]+Table1[[#This Row],[Web_Purchases]]+Table1[[#This Row],[Deal_Purchases]])</f>
        <v>22</v>
      </c>
      <c r="V1307">
        <v>3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f>SUM(Table1[[#This Row],[Accepted_Campaign_2]]+Table1[[#This Row],[Accepted_Campaign_1]]+Table1[[#This Row],[Accepted_Campaign_5]]+Table1[[#This Row],[Accepted_Campaign_4]]+Table1[[#This Row],[Accepted_Campaign_3]])</f>
        <v>0</v>
      </c>
      <c r="AC1307">
        <v>0</v>
      </c>
      <c r="AD1307">
        <v>0</v>
      </c>
    </row>
    <row r="1308" spans="1:30" x14ac:dyDescent="0.25">
      <c r="A1308">
        <v>41658</v>
      </c>
      <c r="B1308">
        <v>3283</v>
      </c>
      <c r="C1308">
        <v>1972</v>
      </c>
      <c r="D1308" t="s">
        <v>8</v>
      </c>
      <c r="E1308" t="s">
        <v>15</v>
      </c>
      <c r="F1308" t="s">
        <v>11</v>
      </c>
      <c r="G1308">
        <v>70932</v>
      </c>
      <c r="H1308">
        <v>1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f>SUM(Table1[[#This Row],[Gold Spending]]+Table1[[#This Row],[Sweet Spending]]+Table1[[#This Row],[Fish Spending]]+Table1[[#This Row],[Meat Spending]]+Table1[[#This Row],[Fruits Spending]]+Table1[[#This Row],[Wine Spending ]])</f>
        <v>909</v>
      </c>
      <c r="Q1308">
        <v>2</v>
      </c>
      <c r="R1308">
        <v>6</v>
      </c>
      <c r="S1308">
        <v>2</v>
      </c>
      <c r="T1308">
        <v>12</v>
      </c>
      <c r="U1308">
        <f>SUM(Table1[[#This Row],[Store_Purchases]]+Table1[[#This Row],[Catalog_Purchases]]+Table1[[#This Row],[Web_Purchases]]+Table1[[#This Row],[Deal_Purchases]])</f>
        <v>22</v>
      </c>
      <c r="V1308">
        <v>3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f>SUM(Table1[[#This Row],[Accepted_Campaign_2]]+Table1[[#This Row],[Accepted_Campaign_1]]+Table1[[#This Row],[Accepted_Campaign_5]]+Table1[[#This Row],[Accepted_Campaign_4]]+Table1[[#This Row],[Accepted_Campaign_3]])</f>
        <v>0</v>
      </c>
      <c r="AC1308">
        <v>0</v>
      </c>
      <c r="AD1308">
        <v>0</v>
      </c>
    </row>
    <row r="1309" spans="1:30" x14ac:dyDescent="0.25">
      <c r="A1309">
        <v>41620</v>
      </c>
      <c r="B1309">
        <v>1915</v>
      </c>
      <c r="C1309">
        <v>1951</v>
      </c>
      <c r="D1309" t="s">
        <v>16</v>
      </c>
      <c r="E1309" t="s">
        <v>14</v>
      </c>
      <c r="F1309" t="s">
        <v>11</v>
      </c>
      <c r="G1309">
        <v>78939</v>
      </c>
      <c r="H1309">
        <v>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f>SUM(Table1[[#This Row],[Gold Spending]]+Table1[[#This Row],[Sweet Spending]]+Table1[[#This Row],[Fish Spending]]+Table1[[#This Row],[Meat Spending]]+Table1[[#This Row],[Fruits Spending]]+Table1[[#This Row],[Wine Spending ]])</f>
        <v>1507</v>
      </c>
      <c r="Q1309">
        <v>1</v>
      </c>
      <c r="R1309">
        <v>8</v>
      </c>
      <c r="S1309">
        <v>5</v>
      </c>
      <c r="T1309">
        <v>6</v>
      </c>
      <c r="U1309">
        <f>SUM(Table1[[#This Row],[Store_Purchases]]+Table1[[#This Row],[Catalog_Purchases]]+Table1[[#This Row],[Web_Purchases]]+Table1[[#This Row],[Deal_Purchases]])</f>
        <v>20</v>
      </c>
      <c r="V1309">
        <v>3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f>SUM(Table1[[#This Row],[Accepted_Campaign_2]]+Table1[[#This Row],[Accepted_Campaign_1]]+Table1[[#This Row],[Accepted_Campaign_5]]+Table1[[#This Row],[Accepted_Campaign_4]]+Table1[[#This Row],[Accepted_Campaign_3]])</f>
        <v>0</v>
      </c>
      <c r="AC1309">
        <v>0</v>
      </c>
      <c r="AD1309">
        <v>0</v>
      </c>
    </row>
    <row r="1310" spans="1:30" x14ac:dyDescent="0.25">
      <c r="A1310">
        <v>41516</v>
      </c>
      <c r="B1310">
        <v>800</v>
      </c>
      <c r="C1310">
        <v>1960</v>
      </c>
      <c r="D1310" t="s">
        <v>20</v>
      </c>
      <c r="E1310" t="s">
        <v>6</v>
      </c>
      <c r="F1310" t="s">
        <v>12</v>
      </c>
      <c r="G1310">
        <v>44512</v>
      </c>
      <c r="H1310">
        <v>2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f>SUM(Table1[[#This Row],[Gold Spending]]+Table1[[#This Row],[Sweet Spending]]+Table1[[#This Row],[Fish Spending]]+Table1[[#This Row],[Meat Spending]]+Table1[[#This Row],[Fruits Spending]]+Table1[[#This Row],[Wine Spending ]])</f>
        <v>32</v>
      </c>
      <c r="Q1310">
        <v>2</v>
      </c>
      <c r="R1310">
        <v>1</v>
      </c>
      <c r="S1310">
        <v>0</v>
      </c>
      <c r="T1310">
        <v>3</v>
      </c>
      <c r="U1310">
        <f>SUM(Table1[[#This Row],[Store_Purchases]]+Table1[[#This Row],[Catalog_Purchases]]+Table1[[#This Row],[Web_Purchases]]+Table1[[#This Row],[Deal_Purchases]])</f>
        <v>6</v>
      </c>
      <c r="V1310">
        <v>4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f>SUM(Table1[[#This Row],[Accepted_Campaign_2]]+Table1[[#This Row],[Accepted_Campaign_1]]+Table1[[#This Row],[Accepted_Campaign_5]]+Table1[[#This Row],[Accepted_Campaign_4]]+Table1[[#This Row],[Accepted_Campaign_3]])</f>
        <v>0</v>
      </c>
      <c r="AC1310">
        <v>0</v>
      </c>
      <c r="AD1310">
        <v>0</v>
      </c>
    </row>
    <row r="1311" spans="1:30" x14ac:dyDescent="0.25">
      <c r="A1311">
        <v>41495</v>
      </c>
      <c r="B1311">
        <v>9166</v>
      </c>
      <c r="C1311">
        <v>1968</v>
      </c>
      <c r="D1311" t="s">
        <v>8</v>
      </c>
      <c r="E1311" t="s">
        <v>6</v>
      </c>
      <c r="F1311" t="s">
        <v>11</v>
      </c>
      <c r="G1311">
        <v>63967</v>
      </c>
      <c r="H1311">
        <v>1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f>SUM(Table1[[#This Row],[Gold Spending]]+Table1[[#This Row],[Sweet Spending]]+Table1[[#This Row],[Fish Spending]]+Table1[[#This Row],[Meat Spending]]+Table1[[#This Row],[Fruits Spending]]+Table1[[#This Row],[Wine Spending ]])</f>
        <v>882</v>
      </c>
      <c r="Q1311">
        <v>3</v>
      </c>
      <c r="R1311">
        <v>4</v>
      </c>
      <c r="S1311">
        <v>4</v>
      </c>
      <c r="T1311">
        <v>12</v>
      </c>
      <c r="U1311">
        <f>SUM(Table1[[#This Row],[Store_Purchases]]+Table1[[#This Row],[Catalog_Purchases]]+Table1[[#This Row],[Web_Purchases]]+Table1[[#This Row],[Deal_Purchases]])</f>
        <v>23</v>
      </c>
      <c r="V1311">
        <v>2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f>SUM(Table1[[#This Row],[Accepted_Campaign_2]]+Table1[[#This Row],[Accepted_Campaign_1]]+Table1[[#This Row],[Accepted_Campaign_5]]+Table1[[#This Row],[Accepted_Campaign_4]]+Table1[[#This Row],[Accepted_Campaign_3]])</f>
        <v>0</v>
      </c>
      <c r="AC1311">
        <v>0</v>
      </c>
      <c r="AD1311">
        <v>0</v>
      </c>
    </row>
    <row r="1312" spans="1:30" x14ac:dyDescent="0.25">
      <c r="A1312">
        <v>41484</v>
      </c>
      <c r="B1312">
        <v>5147</v>
      </c>
      <c r="C1312">
        <v>1948</v>
      </c>
      <c r="D1312" t="s">
        <v>8</v>
      </c>
      <c r="E1312" t="s">
        <v>6</v>
      </c>
      <c r="F1312" t="s">
        <v>9</v>
      </c>
      <c r="G1312">
        <v>90842</v>
      </c>
      <c r="H1312">
        <v>0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f>SUM(Table1[[#This Row],[Gold Spending]]+Table1[[#This Row],[Sweet Spending]]+Table1[[#This Row],[Fish Spending]]+Table1[[#This Row],[Meat Spending]]+Table1[[#This Row],[Fruits Spending]]+Table1[[#This Row],[Wine Spending ]])</f>
        <v>1424</v>
      </c>
      <c r="Q1312">
        <v>1</v>
      </c>
      <c r="R1312">
        <v>4</v>
      </c>
      <c r="S1312">
        <v>9</v>
      </c>
      <c r="T1312">
        <v>13</v>
      </c>
      <c r="U1312">
        <f>SUM(Table1[[#This Row],[Store_Purchases]]+Table1[[#This Row],[Catalog_Purchases]]+Table1[[#This Row],[Web_Purchases]]+Table1[[#This Row],[Deal_Purchases]])</f>
        <v>27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f>SUM(Table1[[#This Row],[Accepted_Campaign_2]]+Table1[[#This Row],[Accepted_Campaign_1]]+Table1[[#This Row],[Accepted_Campaign_5]]+Table1[[#This Row],[Accepted_Campaign_4]]+Table1[[#This Row],[Accepted_Campaign_3]])</f>
        <v>0</v>
      </c>
      <c r="AC1312">
        <v>0</v>
      </c>
      <c r="AD1312">
        <v>0</v>
      </c>
    </row>
    <row r="1313" spans="1:30" x14ac:dyDescent="0.25">
      <c r="A1313">
        <v>41477</v>
      </c>
      <c r="B1313">
        <v>13</v>
      </c>
      <c r="C1313">
        <v>1947</v>
      </c>
      <c r="D1313" t="s">
        <v>20</v>
      </c>
      <c r="E1313" t="s">
        <v>14</v>
      </c>
      <c r="F1313" t="s">
        <v>19</v>
      </c>
      <c r="G1313">
        <v>25358</v>
      </c>
      <c r="H1313">
        <v>1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f>SUM(Table1[[#This Row],[Gold Spending]]+Table1[[#This Row],[Sweet Spending]]+Table1[[#This Row],[Fish Spending]]+Table1[[#This Row],[Meat Spending]]+Table1[[#This Row],[Fruits Spending]]+Table1[[#This Row],[Wine Spending ]])</f>
        <v>32</v>
      </c>
      <c r="Q1313">
        <v>2</v>
      </c>
      <c r="R1313">
        <v>1</v>
      </c>
      <c r="S1313">
        <v>0</v>
      </c>
      <c r="T1313">
        <v>3</v>
      </c>
      <c r="U1313">
        <f>SUM(Table1[[#This Row],[Store_Purchases]]+Table1[[#This Row],[Catalog_Purchases]]+Table1[[#This Row],[Web_Purchases]]+Table1[[#This Row],[Deal_Purchases]])</f>
        <v>6</v>
      </c>
      <c r="V1313">
        <v>6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f>SUM(Table1[[#This Row],[Accepted_Campaign_2]]+Table1[[#This Row],[Accepted_Campaign_1]]+Table1[[#This Row],[Accepted_Campaign_5]]+Table1[[#This Row],[Accepted_Campaign_4]]+Table1[[#This Row],[Accepted_Campaign_3]])</f>
        <v>0</v>
      </c>
      <c r="AC1313">
        <v>0</v>
      </c>
      <c r="AD1313">
        <v>0</v>
      </c>
    </row>
    <row r="1314" spans="1:30" x14ac:dyDescent="0.25">
      <c r="A1314">
        <v>41442</v>
      </c>
      <c r="B1314">
        <v>8557</v>
      </c>
      <c r="C1314">
        <v>1982</v>
      </c>
      <c r="D1314" t="s">
        <v>13</v>
      </c>
      <c r="E1314" t="s">
        <v>6</v>
      </c>
      <c r="F1314" t="s">
        <v>9</v>
      </c>
      <c r="G1314">
        <v>53790.45</v>
      </c>
      <c r="H1314">
        <v>1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1314">
        <v>2</v>
      </c>
      <c r="R1314">
        <v>2</v>
      </c>
      <c r="S1314">
        <v>0</v>
      </c>
      <c r="T1314">
        <v>3</v>
      </c>
      <c r="U1314">
        <f>SUM(Table1[[#This Row],[Store_Purchases]]+Table1[[#This Row],[Catalog_Purchases]]+Table1[[#This Row],[Web_Purchases]]+Table1[[#This Row],[Deal_Purchases]])</f>
        <v>7</v>
      </c>
      <c r="V1314">
        <v>6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f>SUM(Table1[[#This Row],[Accepted_Campaign_2]]+Table1[[#This Row],[Accepted_Campaign_1]]+Table1[[#This Row],[Accepted_Campaign_5]]+Table1[[#This Row],[Accepted_Campaign_4]]+Table1[[#This Row],[Accepted_Campaign_3]])</f>
        <v>0</v>
      </c>
      <c r="AC1314">
        <v>0</v>
      </c>
      <c r="AD1314">
        <v>0</v>
      </c>
    </row>
    <row r="1315" spans="1:30" x14ac:dyDescent="0.25">
      <c r="A1315">
        <v>41442</v>
      </c>
      <c r="B1315">
        <v>8724</v>
      </c>
      <c r="C1315">
        <v>1982</v>
      </c>
      <c r="D1315" t="s">
        <v>8</v>
      </c>
      <c r="E1315" t="s">
        <v>6</v>
      </c>
      <c r="F1315" t="s">
        <v>9</v>
      </c>
      <c r="G1315">
        <v>28567</v>
      </c>
      <c r="H1315">
        <v>1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1315">
        <v>2</v>
      </c>
      <c r="R1315">
        <v>2</v>
      </c>
      <c r="S1315">
        <v>0</v>
      </c>
      <c r="T1315">
        <v>3</v>
      </c>
      <c r="U1315">
        <f>SUM(Table1[[#This Row],[Store_Purchases]]+Table1[[#This Row],[Catalog_Purchases]]+Table1[[#This Row],[Web_Purchases]]+Table1[[#This Row],[Deal_Purchases]])</f>
        <v>7</v>
      </c>
      <c r="V1315">
        <v>6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f>SUM(Table1[[#This Row],[Accepted_Campaign_2]]+Table1[[#This Row],[Accepted_Campaign_1]]+Table1[[#This Row],[Accepted_Campaign_5]]+Table1[[#This Row],[Accepted_Campaign_4]]+Table1[[#This Row],[Accepted_Campaign_3]])</f>
        <v>0</v>
      </c>
      <c r="AC1315">
        <v>0</v>
      </c>
      <c r="AD1315">
        <v>0</v>
      </c>
    </row>
    <row r="1316" spans="1:30" x14ac:dyDescent="0.25">
      <c r="A1316">
        <v>41437</v>
      </c>
      <c r="B1316">
        <v>9381</v>
      </c>
      <c r="C1316">
        <v>1978</v>
      </c>
      <c r="D1316" t="s">
        <v>13</v>
      </c>
      <c r="E1316" t="s">
        <v>6</v>
      </c>
      <c r="F1316" t="s">
        <v>11</v>
      </c>
      <c r="G1316">
        <v>66373</v>
      </c>
      <c r="H1316">
        <v>2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f>SUM(Table1[[#This Row],[Gold Spending]]+Table1[[#This Row],[Sweet Spending]]+Table1[[#This Row],[Fish Spending]]+Table1[[#This Row],[Meat Spending]]+Table1[[#This Row],[Fruits Spending]]+Table1[[#This Row],[Wine Spending ]])</f>
        <v>606</v>
      </c>
      <c r="Q1316">
        <v>7</v>
      </c>
      <c r="R1316">
        <v>4</v>
      </c>
      <c r="S1316">
        <v>2</v>
      </c>
      <c r="T1316">
        <v>10</v>
      </c>
      <c r="U1316">
        <f>SUM(Table1[[#This Row],[Store_Purchases]]+Table1[[#This Row],[Catalog_Purchases]]+Table1[[#This Row],[Web_Purchases]]+Table1[[#This Row],[Deal_Purchases]])</f>
        <v>23</v>
      </c>
      <c r="V1316">
        <v>3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f>SUM(Table1[[#This Row],[Accepted_Campaign_2]]+Table1[[#This Row],[Accepted_Campaign_1]]+Table1[[#This Row],[Accepted_Campaign_5]]+Table1[[#This Row],[Accepted_Campaign_4]]+Table1[[#This Row],[Accepted_Campaign_3]])</f>
        <v>0</v>
      </c>
      <c r="AC1316">
        <v>0</v>
      </c>
      <c r="AD1316">
        <v>0</v>
      </c>
    </row>
    <row r="1317" spans="1:30" x14ac:dyDescent="0.25">
      <c r="A1317">
        <v>41437</v>
      </c>
      <c r="B1317">
        <v>9384</v>
      </c>
      <c r="C1317">
        <v>1978</v>
      </c>
      <c r="D1317" t="s">
        <v>13</v>
      </c>
      <c r="E1317" t="s">
        <v>6</v>
      </c>
      <c r="F1317" t="s">
        <v>11</v>
      </c>
      <c r="G1317">
        <v>66373</v>
      </c>
      <c r="H1317">
        <v>2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f>SUM(Table1[[#This Row],[Gold Spending]]+Table1[[#This Row],[Sweet Spending]]+Table1[[#This Row],[Fish Spending]]+Table1[[#This Row],[Meat Spending]]+Table1[[#This Row],[Fruits Spending]]+Table1[[#This Row],[Wine Spending ]])</f>
        <v>606</v>
      </c>
      <c r="Q1317">
        <v>7</v>
      </c>
      <c r="R1317">
        <v>4</v>
      </c>
      <c r="S1317">
        <v>2</v>
      </c>
      <c r="T1317">
        <v>10</v>
      </c>
      <c r="U1317">
        <f>SUM(Table1[[#This Row],[Store_Purchases]]+Table1[[#This Row],[Catalog_Purchases]]+Table1[[#This Row],[Web_Purchases]]+Table1[[#This Row],[Deal_Purchases]])</f>
        <v>23</v>
      </c>
      <c r="V1317">
        <v>3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f>SUM(Table1[[#This Row],[Accepted_Campaign_2]]+Table1[[#This Row],[Accepted_Campaign_1]]+Table1[[#This Row],[Accepted_Campaign_5]]+Table1[[#This Row],[Accepted_Campaign_4]]+Table1[[#This Row],[Accepted_Campaign_3]])</f>
        <v>0</v>
      </c>
      <c r="AC1317">
        <v>0</v>
      </c>
      <c r="AD1317">
        <v>0</v>
      </c>
    </row>
    <row r="1318" spans="1:30" x14ac:dyDescent="0.25">
      <c r="A1318">
        <v>41406</v>
      </c>
      <c r="B1318">
        <v>3560</v>
      </c>
      <c r="C1318">
        <v>1952</v>
      </c>
      <c r="D1318" t="s">
        <v>16</v>
      </c>
      <c r="E1318" t="s">
        <v>6</v>
      </c>
      <c r="F1318" t="s">
        <v>12</v>
      </c>
      <c r="G1318">
        <v>83844</v>
      </c>
      <c r="H1318">
        <v>0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f>SUM(Table1[[#This Row],[Gold Spending]]+Table1[[#This Row],[Sweet Spending]]+Table1[[#This Row],[Fish Spending]]+Table1[[#This Row],[Meat Spending]]+Table1[[#This Row],[Fruits Spending]]+Table1[[#This Row],[Wine Spending ]])</f>
        <v>1574</v>
      </c>
      <c r="Q1318">
        <v>1</v>
      </c>
      <c r="R1318">
        <v>4</v>
      </c>
      <c r="S1318">
        <v>4</v>
      </c>
      <c r="T1318">
        <v>11</v>
      </c>
      <c r="U1318">
        <f>SUM(Table1[[#This Row],[Store_Purchases]]+Table1[[#This Row],[Catalog_Purchases]]+Table1[[#This Row],[Web_Purchases]]+Table1[[#This Row],[Deal_Purchases]])</f>
        <v>20</v>
      </c>
      <c r="V1318">
        <v>1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f>SUM(Table1[[#This Row],[Accepted_Campaign_2]]+Table1[[#This Row],[Accepted_Campaign_1]]+Table1[[#This Row],[Accepted_Campaign_5]]+Table1[[#This Row],[Accepted_Campaign_4]]+Table1[[#This Row],[Accepted_Campaign_3]])</f>
        <v>1</v>
      </c>
      <c r="AC1318">
        <v>0</v>
      </c>
      <c r="AD1318">
        <v>0</v>
      </c>
    </row>
    <row r="1319" spans="1:30" x14ac:dyDescent="0.25">
      <c r="A1319">
        <v>41406</v>
      </c>
      <c r="B1319">
        <v>241</v>
      </c>
      <c r="C1319">
        <v>1952</v>
      </c>
      <c r="D1319" t="s">
        <v>8</v>
      </c>
      <c r="E1319" t="s">
        <v>6</v>
      </c>
      <c r="F1319" t="s">
        <v>12</v>
      </c>
      <c r="G1319">
        <v>83844</v>
      </c>
      <c r="H1319">
        <v>0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f>SUM(Table1[[#This Row],[Gold Spending]]+Table1[[#This Row],[Sweet Spending]]+Table1[[#This Row],[Fish Spending]]+Table1[[#This Row],[Meat Spending]]+Table1[[#This Row],[Fruits Spending]]+Table1[[#This Row],[Wine Spending ]])</f>
        <v>1574</v>
      </c>
      <c r="Q1319">
        <v>1</v>
      </c>
      <c r="R1319">
        <v>4</v>
      </c>
      <c r="S1319">
        <v>4</v>
      </c>
      <c r="T1319">
        <v>11</v>
      </c>
      <c r="U1319">
        <f>SUM(Table1[[#This Row],[Store_Purchases]]+Table1[[#This Row],[Catalog_Purchases]]+Table1[[#This Row],[Web_Purchases]]+Table1[[#This Row],[Deal_Purchases]])</f>
        <v>20</v>
      </c>
      <c r="V1319">
        <v>1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f>SUM(Table1[[#This Row],[Accepted_Campaign_2]]+Table1[[#This Row],[Accepted_Campaign_1]]+Table1[[#This Row],[Accepted_Campaign_5]]+Table1[[#This Row],[Accepted_Campaign_4]]+Table1[[#This Row],[Accepted_Campaign_3]])</f>
        <v>1</v>
      </c>
      <c r="AC1319">
        <v>0</v>
      </c>
      <c r="AD1319">
        <v>0</v>
      </c>
    </row>
    <row r="1320" spans="1:30" x14ac:dyDescent="0.25">
      <c r="A1320">
        <v>41406</v>
      </c>
      <c r="B1320">
        <v>7521</v>
      </c>
      <c r="C1320">
        <v>1952</v>
      </c>
      <c r="D1320" t="s">
        <v>10</v>
      </c>
      <c r="E1320" t="s">
        <v>6</v>
      </c>
      <c r="F1320" t="s">
        <v>12</v>
      </c>
      <c r="G1320">
        <v>83844</v>
      </c>
      <c r="H1320">
        <v>0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f>SUM(Table1[[#This Row],[Gold Spending]]+Table1[[#This Row],[Sweet Spending]]+Table1[[#This Row],[Fish Spending]]+Table1[[#This Row],[Meat Spending]]+Table1[[#This Row],[Fruits Spending]]+Table1[[#This Row],[Wine Spending ]])</f>
        <v>1574</v>
      </c>
      <c r="Q1320">
        <v>1</v>
      </c>
      <c r="R1320">
        <v>4</v>
      </c>
      <c r="S1320">
        <v>4</v>
      </c>
      <c r="T1320">
        <v>11</v>
      </c>
      <c r="U1320">
        <f>SUM(Table1[[#This Row],[Store_Purchases]]+Table1[[#This Row],[Catalog_Purchases]]+Table1[[#This Row],[Web_Purchases]]+Table1[[#This Row],[Deal_Purchases]])</f>
        <v>20</v>
      </c>
      <c r="V1320">
        <v>1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f>SUM(Table1[[#This Row],[Accepted_Campaign_2]]+Table1[[#This Row],[Accepted_Campaign_1]]+Table1[[#This Row],[Accepted_Campaign_5]]+Table1[[#This Row],[Accepted_Campaign_4]]+Table1[[#This Row],[Accepted_Campaign_3]])</f>
        <v>1</v>
      </c>
      <c r="AC1320">
        <v>0</v>
      </c>
      <c r="AD1320">
        <v>0</v>
      </c>
    </row>
    <row r="1321" spans="1:30" x14ac:dyDescent="0.25">
      <c r="A1321">
        <v>41402</v>
      </c>
      <c r="B1321">
        <v>9799</v>
      </c>
      <c r="C1321">
        <v>1968</v>
      </c>
      <c r="D1321" t="s">
        <v>8</v>
      </c>
      <c r="E1321" t="s">
        <v>14</v>
      </c>
      <c r="F1321" t="s">
        <v>7</v>
      </c>
      <c r="G1321">
        <v>83664</v>
      </c>
      <c r="H1321">
        <v>2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f>SUM(Table1[[#This Row],[Gold Spending]]+Table1[[#This Row],[Sweet Spending]]+Table1[[#This Row],[Fish Spending]]+Table1[[#This Row],[Meat Spending]]+Table1[[#This Row],[Fruits Spending]]+Table1[[#This Row],[Wine Spending ]])</f>
        <v>1173</v>
      </c>
      <c r="Q1321">
        <v>3</v>
      </c>
      <c r="R1321">
        <v>2</v>
      </c>
      <c r="S1321">
        <v>2</v>
      </c>
      <c r="T1321">
        <v>12</v>
      </c>
      <c r="U1321">
        <f>SUM(Table1[[#This Row],[Store_Purchases]]+Table1[[#This Row],[Catalog_Purchases]]+Table1[[#This Row],[Web_Purchases]]+Table1[[#This Row],[Deal_Purchases]])</f>
        <v>19</v>
      </c>
      <c r="V1321">
        <v>5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f>SUM(Table1[[#This Row],[Accepted_Campaign_2]]+Table1[[#This Row],[Accepted_Campaign_1]]+Table1[[#This Row],[Accepted_Campaign_5]]+Table1[[#This Row],[Accepted_Campaign_4]]+Table1[[#This Row],[Accepted_Campaign_3]])</f>
        <v>0</v>
      </c>
      <c r="AC1321">
        <v>0</v>
      </c>
      <c r="AD1321">
        <v>0</v>
      </c>
    </row>
    <row r="1322" spans="1:30" x14ac:dyDescent="0.25">
      <c r="A1322">
        <v>41379</v>
      </c>
      <c r="B1322">
        <v>5123</v>
      </c>
      <c r="C1322">
        <v>1951</v>
      </c>
      <c r="D1322" t="s">
        <v>8</v>
      </c>
      <c r="E1322" t="s">
        <v>18</v>
      </c>
      <c r="F1322" t="s">
        <v>11</v>
      </c>
      <c r="G1322">
        <v>27450</v>
      </c>
      <c r="H1322">
        <v>0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f>SUM(Table1[[#This Row],[Gold Spending]]+Table1[[#This Row],[Sweet Spending]]+Table1[[#This Row],[Fish Spending]]+Table1[[#This Row],[Meat Spending]]+Table1[[#This Row],[Fruits Spending]]+Table1[[#This Row],[Wine Spending ]])</f>
        <v>143</v>
      </c>
      <c r="Q1322">
        <v>1</v>
      </c>
      <c r="R1322">
        <v>2</v>
      </c>
      <c r="S1322">
        <v>1</v>
      </c>
      <c r="T1322">
        <v>3</v>
      </c>
      <c r="U1322">
        <f>SUM(Table1[[#This Row],[Store_Purchases]]+Table1[[#This Row],[Catalog_Purchases]]+Table1[[#This Row],[Web_Purchases]]+Table1[[#This Row],[Deal_Purchases]])</f>
        <v>7</v>
      </c>
      <c r="V1322">
        <v>7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f>SUM(Table1[[#This Row],[Accepted_Campaign_2]]+Table1[[#This Row],[Accepted_Campaign_1]]+Table1[[#This Row],[Accepted_Campaign_5]]+Table1[[#This Row],[Accepted_Campaign_4]]+Table1[[#This Row],[Accepted_Campaign_3]])</f>
        <v>0</v>
      </c>
      <c r="AC1322">
        <v>0</v>
      </c>
      <c r="AD1322">
        <v>0</v>
      </c>
    </row>
    <row r="1323" spans="1:30" x14ac:dyDescent="0.25">
      <c r="A1323">
        <v>41334</v>
      </c>
      <c r="B1323">
        <v>448</v>
      </c>
      <c r="C1323">
        <v>1978</v>
      </c>
      <c r="D1323" t="s">
        <v>8</v>
      </c>
      <c r="E1323" t="s">
        <v>14</v>
      </c>
      <c r="F1323" t="s">
        <v>9</v>
      </c>
      <c r="G1323">
        <v>54880</v>
      </c>
      <c r="H1323">
        <v>1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f>SUM(Table1[[#This Row],[Gold Spending]]+Table1[[#This Row],[Sweet Spending]]+Table1[[#This Row],[Fish Spending]]+Table1[[#This Row],[Meat Spending]]+Table1[[#This Row],[Fruits Spending]]+Table1[[#This Row],[Wine Spending ]])</f>
        <v>795</v>
      </c>
      <c r="Q1323">
        <v>2</v>
      </c>
      <c r="R1323">
        <v>6</v>
      </c>
      <c r="S1323">
        <v>2</v>
      </c>
      <c r="T1323">
        <v>11</v>
      </c>
      <c r="U1323">
        <f>SUM(Table1[[#This Row],[Store_Purchases]]+Table1[[#This Row],[Catalog_Purchases]]+Table1[[#This Row],[Web_Purchases]]+Table1[[#This Row],[Deal_Purchases]])</f>
        <v>21</v>
      </c>
      <c r="V1323">
        <v>5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f>SUM(Table1[[#This Row],[Accepted_Campaign_2]]+Table1[[#This Row],[Accepted_Campaign_1]]+Table1[[#This Row],[Accepted_Campaign_5]]+Table1[[#This Row],[Accepted_Campaign_4]]+Table1[[#This Row],[Accepted_Campaign_3]])</f>
        <v>0</v>
      </c>
      <c r="AC1323">
        <v>0</v>
      </c>
      <c r="AD1323">
        <v>0</v>
      </c>
    </row>
    <row r="1324" spans="1:30" x14ac:dyDescent="0.25">
      <c r="A1324">
        <v>41321</v>
      </c>
      <c r="B1324">
        <v>4837</v>
      </c>
      <c r="C1324">
        <v>1965</v>
      </c>
      <c r="D1324" t="s">
        <v>8</v>
      </c>
      <c r="E1324" t="s">
        <v>14</v>
      </c>
      <c r="F1324" t="s">
        <v>11</v>
      </c>
      <c r="G1324">
        <v>71322</v>
      </c>
      <c r="H1324">
        <v>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f>SUM(Table1[[#This Row],[Gold Spending]]+Table1[[#This Row],[Sweet Spending]]+Table1[[#This Row],[Fish Spending]]+Table1[[#This Row],[Meat Spending]]+Table1[[#This Row],[Fruits Spending]]+Table1[[#This Row],[Wine Spending ]])</f>
        <v>1305</v>
      </c>
      <c r="Q1324">
        <v>2</v>
      </c>
      <c r="R1324">
        <v>8</v>
      </c>
      <c r="S1324">
        <v>5</v>
      </c>
      <c r="T1324">
        <v>13</v>
      </c>
      <c r="U1324">
        <f>SUM(Table1[[#This Row],[Store_Purchases]]+Table1[[#This Row],[Catalog_Purchases]]+Table1[[#This Row],[Web_Purchases]]+Table1[[#This Row],[Deal_Purchases]])</f>
        <v>28</v>
      </c>
      <c r="V1324">
        <v>4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f>SUM(Table1[[#This Row],[Accepted_Campaign_2]]+Table1[[#This Row],[Accepted_Campaign_1]]+Table1[[#This Row],[Accepted_Campaign_5]]+Table1[[#This Row],[Accepted_Campaign_4]]+Table1[[#This Row],[Accepted_Campaign_3]])</f>
        <v>0</v>
      </c>
      <c r="AC1324">
        <v>0</v>
      </c>
      <c r="AD1324">
        <v>0</v>
      </c>
    </row>
    <row r="1325" spans="1:30" x14ac:dyDescent="0.25">
      <c r="A1325">
        <v>41265</v>
      </c>
      <c r="B1325">
        <v>9365</v>
      </c>
      <c r="C1325">
        <v>1976</v>
      </c>
      <c r="D1325" t="s">
        <v>8</v>
      </c>
      <c r="E1325" t="s">
        <v>14</v>
      </c>
      <c r="F1325" t="s">
        <v>9</v>
      </c>
      <c r="G1325">
        <v>60000</v>
      </c>
      <c r="H1325">
        <v>1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f>SUM(Table1[[#This Row],[Gold Spending]]+Table1[[#This Row],[Sweet Spending]]+Table1[[#This Row],[Fish Spending]]+Table1[[#This Row],[Meat Spending]]+Table1[[#This Row],[Fruits Spending]]+Table1[[#This Row],[Wine Spending ]])</f>
        <v>1277</v>
      </c>
      <c r="Q1325">
        <v>5</v>
      </c>
      <c r="R1325">
        <v>11</v>
      </c>
      <c r="S1325">
        <v>3</v>
      </c>
      <c r="T1325">
        <v>5</v>
      </c>
      <c r="U1325">
        <f>SUM(Table1[[#This Row],[Store_Purchases]]+Table1[[#This Row],[Catalog_Purchases]]+Table1[[#This Row],[Web_Purchases]]+Table1[[#This Row],[Deal_Purchases]])</f>
        <v>24</v>
      </c>
      <c r="V1325">
        <v>6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f>SUM(Table1[[#This Row],[Accepted_Campaign_2]]+Table1[[#This Row],[Accepted_Campaign_1]]+Table1[[#This Row],[Accepted_Campaign_5]]+Table1[[#This Row],[Accepted_Campaign_4]]+Table1[[#This Row],[Accepted_Campaign_3]])</f>
        <v>0</v>
      </c>
      <c r="AC1325">
        <v>0</v>
      </c>
      <c r="AD1325">
        <v>0</v>
      </c>
    </row>
    <row r="1326" spans="1:30" x14ac:dyDescent="0.25">
      <c r="A1326">
        <v>41211</v>
      </c>
      <c r="B1326">
        <v>8932</v>
      </c>
      <c r="C1326">
        <v>1969</v>
      </c>
      <c r="D1326" t="s">
        <v>20</v>
      </c>
      <c r="E1326" t="s">
        <v>18</v>
      </c>
      <c r="F1326" t="s">
        <v>12</v>
      </c>
      <c r="G1326">
        <v>65176</v>
      </c>
      <c r="H1326">
        <v>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f>SUM(Table1[[#This Row],[Gold Spending]]+Table1[[#This Row],[Sweet Spending]]+Table1[[#This Row],[Fish Spending]]+Table1[[#This Row],[Meat Spending]]+Table1[[#This Row],[Fruits Spending]]+Table1[[#This Row],[Wine Spending ]])</f>
        <v>1531</v>
      </c>
      <c r="Q1326">
        <v>4</v>
      </c>
      <c r="R1326">
        <v>9</v>
      </c>
      <c r="S1326">
        <v>6</v>
      </c>
      <c r="T1326">
        <v>6</v>
      </c>
      <c r="U1326">
        <f>SUM(Table1[[#This Row],[Store_Purchases]]+Table1[[#This Row],[Catalog_Purchases]]+Table1[[#This Row],[Web_Purchases]]+Table1[[#This Row],[Deal_Purchases]])</f>
        <v>25</v>
      </c>
      <c r="V1326">
        <v>6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f>SUM(Table1[[#This Row],[Accepted_Campaign_2]]+Table1[[#This Row],[Accepted_Campaign_1]]+Table1[[#This Row],[Accepted_Campaign_5]]+Table1[[#This Row],[Accepted_Campaign_4]]+Table1[[#This Row],[Accepted_Campaign_3]])</f>
        <v>0</v>
      </c>
      <c r="AC1326">
        <v>0</v>
      </c>
      <c r="AD1326">
        <v>0</v>
      </c>
    </row>
    <row r="1327" spans="1:30" x14ac:dyDescent="0.25">
      <c r="A1327">
        <v>41191</v>
      </c>
      <c r="B1327">
        <v>7055</v>
      </c>
      <c r="C1327">
        <v>1952</v>
      </c>
      <c r="D1327" t="s">
        <v>10</v>
      </c>
      <c r="E1327" t="s">
        <v>14</v>
      </c>
      <c r="F1327" t="s">
        <v>12</v>
      </c>
      <c r="G1327">
        <v>61010</v>
      </c>
      <c r="H1327">
        <v>1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f>SUM(Table1[[#This Row],[Gold Spending]]+Table1[[#This Row],[Sweet Spending]]+Table1[[#This Row],[Fish Spending]]+Table1[[#This Row],[Meat Spending]]+Table1[[#This Row],[Fruits Spending]]+Table1[[#This Row],[Wine Spending ]])</f>
        <v>1021</v>
      </c>
      <c r="Q1327">
        <v>2</v>
      </c>
      <c r="R1327">
        <v>8</v>
      </c>
      <c r="S1327">
        <v>5</v>
      </c>
      <c r="T1327">
        <v>11</v>
      </c>
      <c r="U1327">
        <f>SUM(Table1[[#This Row],[Store_Purchases]]+Table1[[#This Row],[Catalog_Purchases]]+Table1[[#This Row],[Web_Purchases]]+Table1[[#This Row],[Deal_Purchases]])</f>
        <v>26</v>
      </c>
      <c r="V1327">
        <v>5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f>SUM(Table1[[#This Row],[Accepted_Campaign_2]]+Table1[[#This Row],[Accepted_Campaign_1]]+Table1[[#This Row],[Accepted_Campaign_5]]+Table1[[#This Row],[Accepted_Campaign_4]]+Table1[[#This Row],[Accepted_Campaign_3]])</f>
        <v>0</v>
      </c>
      <c r="AC1327">
        <v>0</v>
      </c>
      <c r="AD1327">
        <v>0</v>
      </c>
    </row>
    <row r="1328" spans="1:30" x14ac:dyDescent="0.25">
      <c r="A1328">
        <v>41138</v>
      </c>
      <c r="B1328">
        <v>3537</v>
      </c>
      <c r="C1328">
        <v>1981</v>
      </c>
      <c r="D1328" t="s">
        <v>8</v>
      </c>
      <c r="E1328" t="s">
        <v>6</v>
      </c>
      <c r="F1328" t="s">
        <v>12</v>
      </c>
      <c r="G1328">
        <v>31089</v>
      </c>
      <c r="H1328">
        <v>1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f>SUM(Table1[[#This Row],[Gold Spending]]+Table1[[#This Row],[Sweet Spending]]+Table1[[#This Row],[Fish Spending]]+Table1[[#This Row],[Meat Spending]]+Table1[[#This Row],[Fruits Spending]]+Table1[[#This Row],[Wine Spending ]])</f>
        <v>79</v>
      </c>
      <c r="Q1328">
        <v>3</v>
      </c>
      <c r="R1328">
        <v>3</v>
      </c>
      <c r="S1328">
        <v>0</v>
      </c>
      <c r="T1328">
        <v>4</v>
      </c>
      <c r="U1328">
        <f>SUM(Table1[[#This Row],[Store_Purchases]]+Table1[[#This Row],[Catalog_Purchases]]+Table1[[#This Row],[Web_Purchases]]+Table1[[#This Row],[Deal_Purchases]])</f>
        <v>10</v>
      </c>
      <c r="V1328">
        <v>8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f>SUM(Table1[[#This Row],[Accepted_Campaign_2]]+Table1[[#This Row],[Accepted_Campaign_1]]+Table1[[#This Row],[Accepted_Campaign_5]]+Table1[[#This Row],[Accepted_Campaign_4]]+Table1[[#This Row],[Accepted_Campaign_3]])</f>
        <v>0</v>
      </c>
      <c r="AC1328">
        <v>0</v>
      </c>
      <c r="AD1328">
        <v>0</v>
      </c>
    </row>
    <row r="1329" spans="1:30" x14ac:dyDescent="0.25">
      <c r="A1329">
        <v>41777</v>
      </c>
      <c r="B1329">
        <v>9081</v>
      </c>
      <c r="C1329">
        <v>1988</v>
      </c>
      <c r="D1329" t="s">
        <v>8</v>
      </c>
      <c r="E1329" t="s">
        <v>6</v>
      </c>
      <c r="F1329" t="s">
        <v>9</v>
      </c>
      <c r="G1329">
        <v>20518</v>
      </c>
      <c r="H1329">
        <v>1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f>SUM(Table1[[#This Row],[Gold Spending]]+Table1[[#This Row],[Sweet Spending]]+Table1[[#This Row],[Fish Spending]]+Table1[[#This Row],[Meat Spending]]+Table1[[#This Row],[Fruits Spending]]+Table1[[#This Row],[Wine Spending ]])</f>
        <v>25</v>
      </c>
      <c r="Q1329">
        <v>1</v>
      </c>
      <c r="R1329">
        <v>1</v>
      </c>
      <c r="S1329">
        <v>1</v>
      </c>
      <c r="T1329">
        <v>2</v>
      </c>
      <c r="U1329">
        <f>SUM(Table1[[#This Row],[Store_Purchases]]+Table1[[#This Row],[Catalog_Purchases]]+Table1[[#This Row],[Web_Purchases]]+Table1[[#This Row],[Deal_Purchases]])</f>
        <v>5</v>
      </c>
      <c r="V1329">
        <v>5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f>SUM(Table1[[#This Row],[Accepted_Campaign_2]]+Table1[[#This Row],[Accepted_Campaign_1]]+Table1[[#This Row],[Accepted_Campaign_5]]+Table1[[#This Row],[Accepted_Campaign_4]]+Table1[[#This Row],[Accepted_Campaign_3]])</f>
        <v>0</v>
      </c>
      <c r="AC1329">
        <v>0</v>
      </c>
      <c r="AD1329">
        <v>0</v>
      </c>
    </row>
    <row r="1330" spans="1:30" x14ac:dyDescent="0.25">
      <c r="A1330">
        <v>41763</v>
      </c>
      <c r="B1330">
        <v>4988</v>
      </c>
      <c r="C1330">
        <v>1948</v>
      </c>
      <c r="D1330" t="s">
        <v>20</v>
      </c>
      <c r="E1330" t="s">
        <v>14</v>
      </c>
      <c r="F1330" t="s">
        <v>11</v>
      </c>
      <c r="G1330">
        <v>34469</v>
      </c>
      <c r="H1330">
        <v>2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f>SUM(Table1[[#This Row],[Gold Spending]]+Table1[[#This Row],[Sweet Spending]]+Table1[[#This Row],[Fish Spending]]+Table1[[#This Row],[Meat Spending]]+Table1[[#This Row],[Fruits Spending]]+Table1[[#This Row],[Wine Spending ]])</f>
        <v>62</v>
      </c>
      <c r="Q1330">
        <v>3</v>
      </c>
      <c r="R1330">
        <v>1</v>
      </c>
      <c r="S1330">
        <v>1</v>
      </c>
      <c r="T1330">
        <v>4</v>
      </c>
      <c r="U1330">
        <f>SUM(Table1[[#This Row],[Store_Purchases]]+Table1[[#This Row],[Catalog_Purchases]]+Table1[[#This Row],[Web_Purchases]]+Table1[[#This Row],[Deal_Purchases]])</f>
        <v>9</v>
      </c>
      <c r="V1330">
        <v>4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f>SUM(Table1[[#This Row],[Accepted_Campaign_2]]+Table1[[#This Row],[Accepted_Campaign_1]]+Table1[[#This Row],[Accepted_Campaign_5]]+Table1[[#This Row],[Accepted_Campaign_4]]+Table1[[#This Row],[Accepted_Campaign_3]])</f>
        <v>0</v>
      </c>
      <c r="AC1330">
        <v>0</v>
      </c>
      <c r="AD1330">
        <v>0</v>
      </c>
    </row>
    <row r="1331" spans="1:30" x14ac:dyDescent="0.25">
      <c r="A1331">
        <v>41759</v>
      </c>
      <c r="B1331">
        <v>1050</v>
      </c>
      <c r="C1331">
        <v>1952</v>
      </c>
      <c r="D1331" t="s">
        <v>16</v>
      </c>
      <c r="E1331" t="s">
        <v>6</v>
      </c>
      <c r="F1331" t="s">
        <v>11</v>
      </c>
      <c r="G1331">
        <v>28332</v>
      </c>
      <c r="H1331">
        <v>0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f>SUM(Table1[[#This Row],[Gold Spending]]+Table1[[#This Row],[Sweet Spending]]+Table1[[#This Row],[Fish Spending]]+Table1[[#This Row],[Meat Spending]]+Table1[[#This Row],[Fruits Spending]]+Table1[[#This Row],[Wine Spending ]])</f>
        <v>65</v>
      </c>
      <c r="Q1331">
        <v>1</v>
      </c>
      <c r="R1331">
        <v>2</v>
      </c>
      <c r="S1331">
        <v>1</v>
      </c>
      <c r="T1331">
        <v>4</v>
      </c>
      <c r="U1331">
        <f>SUM(Table1[[#This Row],[Store_Purchases]]+Table1[[#This Row],[Catalog_Purchases]]+Table1[[#This Row],[Web_Purchases]]+Table1[[#This Row],[Deal_Purchases]])</f>
        <v>8</v>
      </c>
      <c r="V1331">
        <v>2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f>SUM(Table1[[#This Row],[Accepted_Campaign_2]]+Table1[[#This Row],[Accepted_Campaign_1]]+Table1[[#This Row],[Accepted_Campaign_5]]+Table1[[#This Row],[Accepted_Campaign_4]]+Table1[[#This Row],[Accepted_Campaign_3]])</f>
        <v>0</v>
      </c>
      <c r="AC1331">
        <v>0</v>
      </c>
      <c r="AD1331">
        <v>0</v>
      </c>
    </row>
    <row r="1332" spans="1:30" x14ac:dyDescent="0.25">
      <c r="A1332">
        <v>41750</v>
      </c>
      <c r="B1332">
        <v>5610</v>
      </c>
      <c r="C1332">
        <v>1965</v>
      </c>
      <c r="D1332" t="s">
        <v>17</v>
      </c>
      <c r="E1332" t="s">
        <v>6</v>
      </c>
      <c r="F1332" t="s">
        <v>12</v>
      </c>
      <c r="G1332">
        <v>33456</v>
      </c>
      <c r="H1332">
        <v>2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f>SUM(Table1[[#This Row],[Gold Spending]]+Table1[[#This Row],[Sweet Spending]]+Table1[[#This Row],[Fish Spending]]+Table1[[#This Row],[Meat Spending]]+Table1[[#This Row],[Fruits Spending]]+Table1[[#This Row],[Wine Spending ]])</f>
        <v>36</v>
      </c>
      <c r="Q1332">
        <v>2</v>
      </c>
      <c r="R1332">
        <v>1</v>
      </c>
      <c r="S1332">
        <v>0</v>
      </c>
      <c r="T1332">
        <v>3</v>
      </c>
      <c r="U1332">
        <f>SUM(Table1[[#This Row],[Store_Purchases]]+Table1[[#This Row],[Catalog_Purchases]]+Table1[[#This Row],[Web_Purchases]]+Table1[[#This Row],[Deal_Purchases]])</f>
        <v>6</v>
      </c>
      <c r="V1332">
        <v>7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f>SUM(Table1[[#This Row],[Accepted_Campaign_2]]+Table1[[#This Row],[Accepted_Campaign_1]]+Table1[[#This Row],[Accepted_Campaign_5]]+Table1[[#This Row],[Accepted_Campaign_4]]+Table1[[#This Row],[Accepted_Campaign_3]])</f>
        <v>0</v>
      </c>
      <c r="AC1332">
        <v>0</v>
      </c>
      <c r="AD1332">
        <v>0</v>
      </c>
    </row>
    <row r="1333" spans="1:30" x14ac:dyDescent="0.25">
      <c r="A1333">
        <v>41666</v>
      </c>
      <c r="B1333">
        <v>3526</v>
      </c>
      <c r="C1333">
        <v>1968</v>
      </c>
      <c r="D1333" t="s">
        <v>8</v>
      </c>
      <c r="E1333" t="s">
        <v>14</v>
      </c>
      <c r="F1333" t="s">
        <v>11</v>
      </c>
      <c r="G1333">
        <v>38443</v>
      </c>
      <c r="H1333">
        <v>2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f>SUM(Table1[[#This Row],[Gold Spending]]+Table1[[#This Row],[Sweet Spending]]+Table1[[#This Row],[Fish Spending]]+Table1[[#This Row],[Meat Spending]]+Table1[[#This Row],[Fruits Spending]]+Table1[[#This Row],[Wine Spending ]])</f>
        <v>38</v>
      </c>
      <c r="Q1333">
        <v>2</v>
      </c>
      <c r="R1333">
        <v>1</v>
      </c>
      <c r="S1333">
        <v>0</v>
      </c>
      <c r="T1333">
        <v>3</v>
      </c>
      <c r="U1333">
        <f>SUM(Table1[[#This Row],[Store_Purchases]]+Table1[[#This Row],[Catalog_Purchases]]+Table1[[#This Row],[Web_Purchases]]+Table1[[#This Row],[Deal_Purchases]])</f>
        <v>6</v>
      </c>
      <c r="V1333">
        <v>7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f>SUM(Table1[[#This Row],[Accepted_Campaign_2]]+Table1[[#This Row],[Accepted_Campaign_1]]+Table1[[#This Row],[Accepted_Campaign_5]]+Table1[[#This Row],[Accepted_Campaign_4]]+Table1[[#This Row],[Accepted_Campaign_3]])</f>
        <v>0</v>
      </c>
      <c r="AC1333">
        <v>0</v>
      </c>
      <c r="AD1333">
        <v>0</v>
      </c>
    </row>
    <row r="1334" spans="1:30" x14ac:dyDescent="0.25">
      <c r="A1334">
        <v>41656</v>
      </c>
      <c r="B1334">
        <v>5136</v>
      </c>
      <c r="C1334">
        <v>1973</v>
      </c>
      <c r="D1334" t="s">
        <v>10</v>
      </c>
      <c r="E1334" t="s">
        <v>6</v>
      </c>
      <c r="F1334" t="s">
        <v>9</v>
      </c>
      <c r="G1334">
        <v>65333</v>
      </c>
      <c r="H1334">
        <v>1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f>SUM(Table1[[#This Row],[Gold Spending]]+Table1[[#This Row],[Sweet Spending]]+Table1[[#This Row],[Fish Spending]]+Table1[[#This Row],[Meat Spending]]+Table1[[#This Row],[Fruits Spending]]+Table1[[#This Row],[Wine Spending ]])</f>
        <v>798</v>
      </c>
      <c r="Q1334">
        <v>7</v>
      </c>
      <c r="R1334">
        <v>9</v>
      </c>
      <c r="S1334">
        <v>4</v>
      </c>
      <c r="T1334">
        <v>8</v>
      </c>
      <c r="U1334">
        <f>SUM(Table1[[#This Row],[Store_Purchases]]+Table1[[#This Row],[Catalog_Purchases]]+Table1[[#This Row],[Web_Purchases]]+Table1[[#This Row],[Deal_Purchases]])</f>
        <v>28</v>
      </c>
      <c r="V1334">
        <v>6</v>
      </c>
      <c r="W1334">
        <v>0</v>
      </c>
      <c r="X1334">
        <v>1</v>
      </c>
      <c r="Y1334">
        <v>1</v>
      </c>
      <c r="Z1334">
        <v>0</v>
      </c>
      <c r="AA1334">
        <v>0</v>
      </c>
      <c r="AB1334">
        <f>SUM(Table1[[#This Row],[Accepted_Campaign_2]]+Table1[[#This Row],[Accepted_Campaign_1]]+Table1[[#This Row],[Accepted_Campaign_5]]+Table1[[#This Row],[Accepted_Campaign_4]]+Table1[[#This Row],[Accepted_Campaign_3]])</f>
        <v>2</v>
      </c>
      <c r="AC1334">
        <v>0</v>
      </c>
      <c r="AD1334">
        <v>0</v>
      </c>
    </row>
    <row r="1335" spans="1:30" x14ac:dyDescent="0.25">
      <c r="A1335">
        <v>41588</v>
      </c>
      <c r="B1335">
        <v>1411</v>
      </c>
      <c r="C1335">
        <v>1952</v>
      </c>
      <c r="D1335" t="s">
        <v>8</v>
      </c>
      <c r="E1335" t="s">
        <v>6</v>
      </c>
      <c r="F1335" t="s">
        <v>7</v>
      </c>
      <c r="G1335">
        <v>82623</v>
      </c>
      <c r="H1335">
        <v>0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f>SUM(Table1[[#This Row],[Gold Spending]]+Table1[[#This Row],[Sweet Spending]]+Table1[[#This Row],[Fish Spending]]+Table1[[#This Row],[Meat Spending]]+Table1[[#This Row],[Fruits Spending]]+Table1[[#This Row],[Wine Spending ]])</f>
        <v>940</v>
      </c>
      <c r="Q1335">
        <v>1</v>
      </c>
      <c r="R1335">
        <v>2</v>
      </c>
      <c r="S1335">
        <v>9</v>
      </c>
      <c r="T1335">
        <v>4</v>
      </c>
      <c r="U1335">
        <f>SUM(Table1[[#This Row],[Store_Purchases]]+Table1[[#This Row],[Catalog_Purchases]]+Table1[[#This Row],[Web_Purchases]]+Table1[[#This Row],[Deal_Purchases]])</f>
        <v>16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f>SUM(Table1[[#This Row],[Accepted_Campaign_2]]+Table1[[#This Row],[Accepted_Campaign_1]]+Table1[[#This Row],[Accepted_Campaign_5]]+Table1[[#This Row],[Accepted_Campaign_4]]+Table1[[#This Row],[Accepted_Campaign_3]])</f>
        <v>0</v>
      </c>
      <c r="AC1335">
        <v>0</v>
      </c>
      <c r="AD1335">
        <v>0</v>
      </c>
    </row>
    <row r="1336" spans="1:30" x14ac:dyDescent="0.25">
      <c r="A1336">
        <v>41584</v>
      </c>
      <c r="B1336">
        <v>701</v>
      </c>
      <c r="C1336">
        <v>1971</v>
      </c>
      <c r="D1336" t="s">
        <v>8</v>
      </c>
      <c r="E1336" t="s">
        <v>6</v>
      </c>
      <c r="F1336" t="s">
        <v>11</v>
      </c>
      <c r="G1336">
        <v>73691</v>
      </c>
      <c r="H1336">
        <v>1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f>SUM(Table1[[#This Row],[Gold Spending]]+Table1[[#This Row],[Sweet Spending]]+Table1[[#This Row],[Fish Spending]]+Table1[[#This Row],[Meat Spending]]+Table1[[#This Row],[Fruits Spending]]+Table1[[#This Row],[Wine Spending ]])</f>
        <v>1179</v>
      </c>
      <c r="Q1336">
        <v>2</v>
      </c>
      <c r="R1336">
        <v>6</v>
      </c>
      <c r="S1336">
        <v>2</v>
      </c>
      <c r="T1336">
        <v>8</v>
      </c>
      <c r="U1336">
        <f>SUM(Table1[[#This Row],[Store_Purchases]]+Table1[[#This Row],[Catalog_Purchases]]+Table1[[#This Row],[Web_Purchases]]+Table1[[#This Row],[Deal_Purchases]])</f>
        <v>18</v>
      </c>
      <c r="V1336">
        <v>2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f>SUM(Table1[[#This Row],[Accepted_Campaign_2]]+Table1[[#This Row],[Accepted_Campaign_1]]+Table1[[#This Row],[Accepted_Campaign_5]]+Table1[[#This Row],[Accepted_Campaign_4]]+Table1[[#This Row],[Accepted_Campaign_3]])</f>
        <v>1</v>
      </c>
      <c r="AC1336">
        <v>0</v>
      </c>
      <c r="AD1336">
        <v>0</v>
      </c>
    </row>
    <row r="1337" spans="1:30" x14ac:dyDescent="0.25">
      <c r="A1337">
        <v>41510</v>
      </c>
      <c r="B1337">
        <v>6203</v>
      </c>
      <c r="C1337">
        <v>1947</v>
      </c>
      <c r="D1337" t="s">
        <v>8</v>
      </c>
      <c r="E1337" t="s">
        <v>6</v>
      </c>
      <c r="F1337" t="s">
        <v>12</v>
      </c>
      <c r="G1337">
        <v>74485</v>
      </c>
      <c r="H1337">
        <v>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f>SUM(Table1[[#This Row],[Gold Spending]]+Table1[[#This Row],[Sweet Spending]]+Table1[[#This Row],[Fish Spending]]+Table1[[#This Row],[Meat Spending]]+Table1[[#This Row],[Fruits Spending]]+Table1[[#This Row],[Wine Spending ]])</f>
        <v>1734</v>
      </c>
      <c r="Q1337">
        <v>1</v>
      </c>
      <c r="R1337">
        <v>6</v>
      </c>
      <c r="S1337">
        <v>7</v>
      </c>
      <c r="T1337">
        <v>12</v>
      </c>
      <c r="U1337">
        <f>SUM(Table1[[#This Row],[Store_Purchases]]+Table1[[#This Row],[Catalog_Purchases]]+Table1[[#This Row],[Web_Purchases]]+Table1[[#This Row],[Deal_Purchases]])</f>
        <v>26</v>
      </c>
      <c r="V1337">
        <v>3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f>SUM(Table1[[#This Row],[Accepted_Campaign_2]]+Table1[[#This Row],[Accepted_Campaign_1]]+Table1[[#This Row],[Accepted_Campaign_5]]+Table1[[#This Row],[Accepted_Campaign_4]]+Table1[[#This Row],[Accepted_Campaign_3]])</f>
        <v>0</v>
      </c>
      <c r="AC1337">
        <v>0</v>
      </c>
      <c r="AD1337">
        <v>0</v>
      </c>
    </row>
    <row r="1338" spans="1:30" x14ac:dyDescent="0.25">
      <c r="A1338">
        <v>41379</v>
      </c>
      <c r="B1338">
        <v>7192</v>
      </c>
      <c r="C1338">
        <v>1955</v>
      </c>
      <c r="D1338" t="s">
        <v>8</v>
      </c>
      <c r="E1338" t="s">
        <v>6</v>
      </c>
      <c r="F1338" t="s">
        <v>12</v>
      </c>
      <c r="G1338">
        <v>65748</v>
      </c>
      <c r="H1338">
        <v>1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f>SUM(Table1[[#This Row],[Gold Spending]]+Table1[[#This Row],[Sweet Spending]]+Table1[[#This Row],[Fish Spending]]+Table1[[#This Row],[Meat Spending]]+Table1[[#This Row],[Fruits Spending]]+Table1[[#This Row],[Wine Spending ]])</f>
        <v>545</v>
      </c>
      <c r="Q1338">
        <v>2</v>
      </c>
      <c r="R1338">
        <v>2</v>
      </c>
      <c r="S1338">
        <v>4</v>
      </c>
      <c r="T1338">
        <v>10</v>
      </c>
      <c r="U1338">
        <f>SUM(Table1[[#This Row],[Store_Purchases]]+Table1[[#This Row],[Catalog_Purchases]]+Table1[[#This Row],[Web_Purchases]]+Table1[[#This Row],[Deal_Purchases]])</f>
        <v>18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f>SUM(Table1[[#This Row],[Accepted_Campaign_2]]+Table1[[#This Row],[Accepted_Campaign_1]]+Table1[[#This Row],[Accepted_Campaign_5]]+Table1[[#This Row],[Accepted_Campaign_4]]+Table1[[#This Row],[Accepted_Campaign_3]])</f>
        <v>0</v>
      </c>
      <c r="AC1338">
        <v>0</v>
      </c>
      <c r="AD1338">
        <v>1</v>
      </c>
    </row>
    <row r="1339" spans="1:30" x14ac:dyDescent="0.25">
      <c r="A1339">
        <v>41353</v>
      </c>
      <c r="B1339">
        <v>5181</v>
      </c>
      <c r="C1339">
        <v>1982</v>
      </c>
      <c r="D1339" t="s">
        <v>8</v>
      </c>
      <c r="E1339" t="s">
        <v>21</v>
      </c>
      <c r="F1339" t="s">
        <v>9</v>
      </c>
      <c r="G1339">
        <v>24367</v>
      </c>
      <c r="H1339">
        <v>1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f>SUM(Table1[[#This Row],[Gold Spending]]+Table1[[#This Row],[Sweet Spending]]+Table1[[#This Row],[Fish Spending]]+Table1[[#This Row],[Meat Spending]]+Table1[[#This Row],[Fruits Spending]]+Table1[[#This Row],[Wine Spending ]])</f>
        <v>24</v>
      </c>
      <c r="Q1339">
        <v>1</v>
      </c>
      <c r="R1339">
        <v>1</v>
      </c>
      <c r="S1339">
        <v>0</v>
      </c>
      <c r="T1339">
        <v>2</v>
      </c>
      <c r="U1339">
        <f>SUM(Table1[[#This Row],[Store_Purchases]]+Table1[[#This Row],[Catalog_Purchases]]+Table1[[#This Row],[Web_Purchases]]+Table1[[#This Row],[Deal_Purchases]])</f>
        <v>4</v>
      </c>
      <c r="V1339">
        <v>9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f>SUM(Table1[[#This Row],[Accepted_Campaign_2]]+Table1[[#This Row],[Accepted_Campaign_1]]+Table1[[#This Row],[Accepted_Campaign_5]]+Table1[[#This Row],[Accepted_Campaign_4]]+Table1[[#This Row],[Accepted_Campaign_3]])</f>
        <v>0</v>
      </c>
      <c r="AC1339">
        <v>0</v>
      </c>
      <c r="AD1339">
        <v>0</v>
      </c>
    </row>
    <row r="1340" spans="1:30" x14ac:dyDescent="0.25">
      <c r="A1340">
        <v>41291</v>
      </c>
      <c r="B1340">
        <v>9220</v>
      </c>
      <c r="C1340">
        <v>1971</v>
      </c>
      <c r="D1340" t="s">
        <v>8</v>
      </c>
      <c r="E1340" t="s">
        <v>6</v>
      </c>
      <c r="F1340" t="s">
        <v>9</v>
      </c>
      <c r="G1340">
        <v>91700</v>
      </c>
      <c r="H1340">
        <v>0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f>SUM(Table1[[#This Row],[Gold Spending]]+Table1[[#This Row],[Sweet Spending]]+Table1[[#This Row],[Fish Spending]]+Table1[[#This Row],[Meat Spending]]+Table1[[#This Row],[Fruits Spending]]+Table1[[#This Row],[Wine Spending ]])</f>
        <v>1968</v>
      </c>
      <c r="Q1340">
        <v>1</v>
      </c>
      <c r="R1340">
        <v>8</v>
      </c>
      <c r="S1340">
        <v>6</v>
      </c>
      <c r="T1340">
        <v>5</v>
      </c>
      <c r="U1340">
        <f>SUM(Table1[[#This Row],[Store_Purchases]]+Table1[[#This Row],[Catalog_Purchases]]+Table1[[#This Row],[Web_Purchases]]+Table1[[#This Row],[Deal_Purchases]])</f>
        <v>20</v>
      </c>
      <c r="V1340">
        <v>3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f>SUM(Table1[[#This Row],[Accepted_Campaign_2]]+Table1[[#This Row],[Accepted_Campaign_1]]+Table1[[#This Row],[Accepted_Campaign_5]]+Table1[[#This Row],[Accepted_Campaign_4]]+Table1[[#This Row],[Accepted_Campaign_3]])</f>
        <v>0</v>
      </c>
      <c r="AC1340">
        <v>1</v>
      </c>
      <c r="AD1340">
        <v>0</v>
      </c>
    </row>
    <row r="1341" spans="1:30" x14ac:dyDescent="0.25">
      <c r="A1341">
        <v>41262</v>
      </c>
      <c r="B1341">
        <v>7734</v>
      </c>
      <c r="C1341">
        <v>1993</v>
      </c>
      <c r="D1341" t="s">
        <v>13</v>
      </c>
      <c r="E1341" t="s">
        <v>6</v>
      </c>
      <c r="F1341" t="s">
        <v>9</v>
      </c>
      <c r="G1341">
        <v>79244</v>
      </c>
      <c r="H1341">
        <v>0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f>SUM(Table1[[#This Row],[Gold Spending]]+Table1[[#This Row],[Sweet Spending]]+Table1[[#This Row],[Fish Spending]]+Table1[[#This Row],[Meat Spending]]+Table1[[#This Row],[Fruits Spending]]+Table1[[#This Row],[Wine Spending ]])</f>
        <v>1216</v>
      </c>
      <c r="Q1341">
        <v>1</v>
      </c>
      <c r="R1341">
        <v>4</v>
      </c>
      <c r="S1341">
        <v>10</v>
      </c>
      <c r="T1341">
        <v>7</v>
      </c>
      <c r="U1341">
        <f>SUM(Table1[[#This Row],[Store_Purchases]]+Table1[[#This Row],[Catalog_Purchases]]+Table1[[#This Row],[Web_Purchases]]+Table1[[#This Row],[Deal_Purchases]])</f>
        <v>22</v>
      </c>
      <c r="V1341">
        <v>1</v>
      </c>
      <c r="W1341">
        <v>0</v>
      </c>
      <c r="X1341">
        <v>0</v>
      </c>
      <c r="Y1341">
        <v>1</v>
      </c>
      <c r="Z1341">
        <v>1</v>
      </c>
      <c r="AA1341">
        <v>0</v>
      </c>
      <c r="AB1341">
        <f>SUM(Table1[[#This Row],[Accepted_Campaign_2]]+Table1[[#This Row],[Accepted_Campaign_1]]+Table1[[#This Row],[Accepted_Campaign_5]]+Table1[[#This Row],[Accepted_Campaign_4]]+Table1[[#This Row],[Accepted_Campaign_3]])</f>
        <v>2</v>
      </c>
      <c r="AC1341">
        <v>1</v>
      </c>
      <c r="AD1341">
        <v>0</v>
      </c>
    </row>
    <row r="1342" spans="1:30" x14ac:dyDescent="0.25">
      <c r="A1342">
        <v>41220</v>
      </c>
      <c r="B1342">
        <v>10446</v>
      </c>
      <c r="C1342">
        <v>1957</v>
      </c>
      <c r="D1342" t="s">
        <v>10</v>
      </c>
      <c r="E1342" t="s">
        <v>14</v>
      </c>
      <c r="F1342" t="s">
        <v>11</v>
      </c>
      <c r="G1342">
        <v>82017</v>
      </c>
      <c r="H1342">
        <v>0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f>SUM(Table1[[#This Row],[Gold Spending]]+Table1[[#This Row],[Sweet Spending]]+Table1[[#This Row],[Fish Spending]]+Table1[[#This Row],[Meat Spending]]+Table1[[#This Row],[Fruits Spending]]+Table1[[#This Row],[Wine Spending ]])</f>
        <v>729</v>
      </c>
      <c r="Q1342">
        <v>1</v>
      </c>
      <c r="R1342">
        <v>5</v>
      </c>
      <c r="S1342">
        <v>4</v>
      </c>
      <c r="T1342">
        <v>7</v>
      </c>
      <c r="U1342">
        <f>SUM(Table1[[#This Row],[Store_Purchases]]+Table1[[#This Row],[Catalog_Purchases]]+Table1[[#This Row],[Web_Purchases]]+Table1[[#This Row],[Deal_Purchases]])</f>
        <v>17</v>
      </c>
      <c r="V1342">
        <v>2</v>
      </c>
      <c r="W1342">
        <v>0</v>
      </c>
      <c r="X1342">
        <v>1</v>
      </c>
      <c r="Y1342">
        <v>1</v>
      </c>
      <c r="Z1342">
        <v>1</v>
      </c>
      <c r="AA1342">
        <v>0</v>
      </c>
      <c r="AB1342">
        <f>SUM(Table1[[#This Row],[Accepted_Campaign_2]]+Table1[[#This Row],[Accepted_Campaign_1]]+Table1[[#This Row],[Accepted_Campaign_5]]+Table1[[#This Row],[Accepted_Campaign_4]]+Table1[[#This Row],[Accepted_Campaign_3]])</f>
        <v>3</v>
      </c>
      <c r="AC1342">
        <v>1</v>
      </c>
      <c r="AD1342">
        <v>0</v>
      </c>
    </row>
    <row r="1343" spans="1:30" x14ac:dyDescent="0.25">
      <c r="A1343">
        <v>41156</v>
      </c>
      <c r="B1343">
        <v>5524</v>
      </c>
      <c r="C1343">
        <v>1957</v>
      </c>
      <c r="D1343" t="s">
        <v>63</v>
      </c>
      <c r="E1343" t="s">
        <v>6</v>
      </c>
      <c r="F1343" t="s">
        <v>9</v>
      </c>
      <c r="G1343">
        <v>58138</v>
      </c>
      <c r="H1343">
        <v>0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f>SUM(Table1[[#This Row],[Gold Spending]]+Table1[[#This Row],[Sweet Spending]]+Table1[[#This Row],[Fish Spending]]+Table1[[#This Row],[Meat Spending]]+Table1[[#This Row],[Fruits Spending]]+Table1[[#This Row],[Wine Spending ]])</f>
        <v>1617</v>
      </c>
      <c r="Q1343">
        <v>3</v>
      </c>
      <c r="R1343">
        <v>8</v>
      </c>
      <c r="S1343">
        <v>10</v>
      </c>
      <c r="T1343">
        <v>4</v>
      </c>
      <c r="U1343">
        <f>SUM(Table1[[#This Row],[Store_Purchases]]+Table1[[#This Row],[Catalog_Purchases]]+Table1[[#This Row],[Web_Purchases]]+Table1[[#This Row],[Deal_Purchases]])</f>
        <v>25</v>
      </c>
      <c r="V1343">
        <v>7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f>SUM(Table1[[#This Row],[Accepted_Campaign_2]]+Table1[[#This Row],[Accepted_Campaign_1]]+Table1[[#This Row],[Accepted_Campaign_5]]+Table1[[#This Row],[Accepted_Campaign_4]]+Table1[[#This Row],[Accepted_Campaign_3]])</f>
        <v>0</v>
      </c>
      <c r="AC1343">
        <v>1</v>
      </c>
      <c r="AD1343">
        <v>0</v>
      </c>
    </row>
    <row r="1344" spans="1:30" x14ac:dyDescent="0.25">
      <c r="A1344">
        <v>41753</v>
      </c>
      <c r="B1344">
        <v>3830</v>
      </c>
      <c r="C1344">
        <v>1953</v>
      </c>
      <c r="D1344" t="s">
        <v>10</v>
      </c>
      <c r="E1344" t="s">
        <v>18</v>
      </c>
      <c r="F1344" t="s">
        <v>11</v>
      </c>
      <c r="G1344">
        <v>59354</v>
      </c>
      <c r="H1344">
        <v>2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f>SUM(Table1[[#This Row],[Gold Spending]]+Table1[[#This Row],[Sweet Spending]]+Table1[[#This Row],[Fish Spending]]+Table1[[#This Row],[Meat Spending]]+Table1[[#This Row],[Fruits Spending]]+Table1[[#This Row],[Wine Spending ]])</f>
        <v>459</v>
      </c>
      <c r="Q1344">
        <v>1</v>
      </c>
      <c r="R1344">
        <v>4</v>
      </c>
      <c r="S1344">
        <v>4</v>
      </c>
      <c r="T1344">
        <v>7</v>
      </c>
      <c r="U1344">
        <f>SUM(Table1[[#This Row],[Store_Purchases]]+Table1[[#This Row],[Catalog_Purchases]]+Table1[[#This Row],[Web_Purchases]]+Table1[[#This Row],[Deal_Purchases]])</f>
        <v>16</v>
      </c>
      <c r="V1344">
        <v>3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f>SUM(Table1[[#This Row],[Accepted_Campaign_2]]+Table1[[#This Row],[Accepted_Campaign_1]]+Table1[[#This Row],[Accepted_Campaign_5]]+Table1[[#This Row],[Accepted_Campaign_4]]+Table1[[#This Row],[Accepted_Campaign_3]])</f>
        <v>0</v>
      </c>
      <c r="AC1344">
        <v>0</v>
      </c>
      <c r="AD1344">
        <v>0</v>
      </c>
    </row>
    <row r="1345" spans="1:30" x14ac:dyDescent="0.25">
      <c r="A1345">
        <v>41710</v>
      </c>
      <c r="B1345">
        <v>5186</v>
      </c>
      <c r="C1345">
        <v>1955</v>
      </c>
      <c r="D1345" t="s">
        <v>10</v>
      </c>
      <c r="E1345" t="s">
        <v>14</v>
      </c>
      <c r="F1345" t="s">
        <v>11</v>
      </c>
      <c r="G1345">
        <v>58482</v>
      </c>
      <c r="H1345">
        <v>1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f>SUM(Table1[[#This Row],[Gold Spending]]+Table1[[#This Row],[Sweet Spending]]+Table1[[#This Row],[Fish Spending]]+Table1[[#This Row],[Meat Spending]]+Table1[[#This Row],[Fruits Spending]]+Table1[[#This Row],[Wine Spending ]])</f>
        <v>731</v>
      </c>
      <c r="Q1345">
        <v>2</v>
      </c>
      <c r="R1345">
        <v>7</v>
      </c>
      <c r="S1345">
        <v>4</v>
      </c>
      <c r="T1345">
        <v>9</v>
      </c>
      <c r="U1345">
        <f>SUM(Table1[[#This Row],[Store_Purchases]]+Table1[[#This Row],[Catalog_Purchases]]+Table1[[#This Row],[Web_Purchases]]+Table1[[#This Row],[Deal_Purchases]])</f>
        <v>22</v>
      </c>
      <c r="V1345">
        <v>6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f>SUM(Table1[[#This Row],[Accepted_Campaign_2]]+Table1[[#This Row],[Accepted_Campaign_1]]+Table1[[#This Row],[Accepted_Campaign_5]]+Table1[[#This Row],[Accepted_Campaign_4]]+Table1[[#This Row],[Accepted_Campaign_3]])</f>
        <v>1</v>
      </c>
      <c r="AC1345">
        <v>0</v>
      </c>
      <c r="AD1345">
        <v>0</v>
      </c>
    </row>
    <row r="1346" spans="1:30" x14ac:dyDescent="0.25">
      <c r="A1346">
        <v>41656</v>
      </c>
      <c r="B1346">
        <v>8514</v>
      </c>
      <c r="C1346">
        <v>1976</v>
      </c>
      <c r="D1346" t="s">
        <v>8</v>
      </c>
      <c r="E1346" t="s">
        <v>6</v>
      </c>
      <c r="F1346" t="s">
        <v>12</v>
      </c>
      <c r="G1346">
        <v>29478</v>
      </c>
      <c r="H1346">
        <v>1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f>SUM(Table1[[#This Row],[Gold Spending]]+Table1[[#This Row],[Sweet Spending]]+Table1[[#This Row],[Fish Spending]]+Table1[[#This Row],[Meat Spending]]+Table1[[#This Row],[Fruits Spending]]+Table1[[#This Row],[Wine Spending ]])</f>
        <v>20</v>
      </c>
      <c r="Q1346">
        <v>1</v>
      </c>
      <c r="R1346">
        <v>1</v>
      </c>
      <c r="S1346">
        <v>0</v>
      </c>
      <c r="T1346">
        <v>3</v>
      </c>
      <c r="U1346">
        <f>SUM(Table1[[#This Row],[Store_Purchases]]+Table1[[#This Row],[Catalog_Purchases]]+Table1[[#This Row],[Web_Purchases]]+Table1[[#This Row],[Deal_Purchases]])</f>
        <v>5</v>
      </c>
      <c r="V1346">
        <v>6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f>SUM(Table1[[#This Row],[Accepted_Campaign_2]]+Table1[[#This Row],[Accepted_Campaign_1]]+Table1[[#This Row],[Accepted_Campaign_5]]+Table1[[#This Row],[Accepted_Campaign_4]]+Table1[[#This Row],[Accepted_Campaign_3]])</f>
        <v>0</v>
      </c>
      <c r="AC1346">
        <v>0</v>
      </c>
      <c r="AD1346">
        <v>0</v>
      </c>
    </row>
    <row r="1347" spans="1:30" x14ac:dyDescent="0.25">
      <c r="A1347">
        <v>41569</v>
      </c>
      <c r="B1347">
        <v>7165</v>
      </c>
      <c r="C1347">
        <v>1972</v>
      </c>
      <c r="D1347" t="s">
        <v>8</v>
      </c>
      <c r="E1347" t="s">
        <v>6</v>
      </c>
      <c r="F1347" t="s">
        <v>12</v>
      </c>
      <c r="G1347">
        <v>64474</v>
      </c>
      <c r="H1347">
        <v>1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f>SUM(Table1[[#This Row],[Gold Spending]]+Table1[[#This Row],[Sweet Spending]]+Table1[[#This Row],[Fish Spending]]+Table1[[#This Row],[Meat Spending]]+Table1[[#This Row],[Fruits Spending]]+Table1[[#This Row],[Wine Spending ]])</f>
        <v>823</v>
      </c>
      <c r="Q1347">
        <v>2</v>
      </c>
      <c r="R1347">
        <v>8</v>
      </c>
      <c r="S1347">
        <v>2</v>
      </c>
      <c r="T1347">
        <v>10</v>
      </c>
      <c r="U1347">
        <f>SUM(Table1[[#This Row],[Store_Purchases]]+Table1[[#This Row],[Catalog_Purchases]]+Table1[[#This Row],[Web_Purchases]]+Table1[[#This Row],[Deal_Purchases]])</f>
        <v>22</v>
      </c>
      <c r="V1347">
        <v>5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f>SUM(Table1[[#This Row],[Accepted_Campaign_2]]+Table1[[#This Row],[Accepted_Campaign_1]]+Table1[[#This Row],[Accepted_Campaign_5]]+Table1[[#This Row],[Accepted_Campaign_4]]+Table1[[#This Row],[Accepted_Campaign_3]])</f>
        <v>0</v>
      </c>
      <c r="AC1347">
        <v>0</v>
      </c>
      <c r="AD1347">
        <v>0</v>
      </c>
    </row>
    <row r="1348" spans="1:30" x14ac:dyDescent="0.25">
      <c r="A1348">
        <v>41533</v>
      </c>
      <c r="B1348">
        <v>10236</v>
      </c>
      <c r="C1348">
        <v>1975</v>
      </c>
      <c r="D1348" t="s">
        <v>20</v>
      </c>
      <c r="E1348" t="s">
        <v>18</v>
      </c>
      <c r="F1348" t="s">
        <v>9</v>
      </c>
      <c r="G1348">
        <v>31160</v>
      </c>
      <c r="H1348">
        <v>1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f>SUM(Table1[[#This Row],[Gold Spending]]+Table1[[#This Row],[Sweet Spending]]+Table1[[#This Row],[Fish Spending]]+Table1[[#This Row],[Meat Spending]]+Table1[[#This Row],[Fruits Spending]]+Table1[[#This Row],[Wine Spending ]])</f>
        <v>64</v>
      </c>
      <c r="Q1348">
        <v>2</v>
      </c>
      <c r="R1348">
        <v>2</v>
      </c>
      <c r="S1348">
        <v>0</v>
      </c>
      <c r="T1348">
        <v>3</v>
      </c>
      <c r="U1348">
        <f>SUM(Table1[[#This Row],[Store_Purchases]]+Table1[[#This Row],[Catalog_Purchases]]+Table1[[#This Row],[Web_Purchases]]+Table1[[#This Row],[Deal_Purchases]])</f>
        <v>7</v>
      </c>
      <c r="V1348">
        <v>8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f>SUM(Table1[[#This Row],[Accepted_Campaign_2]]+Table1[[#This Row],[Accepted_Campaign_1]]+Table1[[#This Row],[Accepted_Campaign_5]]+Table1[[#This Row],[Accepted_Campaign_4]]+Table1[[#This Row],[Accepted_Campaign_3]])</f>
        <v>0</v>
      </c>
      <c r="AC1348">
        <v>0</v>
      </c>
      <c r="AD1348">
        <v>0</v>
      </c>
    </row>
    <row r="1349" spans="1:30" x14ac:dyDescent="0.25">
      <c r="A1349">
        <v>41484</v>
      </c>
      <c r="B1349">
        <v>2392</v>
      </c>
      <c r="C1349">
        <v>1972</v>
      </c>
      <c r="D1349" t="s">
        <v>8</v>
      </c>
      <c r="E1349" t="s">
        <v>6</v>
      </c>
      <c r="F1349" t="s">
        <v>11</v>
      </c>
      <c r="G1349">
        <v>40321</v>
      </c>
      <c r="H1349">
        <v>2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f>SUM(Table1[[#This Row],[Gold Spending]]+Table1[[#This Row],[Sweet Spending]]+Table1[[#This Row],[Fish Spending]]+Table1[[#This Row],[Meat Spending]]+Table1[[#This Row],[Fruits Spending]]+Table1[[#This Row],[Wine Spending ]])</f>
        <v>102</v>
      </c>
      <c r="Q1349">
        <v>2</v>
      </c>
      <c r="R1349">
        <v>3</v>
      </c>
      <c r="S1349">
        <v>0</v>
      </c>
      <c r="T1349">
        <v>3</v>
      </c>
      <c r="U1349">
        <f>SUM(Table1[[#This Row],[Store_Purchases]]+Table1[[#This Row],[Catalog_Purchases]]+Table1[[#This Row],[Web_Purchases]]+Table1[[#This Row],[Deal_Purchases]])</f>
        <v>8</v>
      </c>
      <c r="V1349">
        <v>7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f>SUM(Table1[[#This Row],[Accepted_Campaign_2]]+Table1[[#This Row],[Accepted_Campaign_1]]+Table1[[#This Row],[Accepted_Campaign_5]]+Table1[[#This Row],[Accepted_Campaign_4]]+Table1[[#This Row],[Accepted_Campaign_3]])</f>
        <v>0</v>
      </c>
      <c r="AC1349">
        <v>0</v>
      </c>
      <c r="AD1349">
        <v>0</v>
      </c>
    </row>
    <row r="1350" spans="1:30" x14ac:dyDescent="0.25">
      <c r="A1350">
        <v>41484</v>
      </c>
      <c r="B1350">
        <v>1920</v>
      </c>
      <c r="C1350">
        <v>1972</v>
      </c>
      <c r="D1350" t="s">
        <v>8</v>
      </c>
      <c r="E1350" t="s">
        <v>6</v>
      </c>
      <c r="F1350" t="s">
        <v>11</v>
      </c>
      <c r="G1350">
        <v>40321</v>
      </c>
      <c r="H1350">
        <v>2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f>SUM(Table1[[#This Row],[Gold Spending]]+Table1[[#This Row],[Sweet Spending]]+Table1[[#This Row],[Fish Spending]]+Table1[[#This Row],[Meat Spending]]+Table1[[#This Row],[Fruits Spending]]+Table1[[#This Row],[Wine Spending ]])</f>
        <v>102</v>
      </c>
      <c r="Q1350">
        <v>2</v>
      </c>
      <c r="R1350">
        <v>3</v>
      </c>
      <c r="S1350">
        <v>0</v>
      </c>
      <c r="T1350">
        <v>3</v>
      </c>
      <c r="U1350">
        <f>SUM(Table1[[#This Row],[Store_Purchases]]+Table1[[#This Row],[Catalog_Purchases]]+Table1[[#This Row],[Web_Purchases]]+Table1[[#This Row],[Deal_Purchases]])</f>
        <v>8</v>
      </c>
      <c r="V1350">
        <v>7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f>SUM(Table1[[#This Row],[Accepted_Campaign_2]]+Table1[[#This Row],[Accepted_Campaign_1]]+Table1[[#This Row],[Accepted_Campaign_5]]+Table1[[#This Row],[Accepted_Campaign_4]]+Table1[[#This Row],[Accepted_Campaign_3]])</f>
        <v>0</v>
      </c>
      <c r="AC1350">
        <v>0</v>
      </c>
      <c r="AD1350">
        <v>0</v>
      </c>
    </row>
    <row r="1351" spans="1:30" x14ac:dyDescent="0.25">
      <c r="A1351">
        <v>41469</v>
      </c>
      <c r="B1351">
        <v>3673</v>
      </c>
      <c r="C1351">
        <v>1971</v>
      </c>
      <c r="D1351" t="s">
        <v>20</v>
      </c>
      <c r="E1351" t="s">
        <v>6</v>
      </c>
      <c r="F1351" t="s">
        <v>9</v>
      </c>
      <c r="G1351">
        <v>55239</v>
      </c>
      <c r="H1351">
        <v>1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f>SUM(Table1[[#This Row],[Gold Spending]]+Table1[[#This Row],[Sweet Spending]]+Table1[[#This Row],[Fish Spending]]+Table1[[#This Row],[Meat Spending]]+Table1[[#This Row],[Fruits Spending]]+Table1[[#This Row],[Wine Spending ]])</f>
        <v>779</v>
      </c>
      <c r="Q1351">
        <v>3</v>
      </c>
      <c r="R1351">
        <v>7</v>
      </c>
      <c r="S1351">
        <v>5</v>
      </c>
      <c r="T1351">
        <v>11</v>
      </c>
      <c r="U1351">
        <f>SUM(Table1[[#This Row],[Store_Purchases]]+Table1[[#This Row],[Catalog_Purchases]]+Table1[[#This Row],[Web_Purchases]]+Table1[[#This Row],[Deal_Purchases]])</f>
        <v>26</v>
      </c>
      <c r="V1351">
        <v>5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f>SUM(Table1[[#This Row],[Accepted_Campaign_2]]+Table1[[#This Row],[Accepted_Campaign_1]]+Table1[[#This Row],[Accepted_Campaign_5]]+Table1[[#This Row],[Accepted_Campaign_4]]+Table1[[#This Row],[Accepted_Campaign_3]])</f>
        <v>0</v>
      </c>
      <c r="AC1351">
        <v>0</v>
      </c>
      <c r="AD1351">
        <v>0</v>
      </c>
    </row>
    <row r="1352" spans="1:30" x14ac:dyDescent="0.25">
      <c r="A1352">
        <v>41461</v>
      </c>
      <c r="B1352">
        <v>1453</v>
      </c>
      <c r="C1352">
        <v>1943</v>
      </c>
      <c r="D1352" t="s">
        <v>8</v>
      </c>
      <c r="E1352" t="s">
        <v>14</v>
      </c>
      <c r="F1352" t="s">
        <v>19</v>
      </c>
      <c r="G1352">
        <v>57513</v>
      </c>
      <c r="H1352">
        <v>0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f>SUM(Table1[[#This Row],[Gold Spending]]+Table1[[#This Row],[Sweet Spending]]+Table1[[#This Row],[Fish Spending]]+Table1[[#This Row],[Meat Spending]]+Table1[[#This Row],[Fruits Spending]]+Table1[[#This Row],[Wine Spending ]])</f>
        <v>1060</v>
      </c>
      <c r="Q1352">
        <v>2</v>
      </c>
      <c r="R1352">
        <v>9</v>
      </c>
      <c r="S1352">
        <v>3</v>
      </c>
      <c r="T1352">
        <v>13</v>
      </c>
      <c r="U1352">
        <f>SUM(Table1[[#This Row],[Store_Purchases]]+Table1[[#This Row],[Catalog_Purchases]]+Table1[[#This Row],[Web_Purchases]]+Table1[[#This Row],[Deal_Purchases]])</f>
        <v>27</v>
      </c>
      <c r="V1352">
        <v>6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f>SUM(Table1[[#This Row],[Accepted_Campaign_2]]+Table1[[#This Row],[Accepted_Campaign_1]]+Table1[[#This Row],[Accepted_Campaign_5]]+Table1[[#This Row],[Accepted_Campaign_4]]+Table1[[#This Row],[Accepted_Campaign_3]])</f>
        <v>0</v>
      </c>
      <c r="AC1352">
        <v>0</v>
      </c>
      <c r="AD1352">
        <v>0</v>
      </c>
    </row>
    <row r="1353" spans="1:30" x14ac:dyDescent="0.25">
      <c r="A1353">
        <v>41384</v>
      </c>
      <c r="B1353">
        <v>4518</v>
      </c>
      <c r="C1353">
        <v>1979</v>
      </c>
      <c r="D1353" t="s">
        <v>10</v>
      </c>
      <c r="E1353" t="s">
        <v>6</v>
      </c>
      <c r="F1353" t="s">
        <v>12</v>
      </c>
      <c r="G1353">
        <v>85693</v>
      </c>
      <c r="H1353">
        <v>1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f>SUM(Table1[[#This Row],[Gold Spending]]+Table1[[#This Row],[Sweet Spending]]+Table1[[#This Row],[Fish Spending]]+Table1[[#This Row],[Meat Spending]]+Table1[[#This Row],[Fruits Spending]]+Table1[[#This Row],[Wine Spending ]])</f>
        <v>1169</v>
      </c>
      <c r="Q1353">
        <v>2</v>
      </c>
      <c r="R1353">
        <v>9</v>
      </c>
      <c r="S1353">
        <v>5</v>
      </c>
      <c r="T1353">
        <v>11</v>
      </c>
      <c r="U1353">
        <f>SUM(Table1[[#This Row],[Store_Purchases]]+Table1[[#This Row],[Catalog_Purchases]]+Table1[[#This Row],[Web_Purchases]]+Table1[[#This Row],[Deal_Purchases]])</f>
        <v>27</v>
      </c>
      <c r="V1353">
        <v>5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f>SUM(Table1[[#This Row],[Accepted_Campaign_2]]+Table1[[#This Row],[Accepted_Campaign_1]]+Table1[[#This Row],[Accepted_Campaign_5]]+Table1[[#This Row],[Accepted_Campaign_4]]+Table1[[#This Row],[Accepted_Campaign_3]])</f>
        <v>0</v>
      </c>
      <c r="AC1353">
        <v>0</v>
      </c>
      <c r="AD1353">
        <v>0</v>
      </c>
    </row>
    <row r="1354" spans="1:30" x14ac:dyDescent="0.25">
      <c r="A1354">
        <v>41290</v>
      </c>
      <c r="B1354">
        <v>8969</v>
      </c>
      <c r="C1354">
        <v>1977</v>
      </c>
      <c r="D1354" t="s">
        <v>20</v>
      </c>
      <c r="E1354" t="s">
        <v>6</v>
      </c>
      <c r="F1354" t="s">
        <v>11</v>
      </c>
      <c r="G1354">
        <v>71855</v>
      </c>
      <c r="H1354">
        <v>1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f>SUM(Table1[[#This Row],[Gold Spending]]+Table1[[#This Row],[Sweet Spending]]+Table1[[#This Row],[Fish Spending]]+Table1[[#This Row],[Meat Spending]]+Table1[[#This Row],[Fruits Spending]]+Table1[[#This Row],[Wine Spending ]])</f>
        <v>1141</v>
      </c>
      <c r="Q1354">
        <v>4</v>
      </c>
      <c r="R1354">
        <v>5</v>
      </c>
      <c r="S1354">
        <v>5</v>
      </c>
      <c r="T1354">
        <v>11</v>
      </c>
      <c r="U1354">
        <f>SUM(Table1[[#This Row],[Store_Purchases]]+Table1[[#This Row],[Catalog_Purchases]]+Table1[[#This Row],[Web_Purchases]]+Table1[[#This Row],[Deal_Purchases]])</f>
        <v>25</v>
      </c>
      <c r="V1354">
        <v>3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f>SUM(Table1[[#This Row],[Accepted_Campaign_2]]+Table1[[#This Row],[Accepted_Campaign_1]]+Table1[[#This Row],[Accepted_Campaign_5]]+Table1[[#This Row],[Accepted_Campaign_4]]+Table1[[#This Row],[Accepted_Campaign_3]])</f>
        <v>0</v>
      </c>
      <c r="AC1354">
        <v>0</v>
      </c>
      <c r="AD1354">
        <v>0</v>
      </c>
    </row>
    <row r="1355" spans="1:30" x14ac:dyDescent="0.25">
      <c r="A1355">
        <v>41226</v>
      </c>
      <c r="B1355">
        <v>387</v>
      </c>
      <c r="C1355">
        <v>1976</v>
      </c>
      <c r="D1355" t="s">
        <v>63</v>
      </c>
      <c r="E1355" t="s">
        <v>21</v>
      </c>
      <c r="F1355" t="s">
        <v>11</v>
      </c>
      <c r="G1355">
        <v>7500</v>
      </c>
      <c r="H1355">
        <v>0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f>SUM(Table1[[#This Row],[Gold Spending]]+Table1[[#This Row],[Sweet Spending]]+Table1[[#This Row],[Fish Spending]]+Table1[[#This Row],[Meat Spending]]+Table1[[#This Row],[Fruits Spending]]+Table1[[#This Row],[Wine Spending ]])</f>
        <v>61</v>
      </c>
      <c r="Q1355">
        <v>1</v>
      </c>
      <c r="R1355">
        <v>2</v>
      </c>
      <c r="S1355">
        <v>0</v>
      </c>
      <c r="T1355">
        <v>3</v>
      </c>
      <c r="U1355">
        <f>SUM(Table1[[#This Row],[Store_Purchases]]+Table1[[#This Row],[Catalog_Purchases]]+Table1[[#This Row],[Web_Purchases]]+Table1[[#This Row],[Deal_Purchases]])</f>
        <v>6</v>
      </c>
      <c r="V1355">
        <v>8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f>SUM(Table1[[#This Row],[Accepted_Campaign_2]]+Table1[[#This Row],[Accepted_Campaign_1]]+Table1[[#This Row],[Accepted_Campaign_5]]+Table1[[#This Row],[Accepted_Campaign_4]]+Table1[[#This Row],[Accepted_Campaign_3]])</f>
        <v>0</v>
      </c>
      <c r="AC1355">
        <v>0</v>
      </c>
      <c r="AD1355">
        <v>0</v>
      </c>
    </row>
    <row r="1356" spans="1:30" x14ac:dyDescent="0.25">
      <c r="A1356">
        <v>41198</v>
      </c>
      <c r="B1356">
        <v>1079</v>
      </c>
      <c r="C1356">
        <v>1971</v>
      </c>
      <c r="D1356" t="s">
        <v>17</v>
      </c>
      <c r="E1356" t="s">
        <v>14</v>
      </c>
      <c r="F1356" t="s">
        <v>11</v>
      </c>
      <c r="G1356">
        <v>71969</v>
      </c>
      <c r="H1356">
        <v>1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f>SUM(Table1[[#This Row],[Gold Spending]]+Table1[[#This Row],[Sweet Spending]]+Table1[[#This Row],[Fish Spending]]+Table1[[#This Row],[Meat Spending]]+Table1[[#This Row],[Fruits Spending]]+Table1[[#This Row],[Wine Spending ]])</f>
        <v>1086</v>
      </c>
      <c r="Q1356">
        <v>3</v>
      </c>
      <c r="R1356">
        <v>3</v>
      </c>
      <c r="S1356">
        <v>4</v>
      </c>
      <c r="T1356">
        <v>9</v>
      </c>
      <c r="U1356">
        <f>SUM(Table1[[#This Row],[Store_Purchases]]+Table1[[#This Row],[Catalog_Purchases]]+Table1[[#This Row],[Web_Purchases]]+Table1[[#This Row],[Deal_Purchases]])</f>
        <v>19</v>
      </c>
      <c r="V1356">
        <v>8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f>SUM(Table1[[#This Row],[Accepted_Campaign_2]]+Table1[[#This Row],[Accepted_Campaign_1]]+Table1[[#This Row],[Accepted_Campaign_5]]+Table1[[#This Row],[Accepted_Campaign_4]]+Table1[[#This Row],[Accepted_Campaign_3]])</f>
        <v>1</v>
      </c>
      <c r="AC1356">
        <v>0</v>
      </c>
      <c r="AD1356">
        <v>0</v>
      </c>
    </row>
    <row r="1357" spans="1:30" x14ac:dyDescent="0.25">
      <c r="A1357">
        <v>41195</v>
      </c>
      <c r="B1357">
        <v>164</v>
      </c>
      <c r="C1357">
        <v>1977</v>
      </c>
      <c r="D1357" t="s">
        <v>8</v>
      </c>
      <c r="E1357" t="s">
        <v>14</v>
      </c>
      <c r="F1357" t="s">
        <v>11</v>
      </c>
      <c r="G1357">
        <v>28973</v>
      </c>
      <c r="H1357">
        <v>0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f>SUM(Table1[[#This Row],[Gold Spending]]+Table1[[#This Row],[Sweet Spending]]+Table1[[#This Row],[Fish Spending]]+Table1[[#This Row],[Meat Spending]]+Table1[[#This Row],[Fruits Spending]]+Table1[[#This Row],[Wine Spending ]])</f>
        <v>269</v>
      </c>
      <c r="Q1357">
        <v>2</v>
      </c>
      <c r="R1357">
        <v>5</v>
      </c>
      <c r="S1357">
        <v>1</v>
      </c>
      <c r="T1357">
        <v>5</v>
      </c>
      <c r="U1357">
        <f>SUM(Table1[[#This Row],[Store_Purchases]]+Table1[[#This Row],[Catalog_Purchases]]+Table1[[#This Row],[Web_Purchases]]+Table1[[#This Row],[Deal_Purchases]])</f>
        <v>13</v>
      </c>
      <c r="V1357">
        <v>8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f>SUM(Table1[[#This Row],[Accepted_Campaign_2]]+Table1[[#This Row],[Accepted_Campaign_1]]+Table1[[#This Row],[Accepted_Campaign_5]]+Table1[[#This Row],[Accepted_Campaign_4]]+Table1[[#This Row],[Accepted_Campaign_3]])</f>
        <v>0</v>
      </c>
      <c r="AC1357">
        <v>0</v>
      </c>
      <c r="AD1357">
        <v>0</v>
      </c>
    </row>
    <row r="1358" spans="1:30" x14ac:dyDescent="0.25">
      <c r="A1358">
        <v>41771</v>
      </c>
      <c r="B1358">
        <v>3434</v>
      </c>
      <c r="C1358">
        <v>1951</v>
      </c>
      <c r="D1358" t="s">
        <v>8</v>
      </c>
      <c r="E1358" t="s">
        <v>6</v>
      </c>
      <c r="F1358" t="s">
        <v>9</v>
      </c>
      <c r="G1358">
        <v>80872</v>
      </c>
      <c r="H1358">
        <v>0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f>SUM(Table1[[#This Row],[Gold Spending]]+Table1[[#This Row],[Sweet Spending]]+Table1[[#This Row],[Fish Spending]]+Table1[[#This Row],[Meat Spending]]+Table1[[#This Row],[Fruits Spending]]+Table1[[#This Row],[Wine Spending ]])</f>
        <v>1336</v>
      </c>
      <c r="Q1358">
        <v>1</v>
      </c>
      <c r="R1358">
        <v>4</v>
      </c>
      <c r="S1358">
        <v>4</v>
      </c>
      <c r="T1358">
        <v>10</v>
      </c>
      <c r="U1358">
        <f>SUM(Table1[[#This Row],[Store_Purchases]]+Table1[[#This Row],[Catalog_Purchases]]+Table1[[#This Row],[Web_Purchases]]+Table1[[#This Row],[Deal_Purchases]])</f>
        <v>19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f>SUM(Table1[[#This Row],[Accepted_Campaign_2]]+Table1[[#This Row],[Accepted_Campaign_1]]+Table1[[#This Row],[Accepted_Campaign_5]]+Table1[[#This Row],[Accepted_Campaign_4]]+Table1[[#This Row],[Accepted_Campaign_3]])</f>
        <v>0</v>
      </c>
      <c r="AC1358">
        <v>0</v>
      </c>
      <c r="AD1358">
        <v>0</v>
      </c>
    </row>
    <row r="1359" spans="1:30" x14ac:dyDescent="0.25">
      <c r="A1359">
        <v>41770</v>
      </c>
      <c r="B1359">
        <v>5721</v>
      </c>
      <c r="C1359">
        <v>1956</v>
      </c>
      <c r="D1359" t="s">
        <v>10</v>
      </c>
      <c r="E1359" t="s">
        <v>14</v>
      </c>
      <c r="F1359" t="s">
        <v>11</v>
      </c>
      <c r="G1359">
        <v>84117</v>
      </c>
      <c r="H1359">
        <v>0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f>SUM(Table1[[#This Row],[Gold Spending]]+Table1[[#This Row],[Sweet Spending]]+Table1[[#This Row],[Fish Spending]]+Table1[[#This Row],[Meat Spending]]+Table1[[#This Row],[Fruits Spending]]+Table1[[#This Row],[Wine Spending ]])</f>
        <v>1566</v>
      </c>
      <c r="Q1359">
        <v>1</v>
      </c>
      <c r="R1359">
        <v>7</v>
      </c>
      <c r="S1359">
        <v>10</v>
      </c>
      <c r="T1359">
        <v>6</v>
      </c>
      <c r="U1359">
        <f>SUM(Table1[[#This Row],[Store_Purchases]]+Table1[[#This Row],[Catalog_Purchases]]+Table1[[#This Row],[Web_Purchases]]+Table1[[#This Row],[Deal_Purchases]])</f>
        <v>24</v>
      </c>
      <c r="V1359">
        <v>2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f>SUM(Table1[[#This Row],[Accepted_Campaign_2]]+Table1[[#This Row],[Accepted_Campaign_1]]+Table1[[#This Row],[Accepted_Campaign_5]]+Table1[[#This Row],[Accepted_Campaign_4]]+Table1[[#This Row],[Accepted_Campaign_3]])</f>
        <v>1</v>
      </c>
      <c r="AC1359">
        <v>0</v>
      </c>
      <c r="AD1359">
        <v>0</v>
      </c>
    </row>
    <row r="1360" spans="1:30" x14ac:dyDescent="0.25">
      <c r="A1360">
        <v>41728</v>
      </c>
      <c r="B1360">
        <v>8418</v>
      </c>
      <c r="C1360">
        <v>1958</v>
      </c>
      <c r="D1360" t="s">
        <v>16</v>
      </c>
      <c r="E1360" t="s">
        <v>15</v>
      </c>
      <c r="F1360" t="s">
        <v>9</v>
      </c>
      <c r="G1360">
        <v>38741</v>
      </c>
      <c r="H1360">
        <v>2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f>SUM(Table1[[#This Row],[Gold Spending]]+Table1[[#This Row],[Sweet Spending]]+Table1[[#This Row],[Fish Spending]]+Table1[[#This Row],[Meat Spending]]+Table1[[#This Row],[Fruits Spending]]+Table1[[#This Row],[Wine Spending ]])</f>
        <v>61</v>
      </c>
      <c r="Q1360">
        <v>2</v>
      </c>
      <c r="R1360">
        <v>2</v>
      </c>
      <c r="S1360">
        <v>0</v>
      </c>
      <c r="T1360">
        <v>3</v>
      </c>
      <c r="U1360">
        <f>SUM(Table1[[#This Row],[Store_Purchases]]+Table1[[#This Row],[Catalog_Purchases]]+Table1[[#This Row],[Web_Purchases]]+Table1[[#This Row],[Deal_Purchases]])</f>
        <v>7</v>
      </c>
      <c r="V1360">
        <v>7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f>SUM(Table1[[#This Row],[Accepted_Campaign_2]]+Table1[[#This Row],[Accepted_Campaign_1]]+Table1[[#This Row],[Accepted_Campaign_5]]+Table1[[#This Row],[Accepted_Campaign_4]]+Table1[[#This Row],[Accepted_Campaign_3]])</f>
        <v>0</v>
      </c>
      <c r="AC1360">
        <v>0</v>
      </c>
      <c r="AD1360">
        <v>0</v>
      </c>
    </row>
    <row r="1361" spans="1:30" x14ac:dyDescent="0.25">
      <c r="A1361">
        <v>41638</v>
      </c>
      <c r="B1361">
        <v>5300</v>
      </c>
      <c r="C1361">
        <v>1973</v>
      </c>
      <c r="D1361" t="s">
        <v>8</v>
      </c>
      <c r="E1361" t="s">
        <v>18</v>
      </c>
      <c r="F1361" t="s">
        <v>11</v>
      </c>
      <c r="G1361">
        <v>38961</v>
      </c>
      <c r="H1361">
        <v>1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f>SUM(Table1[[#This Row],[Gold Spending]]+Table1[[#This Row],[Sweet Spending]]+Table1[[#This Row],[Fish Spending]]+Table1[[#This Row],[Meat Spending]]+Table1[[#This Row],[Fruits Spending]]+Table1[[#This Row],[Wine Spending ]])</f>
        <v>70</v>
      </c>
      <c r="Q1361">
        <v>1</v>
      </c>
      <c r="R1361">
        <v>2</v>
      </c>
      <c r="S1361">
        <v>1</v>
      </c>
      <c r="T1361">
        <v>2</v>
      </c>
      <c r="U1361">
        <f>SUM(Table1[[#This Row],[Store_Purchases]]+Table1[[#This Row],[Catalog_Purchases]]+Table1[[#This Row],[Web_Purchases]]+Table1[[#This Row],[Deal_Purchases]])</f>
        <v>6</v>
      </c>
      <c r="V1361">
        <v>7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f>SUM(Table1[[#This Row],[Accepted_Campaign_2]]+Table1[[#This Row],[Accepted_Campaign_1]]+Table1[[#This Row],[Accepted_Campaign_5]]+Table1[[#This Row],[Accepted_Campaign_4]]+Table1[[#This Row],[Accepted_Campaign_3]])</f>
        <v>0</v>
      </c>
      <c r="AC1361">
        <v>0</v>
      </c>
      <c r="AD1361">
        <v>0</v>
      </c>
    </row>
    <row r="1362" spans="1:30" x14ac:dyDescent="0.25">
      <c r="A1362">
        <v>41617</v>
      </c>
      <c r="B1362">
        <v>10424</v>
      </c>
      <c r="C1362">
        <v>1968</v>
      </c>
      <c r="D1362" t="s">
        <v>20</v>
      </c>
      <c r="E1362" t="s">
        <v>6</v>
      </c>
      <c r="F1362" t="s">
        <v>9</v>
      </c>
      <c r="G1362">
        <v>75922</v>
      </c>
      <c r="H1362">
        <v>0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f>SUM(Table1[[#This Row],[Gold Spending]]+Table1[[#This Row],[Sweet Spending]]+Table1[[#This Row],[Fish Spending]]+Table1[[#This Row],[Meat Spending]]+Table1[[#This Row],[Fruits Spending]]+Table1[[#This Row],[Wine Spending ]])</f>
        <v>1295</v>
      </c>
      <c r="Q1362">
        <v>1</v>
      </c>
      <c r="R1362">
        <v>4</v>
      </c>
      <c r="S1362">
        <v>4</v>
      </c>
      <c r="T1362">
        <v>9</v>
      </c>
      <c r="U1362">
        <f>SUM(Table1[[#This Row],[Store_Purchases]]+Table1[[#This Row],[Catalog_Purchases]]+Table1[[#This Row],[Web_Purchases]]+Table1[[#This Row],[Deal_Purchases]])</f>
        <v>18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f>SUM(Table1[[#This Row],[Accepted_Campaign_2]]+Table1[[#This Row],[Accepted_Campaign_1]]+Table1[[#This Row],[Accepted_Campaign_5]]+Table1[[#This Row],[Accepted_Campaign_4]]+Table1[[#This Row],[Accepted_Campaign_3]])</f>
        <v>0</v>
      </c>
      <c r="AC1362">
        <v>0</v>
      </c>
      <c r="AD1362">
        <v>0</v>
      </c>
    </row>
    <row r="1363" spans="1:30" x14ac:dyDescent="0.25">
      <c r="A1363">
        <v>41558</v>
      </c>
      <c r="B1363">
        <v>11171</v>
      </c>
      <c r="C1363">
        <v>1965</v>
      </c>
      <c r="D1363" t="s">
        <v>13</v>
      </c>
      <c r="E1363" t="s">
        <v>18</v>
      </c>
      <c r="F1363" t="s">
        <v>11</v>
      </c>
      <c r="G1363">
        <v>56962</v>
      </c>
      <c r="H1363">
        <v>3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f>SUM(Table1[[#This Row],[Gold Spending]]+Table1[[#This Row],[Sweet Spending]]+Table1[[#This Row],[Fish Spending]]+Table1[[#This Row],[Meat Spending]]+Table1[[#This Row],[Fruits Spending]]+Table1[[#This Row],[Wine Spending ]])</f>
        <v>411</v>
      </c>
      <c r="Q1363">
        <v>7</v>
      </c>
      <c r="R1363">
        <v>6</v>
      </c>
      <c r="S1363">
        <v>3</v>
      </c>
      <c r="T1363">
        <v>5</v>
      </c>
      <c r="U1363">
        <f>SUM(Table1[[#This Row],[Store_Purchases]]+Table1[[#This Row],[Catalog_Purchases]]+Table1[[#This Row],[Web_Purchases]]+Table1[[#This Row],[Deal_Purchases]])</f>
        <v>21</v>
      </c>
      <c r="V1363">
        <v>7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f>SUM(Table1[[#This Row],[Accepted_Campaign_2]]+Table1[[#This Row],[Accepted_Campaign_1]]+Table1[[#This Row],[Accepted_Campaign_5]]+Table1[[#This Row],[Accepted_Campaign_4]]+Table1[[#This Row],[Accepted_Campaign_3]])</f>
        <v>0</v>
      </c>
      <c r="AC1363">
        <v>0</v>
      </c>
      <c r="AD1363">
        <v>0</v>
      </c>
    </row>
    <row r="1364" spans="1:30" x14ac:dyDescent="0.25">
      <c r="A1364">
        <v>41558</v>
      </c>
      <c r="B1364">
        <v>1600</v>
      </c>
      <c r="C1364">
        <v>1965</v>
      </c>
      <c r="D1364" t="s">
        <v>20</v>
      </c>
      <c r="E1364" t="s">
        <v>18</v>
      </c>
      <c r="F1364" t="s">
        <v>11</v>
      </c>
      <c r="G1364">
        <v>56962</v>
      </c>
      <c r="H1364">
        <v>3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f>SUM(Table1[[#This Row],[Gold Spending]]+Table1[[#This Row],[Sweet Spending]]+Table1[[#This Row],[Fish Spending]]+Table1[[#This Row],[Meat Spending]]+Table1[[#This Row],[Fruits Spending]]+Table1[[#This Row],[Wine Spending ]])</f>
        <v>411</v>
      </c>
      <c r="Q1364">
        <v>7</v>
      </c>
      <c r="R1364">
        <v>6</v>
      </c>
      <c r="S1364">
        <v>3</v>
      </c>
      <c r="T1364">
        <v>5</v>
      </c>
      <c r="U1364">
        <f>SUM(Table1[[#This Row],[Store_Purchases]]+Table1[[#This Row],[Catalog_Purchases]]+Table1[[#This Row],[Web_Purchases]]+Table1[[#This Row],[Deal_Purchases]])</f>
        <v>21</v>
      </c>
      <c r="V1364">
        <v>7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f>SUM(Table1[[#This Row],[Accepted_Campaign_2]]+Table1[[#This Row],[Accepted_Campaign_1]]+Table1[[#This Row],[Accepted_Campaign_5]]+Table1[[#This Row],[Accepted_Campaign_4]]+Table1[[#This Row],[Accepted_Campaign_3]])</f>
        <v>0</v>
      </c>
      <c r="AC1364">
        <v>0</v>
      </c>
      <c r="AD1364">
        <v>0</v>
      </c>
    </row>
    <row r="1365" spans="1:30" x14ac:dyDescent="0.25">
      <c r="A1365">
        <v>41539</v>
      </c>
      <c r="B1365">
        <v>7851</v>
      </c>
      <c r="C1365">
        <v>1949</v>
      </c>
      <c r="D1365" t="s">
        <v>8</v>
      </c>
      <c r="E1365" t="s">
        <v>6</v>
      </c>
      <c r="F1365" t="s">
        <v>19</v>
      </c>
      <c r="G1365">
        <v>70165</v>
      </c>
      <c r="H1365">
        <v>0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f>SUM(Table1[[#This Row],[Gold Spending]]+Table1[[#This Row],[Sweet Spending]]+Table1[[#This Row],[Fish Spending]]+Table1[[#This Row],[Meat Spending]]+Table1[[#This Row],[Fruits Spending]]+Table1[[#This Row],[Wine Spending ]])</f>
        <v>926</v>
      </c>
      <c r="Q1365">
        <v>1</v>
      </c>
      <c r="R1365">
        <v>3</v>
      </c>
      <c r="S1365">
        <v>7</v>
      </c>
      <c r="T1365">
        <v>11</v>
      </c>
      <c r="U1365">
        <f>SUM(Table1[[#This Row],[Store_Purchases]]+Table1[[#This Row],[Catalog_Purchases]]+Table1[[#This Row],[Web_Purchases]]+Table1[[#This Row],[Deal_Purchases]])</f>
        <v>22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f>SUM(Table1[[#This Row],[Accepted_Campaign_2]]+Table1[[#This Row],[Accepted_Campaign_1]]+Table1[[#This Row],[Accepted_Campaign_5]]+Table1[[#This Row],[Accepted_Campaign_4]]+Table1[[#This Row],[Accepted_Campaign_3]])</f>
        <v>0</v>
      </c>
      <c r="AC1365">
        <v>0</v>
      </c>
      <c r="AD1365">
        <v>0</v>
      </c>
    </row>
    <row r="1366" spans="1:30" x14ac:dyDescent="0.25">
      <c r="A1366">
        <v>41528</v>
      </c>
      <c r="B1366">
        <v>10701</v>
      </c>
      <c r="C1366">
        <v>1973</v>
      </c>
      <c r="D1366" t="s">
        <v>63</v>
      </c>
      <c r="E1366" t="s">
        <v>6</v>
      </c>
      <c r="F1366" t="s">
        <v>11</v>
      </c>
      <c r="G1366">
        <v>65308</v>
      </c>
      <c r="H1366">
        <v>0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f>SUM(Table1[[#This Row],[Gold Spending]]+Table1[[#This Row],[Sweet Spending]]+Table1[[#This Row],[Fish Spending]]+Table1[[#This Row],[Meat Spending]]+Table1[[#This Row],[Fruits Spending]]+Table1[[#This Row],[Wine Spending ]])</f>
        <v>1211</v>
      </c>
      <c r="Q1366">
        <v>1</v>
      </c>
      <c r="R1366">
        <v>7</v>
      </c>
      <c r="S1366">
        <v>8</v>
      </c>
      <c r="T1366">
        <v>12</v>
      </c>
      <c r="U1366">
        <f>SUM(Table1[[#This Row],[Store_Purchases]]+Table1[[#This Row],[Catalog_Purchases]]+Table1[[#This Row],[Web_Purchases]]+Table1[[#This Row],[Deal_Purchases]])</f>
        <v>28</v>
      </c>
      <c r="V1366">
        <v>4</v>
      </c>
      <c r="W1366">
        <v>0</v>
      </c>
      <c r="X1366">
        <v>0</v>
      </c>
      <c r="Y1366">
        <v>1</v>
      </c>
      <c r="Z1366">
        <v>1</v>
      </c>
      <c r="AA1366">
        <v>0</v>
      </c>
      <c r="AB1366">
        <f>SUM(Table1[[#This Row],[Accepted_Campaign_2]]+Table1[[#This Row],[Accepted_Campaign_1]]+Table1[[#This Row],[Accepted_Campaign_5]]+Table1[[#This Row],[Accepted_Campaign_4]]+Table1[[#This Row],[Accepted_Campaign_3]])</f>
        <v>2</v>
      </c>
      <c r="AC1366">
        <v>0</v>
      </c>
      <c r="AD1366">
        <v>0</v>
      </c>
    </row>
    <row r="1367" spans="1:30" x14ac:dyDescent="0.25">
      <c r="A1367">
        <v>41524</v>
      </c>
      <c r="B1367">
        <v>891</v>
      </c>
      <c r="C1367">
        <v>1951</v>
      </c>
      <c r="D1367" t="s">
        <v>8</v>
      </c>
      <c r="E1367" t="s">
        <v>18</v>
      </c>
      <c r="F1367" t="s">
        <v>12</v>
      </c>
      <c r="G1367">
        <v>29298</v>
      </c>
      <c r="H1367">
        <v>2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f>SUM(Table1[[#This Row],[Gold Spending]]+Table1[[#This Row],[Sweet Spending]]+Table1[[#This Row],[Fish Spending]]+Table1[[#This Row],[Meat Spending]]+Table1[[#This Row],[Fruits Spending]]+Table1[[#This Row],[Wine Spending ]])</f>
        <v>11</v>
      </c>
      <c r="Q1367">
        <v>1</v>
      </c>
      <c r="R1367">
        <v>1</v>
      </c>
      <c r="S1367">
        <v>0</v>
      </c>
      <c r="T1367">
        <v>2</v>
      </c>
      <c r="U1367">
        <f>SUM(Table1[[#This Row],[Store_Purchases]]+Table1[[#This Row],[Catalog_Purchases]]+Table1[[#This Row],[Web_Purchases]]+Table1[[#This Row],[Deal_Purchases]])</f>
        <v>4</v>
      </c>
      <c r="V1367">
        <v>5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f>SUM(Table1[[#This Row],[Accepted_Campaign_2]]+Table1[[#This Row],[Accepted_Campaign_1]]+Table1[[#This Row],[Accepted_Campaign_5]]+Table1[[#This Row],[Accepted_Campaign_4]]+Table1[[#This Row],[Accepted_Campaign_3]])</f>
        <v>0</v>
      </c>
      <c r="AC1367">
        <v>0</v>
      </c>
      <c r="AD1367">
        <v>0</v>
      </c>
    </row>
    <row r="1368" spans="1:30" x14ac:dyDescent="0.25">
      <c r="A1368">
        <v>41506</v>
      </c>
      <c r="B1368">
        <v>6912</v>
      </c>
      <c r="C1368">
        <v>1967</v>
      </c>
      <c r="D1368" t="s">
        <v>8</v>
      </c>
      <c r="E1368" t="s">
        <v>14</v>
      </c>
      <c r="F1368" t="s">
        <v>11</v>
      </c>
      <c r="G1368">
        <v>63246</v>
      </c>
      <c r="H1368">
        <v>2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f>SUM(Table1[[#This Row],[Gold Spending]]+Table1[[#This Row],[Sweet Spending]]+Table1[[#This Row],[Fish Spending]]+Table1[[#This Row],[Meat Spending]]+Table1[[#This Row],[Fruits Spending]]+Table1[[#This Row],[Wine Spending ]])</f>
        <v>772</v>
      </c>
      <c r="Q1368">
        <v>1</v>
      </c>
      <c r="R1368">
        <v>6</v>
      </c>
      <c r="S1368">
        <v>3</v>
      </c>
      <c r="T1368">
        <v>12</v>
      </c>
      <c r="U1368">
        <f>SUM(Table1[[#This Row],[Store_Purchases]]+Table1[[#This Row],[Catalog_Purchases]]+Table1[[#This Row],[Web_Purchases]]+Table1[[#This Row],[Deal_Purchases]])</f>
        <v>22</v>
      </c>
      <c r="V1368">
        <v>4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f>SUM(Table1[[#This Row],[Accepted_Campaign_2]]+Table1[[#This Row],[Accepted_Campaign_1]]+Table1[[#This Row],[Accepted_Campaign_5]]+Table1[[#This Row],[Accepted_Campaign_4]]+Table1[[#This Row],[Accepted_Campaign_3]])</f>
        <v>0</v>
      </c>
      <c r="AC1368">
        <v>0</v>
      </c>
      <c r="AD1368">
        <v>0</v>
      </c>
    </row>
    <row r="1369" spans="1:30" x14ac:dyDescent="0.25">
      <c r="A1369">
        <v>41473</v>
      </c>
      <c r="B1369">
        <v>5967</v>
      </c>
      <c r="C1369">
        <v>1952</v>
      </c>
      <c r="D1369" t="s">
        <v>16</v>
      </c>
      <c r="E1369" t="s">
        <v>6</v>
      </c>
      <c r="F1369" t="s">
        <v>12</v>
      </c>
      <c r="G1369">
        <v>33402</v>
      </c>
      <c r="H1369">
        <v>2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f>SUM(Table1[[#This Row],[Gold Spending]]+Table1[[#This Row],[Sweet Spending]]+Table1[[#This Row],[Fish Spending]]+Table1[[#This Row],[Meat Spending]]+Table1[[#This Row],[Fruits Spending]]+Table1[[#This Row],[Wine Spending ]])</f>
        <v>70</v>
      </c>
      <c r="Q1369">
        <v>3</v>
      </c>
      <c r="R1369">
        <v>2</v>
      </c>
      <c r="S1369">
        <v>1</v>
      </c>
      <c r="T1369">
        <v>3</v>
      </c>
      <c r="U1369">
        <f>SUM(Table1[[#This Row],[Store_Purchases]]+Table1[[#This Row],[Catalog_Purchases]]+Table1[[#This Row],[Web_Purchases]]+Table1[[#This Row],[Deal_Purchases]])</f>
        <v>9</v>
      </c>
      <c r="V1369">
        <v>8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f>SUM(Table1[[#This Row],[Accepted_Campaign_2]]+Table1[[#This Row],[Accepted_Campaign_1]]+Table1[[#This Row],[Accepted_Campaign_5]]+Table1[[#This Row],[Accepted_Campaign_4]]+Table1[[#This Row],[Accepted_Campaign_3]])</f>
        <v>0</v>
      </c>
      <c r="AC1369">
        <v>0</v>
      </c>
      <c r="AD1369">
        <v>0</v>
      </c>
    </row>
    <row r="1370" spans="1:30" x14ac:dyDescent="0.25">
      <c r="A1370">
        <v>41387</v>
      </c>
      <c r="B1370">
        <v>2109</v>
      </c>
      <c r="C1370">
        <v>1990</v>
      </c>
      <c r="D1370" t="s">
        <v>8</v>
      </c>
      <c r="E1370" t="s">
        <v>6</v>
      </c>
      <c r="F1370" t="s">
        <v>9</v>
      </c>
      <c r="G1370">
        <v>96843</v>
      </c>
      <c r="H1370">
        <v>0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f>SUM(Table1[[#This Row],[Gold Spending]]+Table1[[#This Row],[Sweet Spending]]+Table1[[#This Row],[Fish Spending]]+Table1[[#This Row],[Meat Spending]]+Table1[[#This Row],[Fruits Spending]]+Table1[[#This Row],[Wine Spending ]])</f>
        <v>1544</v>
      </c>
      <c r="Q1370">
        <v>1</v>
      </c>
      <c r="R1370">
        <v>6</v>
      </c>
      <c r="S1370">
        <v>11</v>
      </c>
      <c r="T1370">
        <v>10</v>
      </c>
      <c r="U1370">
        <f>SUM(Table1[[#This Row],[Store_Purchases]]+Table1[[#This Row],[Catalog_Purchases]]+Table1[[#This Row],[Web_Purchases]]+Table1[[#This Row],[Deal_Purchases]])</f>
        <v>28</v>
      </c>
      <c r="V1370">
        <v>2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f>SUM(Table1[[#This Row],[Accepted_Campaign_2]]+Table1[[#This Row],[Accepted_Campaign_1]]+Table1[[#This Row],[Accepted_Campaign_5]]+Table1[[#This Row],[Accepted_Campaign_4]]+Table1[[#This Row],[Accepted_Campaign_3]])</f>
        <v>1</v>
      </c>
      <c r="AC1370">
        <v>1</v>
      </c>
      <c r="AD1370">
        <v>0</v>
      </c>
    </row>
    <row r="1371" spans="1:30" x14ac:dyDescent="0.25">
      <c r="A1371">
        <v>41363</v>
      </c>
      <c r="B1371">
        <v>6292</v>
      </c>
      <c r="C1371">
        <v>1986</v>
      </c>
      <c r="D1371" t="s">
        <v>16</v>
      </c>
      <c r="E1371" t="s">
        <v>14</v>
      </c>
      <c r="F1371" t="s">
        <v>11</v>
      </c>
      <c r="G1371">
        <v>82333</v>
      </c>
      <c r="H1371">
        <v>0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f>SUM(Table1[[#This Row],[Gold Spending]]+Table1[[#This Row],[Sweet Spending]]+Table1[[#This Row],[Fish Spending]]+Table1[[#This Row],[Meat Spending]]+Table1[[#This Row],[Fruits Spending]]+Table1[[#This Row],[Wine Spending ]])</f>
        <v>1822</v>
      </c>
      <c r="Q1371">
        <v>1</v>
      </c>
      <c r="R1371">
        <v>4</v>
      </c>
      <c r="S1371">
        <v>3</v>
      </c>
      <c r="T1371">
        <v>10</v>
      </c>
      <c r="U1371">
        <f>SUM(Table1[[#This Row],[Store_Purchases]]+Table1[[#This Row],[Catalog_Purchases]]+Table1[[#This Row],[Web_Purchases]]+Table1[[#This Row],[Deal_Purchases]])</f>
        <v>18</v>
      </c>
      <c r="V1371">
        <v>2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f>SUM(Table1[[#This Row],[Accepted_Campaign_2]]+Table1[[#This Row],[Accepted_Campaign_1]]+Table1[[#This Row],[Accepted_Campaign_5]]+Table1[[#This Row],[Accepted_Campaign_4]]+Table1[[#This Row],[Accepted_Campaign_3]])</f>
        <v>1</v>
      </c>
      <c r="AC1371">
        <v>1</v>
      </c>
      <c r="AD1371">
        <v>0</v>
      </c>
    </row>
    <row r="1372" spans="1:30" x14ac:dyDescent="0.25">
      <c r="A1372">
        <v>41332</v>
      </c>
      <c r="B1372">
        <v>8537</v>
      </c>
      <c r="C1372">
        <v>1949</v>
      </c>
      <c r="D1372" t="s">
        <v>8</v>
      </c>
      <c r="E1372" t="s">
        <v>6</v>
      </c>
      <c r="F1372" t="s">
        <v>19</v>
      </c>
      <c r="G1372">
        <v>72643</v>
      </c>
      <c r="H1372">
        <v>0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f>SUM(Table1[[#This Row],[Gold Spending]]+Table1[[#This Row],[Sweet Spending]]+Table1[[#This Row],[Fish Spending]]+Table1[[#This Row],[Meat Spending]]+Table1[[#This Row],[Fruits Spending]]+Table1[[#This Row],[Wine Spending ]])</f>
        <v>1429</v>
      </c>
      <c r="Q1372">
        <v>1</v>
      </c>
      <c r="R1372">
        <v>3</v>
      </c>
      <c r="S1372">
        <v>10</v>
      </c>
      <c r="T1372">
        <v>7</v>
      </c>
      <c r="U1372">
        <f>SUM(Table1[[#This Row],[Store_Purchases]]+Table1[[#This Row],[Catalog_Purchases]]+Table1[[#This Row],[Web_Purchases]]+Table1[[#This Row],[Deal_Purchases]])</f>
        <v>21</v>
      </c>
      <c r="V1372">
        <v>2</v>
      </c>
      <c r="W1372">
        <v>0</v>
      </c>
      <c r="X1372">
        <v>0</v>
      </c>
      <c r="Y1372">
        <v>0</v>
      </c>
      <c r="Z1372">
        <v>1</v>
      </c>
      <c r="AA1372">
        <v>0</v>
      </c>
      <c r="AB1372">
        <f>SUM(Table1[[#This Row],[Accepted_Campaign_2]]+Table1[[#This Row],[Accepted_Campaign_1]]+Table1[[#This Row],[Accepted_Campaign_5]]+Table1[[#This Row],[Accepted_Campaign_4]]+Table1[[#This Row],[Accepted_Campaign_3]])</f>
        <v>1</v>
      </c>
      <c r="AC1372">
        <v>1</v>
      </c>
      <c r="AD1372">
        <v>0</v>
      </c>
    </row>
    <row r="1373" spans="1:30" x14ac:dyDescent="0.25">
      <c r="A1373">
        <v>41316</v>
      </c>
      <c r="B1373">
        <v>9576</v>
      </c>
      <c r="C1373">
        <v>1982</v>
      </c>
      <c r="D1373" t="s">
        <v>8</v>
      </c>
      <c r="E1373" t="s">
        <v>14</v>
      </c>
      <c r="F1373" t="s">
        <v>12</v>
      </c>
      <c r="G1373">
        <v>32313</v>
      </c>
      <c r="H1373">
        <v>1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f>SUM(Table1[[#This Row],[Gold Spending]]+Table1[[#This Row],[Sweet Spending]]+Table1[[#This Row],[Fish Spending]]+Table1[[#This Row],[Meat Spending]]+Table1[[#This Row],[Fruits Spending]]+Table1[[#This Row],[Wine Spending ]])</f>
        <v>159</v>
      </c>
      <c r="Q1373">
        <v>3</v>
      </c>
      <c r="R1373">
        <v>4</v>
      </c>
      <c r="S1373">
        <v>0</v>
      </c>
      <c r="T1373">
        <v>4</v>
      </c>
      <c r="U1373">
        <f>SUM(Table1[[#This Row],[Store_Purchases]]+Table1[[#This Row],[Catalog_Purchases]]+Table1[[#This Row],[Web_Purchases]]+Table1[[#This Row],[Deal_Purchases]])</f>
        <v>11</v>
      </c>
      <c r="V1373">
        <v>9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f>SUM(Table1[[#This Row],[Accepted_Campaign_2]]+Table1[[#This Row],[Accepted_Campaign_1]]+Table1[[#This Row],[Accepted_Campaign_5]]+Table1[[#This Row],[Accepted_Campaign_4]]+Table1[[#This Row],[Accepted_Campaign_3]])</f>
        <v>0</v>
      </c>
      <c r="AC1373">
        <v>0</v>
      </c>
      <c r="AD1373">
        <v>0</v>
      </c>
    </row>
    <row r="1374" spans="1:30" x14ac:dyDescent="0.25">
      <c r="A1374">
        <v>41267</v>
      </c>
      <c r="B1374">
        <v>5935</v>
      </c>
      <c r="C1374">
        <v>1956</v>
      </c>
      <c r="D1374" t="s">
        <v>17</v>
      </c>
      <c r="E1374" t="s">
        <v>18</v>
      </c>
      <c r="F1374" t="s">
        <v>9</v>
      </c>
      <c r="G1374">
        <v>55284</v>
      </c>
      <c r="H1374">
        <v>1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f>SUM(Table1[[#This Row],[Gold Spending]]+Table1[[#This Row],[Sweet Spending]]+Table1[[#This Row],[Fish Spending]]+Table1[[#This Row],[Meat Spending]]+Table1[[#This Row],[Fruits Spending]]+Table1[[#This Row],[Wine Spending ]])</f>
        <v>764</v>
      </c>
      <c r="Q1374">
        <v>3</v>
      </c>
      <c r="R1374">
        <v>7</v>
      </c>
      <c r="S1374">
        <v>5</v>
      </c>
      <c r="T1374">
        <v>8</v>
      </c>
      <c r="U1374">
        <f>SUM(Table1[[#This Row],[Store_Purchases]]+Table1[[#This Row],[Catalog_Purchases]]+Table1[[#This Row],[Web_Purchases]]+Table1[[#This Row],[Deal_Purchases]])</f>
        <v>23</v>
      </c>
      <c r="V1374">
        <v>5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f>SUM(Table1[[#This Row],[Accepted_Campaign_2]]+Table1[[#This Row],[Accepted_Campaign_1]]+Table1[[#This Row],[Accepted_Campaign_5]]+Table1[[#This Row],[Accepted_Campaign_4]]+Table1[[#This Row],[Accepted_Campaign_3]])</f>
        <v>0</v>
      </c>
      <c r="AC1374">
        <v>0</v>
      </c>
      <c r="AD1374">
        <v>0</v>
      </c>
    </row>
    <row r="1375" spans="1:30" x14ac:dyDescent="0.25">
      <c r="A1375">
        <v>41192</v>
      </c>
      <c r="B1375">
        <v>10264</v>
      </c>
      <c r="C1375">
        <v>1979</v>
      </c>
      <c r="D1375" t="s">
        <v>20</v>
      </c>
      <c r="E1375" t="s">
        <v>6</v>
      </c>
      <c r="F1375" t="s">
        <v>7</v>
      </c>
      <c r="G1375">
        <v>15287</v>
      </c>
      <c r="H1375">
        <v>1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f>SUM(Table1[[#This Row],[Gold Spending]]+Table1[[#This Row],[Sweet Spending]]+Table1[[#This Row],[Fish Spending]]+Table1[[#This Row],[Meat Spending]]+Table1[[#This Row],[Fruits Spending]]+Table1[[#This Row],[Wine Spending ]])</f>
        <v>31</v>
      </c>
      <c r="Q1375">
        <v>2</v>
      </c>
      <c r="R1375">
        <v>1</v>
      </c>
      <c r="S1375">
        <v>1</v>
      </c>
      <c r="T1375">
        <v>2</v>
      </c>
      <c r="U1375">
        <f>SUM(Table1[[#This Row],[Store_Purchases]]+Table1[[#This Row],[Catalog_Purchases]]+Table1[[#This Row],[Web_Purchases]]+Table1[[#This Row],[Deal_Purchases]])</f>
        <v>6</v>
      </c>
      <c r="V1375">
        <v>7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f>SUM(Table1[[#This Row],[Accepted_Campaign_2]]+Table1[[#This Row],[Accepted_Campaign_1]]+Table1[[#This Row],[Accepted_Campaign_5]]+Table1[[#This Row],[Accepted_Campaign_4]]+Table1[[#This Row],[Accepted_Campaign_3]])</f>
        <v>1</v>
      </c>
      <c r="AC1375">
        <v>1</v>
      </c>
      <c r="AD1375">
        <v>0</v>
      </c>
    </row>
    <row r="1376" spans="1:30" x14ac:dyDescent="0.25">
      <c r="A1376">
        <v>41192</v>
      </c>
      <c r="B1376">
        <v>234</v>
      </c>
      <c r="C1376">
        <v>1979</v>
      </c>
      <c r="D1376" t="s">
        <v>8</v>
      </c>
      <c r="E1376" t="s">
        <v>6</v>
      </c>
      <c r="F1376" t="s">
        <v>7</v>
      </c>
      <c r="G1376">
        <v>15287</v>
      </c>
      <c r="H1376">
        <v>1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f>SUM(Table1[[#This Row],[Gold Spending]]+Table1[[#This Row],[Sweet Spending]]+Table1[[#This Row],[Fish Spending]]+Table1[[#This Row],[Meat Spending]]+Table1[[#This Row],[Fruits Spending]]+Table1[[#This Row],[Wine Spending ]])</f>
        <v>31</v>
      </c>
      <c r="Q1376">
        <v>2</v>
      </c>
      <c r="R1376">
        <v>1</v>
      </c>
      <c r="S1376">
        <v>1</v>
      </c>
      <c r="T1376">
        <v>2</v>
      </c>
      <c r="U1376">
        <f>SUM(Table1[[#This Row],[Store_Purchases]]+Table1[[#This Row],[Catalog_Purchases]]+Table1[[#This Row],[Web_Purchases]]+Table1[[#This Row],[Deal_Purchases]])</f>
        <v>6</v>
      </c>
      <c r="V1376">
        <v>7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f>SUM(Table1[[#This Row],[Accepted_Campaign_2]]+Table1[[#This Row],[Accepted_Campaign_1]]+Table1[[#This Row],[Accepted_Campaign_5]]+Table1[[#This Row],[Accepted_Campaign_4]]+Table1[[#This Row],[Accepted_Campaign_3]])</f>
        <v>1</v>
      </c>
      <c r="AC1376">
        <v>1</v>
      </c>
      <c r="AD1376">
        <v>0</v>
      </c>
    </row>
    <row r="1377" spans="1:30" x14ac:dyDescent="0.25">
      <c r="A1377">
        <v>41183</v>
      </c>
      <c r="B1377">
        <v>3202</v>
      </c>
      <c r="C1377">
        <v>1987</v>
      </c>
      <c r="D1377" t="s">
        <v>20</v>
      </c>
      <c r="E1377" t="s">
        <v>14</v>
      </c>
      <c r="F1377" t="s">
        <v>11</v>
      </c>
      <c r="G1377">
        <v>51563</v>
      </c>
      <c r="H1377">
        <v>0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f>SUM(Table1[[#This Row],[Gold Spending]]+Table1[[#This Row],[Sweet Spending]]+Table1[[#This Row],[Fish Spending]]+Table1[[#This Row],[Meat Spending]]+Table1[[#This Row],[Fruits Spending]]+Table1[[#This Row],[Wine Spending ]])</f>
        <v>1250</v>
      </c>
      <c r="Q1377">
        <v>1</v>
      </c>
      <c r="R1377">
        <v>4</v>
      </c>
      <c r="S1377">
        <v>4</v>
      </c>
      <c r="T1377">
        <v>10</v>
      </c>
      <c r="U1377">
        <f>SUM(Table1[[#This Row],[Store_Purchases]]+Table1[[#This Row],[Catalog_Purchases]]+Table1[[#This Row],[Web_Purchases]]+Table1[[#This Row],[Deal_Purchases]])</f>
        <v>19</v>
      </c>
      <c r="V1377">
        <v>8</v>
      </c>
      <c r="W1377">
        <v>0</v>
      </c>
      <c r="X1377">
        <v>1</v>
      </c>
      <c r="Y1377">
        <v>1</v>
      </c>
      <c r="Z1377">
        <v>0</v>
      </c>
      <c r="AA1377">
        <v>0</v>
      </c>
      <c r="AB1377">
        <f>SUM(Table1[[#This Row],[Accepted_Campaign_2]]+Table1[[#This Row],[Accepted_Campaign_1]]+Table1[[#This Row],[Accepted_Campaign_5]]+Table1[[#This Row],[Accepted_Campaign_4]]+Table1[[#This Row],[Accepted_Campaign_3]])</f>
        <v>2</v>
      </c>
      <c r="AC1377">
        <v>0</v>
      </c>
      <c r="AD1377">
        <v>0</v>
      </c>
    </row>
    <row r="1378" spans="1:30" x14ac:dyDescent="0.25">
      <c r="A1378">
        <v>41181</v>
      </c>
      <c r="B1378">
        <v>1103</v>
      </c>
      <c r="C1378">
        <v>1976</v>
      </c>
      <c r="D1378" t="s">
        <v>13</v>
      </c>
      <c r="E1378" t="s">
        <v>18</v>
      </c>
      <c r="F1378" t="s">
        <v>11</v>
      </c>
      <c r="G1378">
        <v>81929</v>
      </c>
      <c r="H1378">
        <v>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f>SUM(Table1[[#This Row],[Gold Spending]]+Table1[[#This Row],[Sweet Spending]]+Table1[[#This Row],[Fish Spending]]+Table1[[#This Row],[Meat Spending]]+Table1[[#This Row],[Fruits Spending]]+Table1[[#This Row],[Wine Spending ]])</f>
        <v>2053</v>
      </c>
      <c r="Q1378">
        <v>2</v>
      </c>
      <c r="R1378">
        <v>4</v>
      </c>
      <c r="S1378">
        <v>4</v>
      </c>
      <c r="T1378">
        <v>10</v>
      </c>
      <c r="U1378">
        <f>SUM(Table1[[#This Row],[Store_Purchases]]+Table1[[#This Row],[Catalog_Purchases]]+Table1[[#This Row],[Web_Purchases]]+Table1[[#This Row],[Deal_Purchases]])</f>
        <v>20</v>
      </c>
      <c r="V1378">
        <v>6</v>
      </c>
      <c r="W1378">
        <v>1</v>
      </c>
      <c r="X1378">
        <v>0</v>
      </c>
      <c r="Y1378">
        <v>1</v>
      </c>
      <c r="Z1378">
        <v>0</v>
      </c>
      <c r="AA1378">
        <v>0</v>
      </c>
      <c r="AB1378">
        <f>SUM(Table1[[#This Row],[Accepted_Campaign_2]]+Table1[[#This Row],[Accepted_Campaign_1]]+Table1[[#This Row],[Accepted_Campaign_5]]+Table1[[#This Row],[Accepted_Campaign_4]]+Table1[[#This Row],[Accepted_Campaign_3]])</f>
        <v>2</v>
      </c>
      <c r="AC1378">
        <v>1</v>
      </c>
      <c r="AD1378">
        <v>0</v>
      </c>
    </row>
    <row r="1379" spans="1:30" x14ac:dyDescent="0.25">
      <c r="A1379">
        <v>41128</v>
      </c>
      <c r="B1379">
        <v>610</v>
      </c>
      <c r="C1379">
        <v>1953</v>
      </c>
      <c r="D1379" t="s">
        <v>13</v>
      </c>
      <c r="E1379" t="s">
        <v>14</v>
      </c>
      <c r="F1379" t="s">
        <v>12</v>
      </c>
      <c r="G1379">
        <v>53593</v>
      </c>
      <c r="H1379">
        <v>2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f>SUM(Table1[[#This Row],[Gold Spending]]+Table1[[#This Row],[Sweet Spending]]+Table1[[#This Row],[Fish Spending]]+Table1[[#This Row],[Meat Spending]]+Table1[[#This Row],[Fruits Spending]]+Table1[[#This Row],[Wine Spending ]])</f>
        <v>480</v>
      </c>
      <c r="Q1379">
        <v>8</v>
      </c>
      <c r="R1379">
        <v>7</v>
      </c>
      <c r="S1379">
        <v>2</v>
      </c>
      <c r="T1379">
        <v>6</v>
      </c>
      <c r="U1379">
        <f>SUM(Table1[[#This Row],[Store_Purchases]]+Table1[[#This Row],[Catalog_Purchases]]+Table1[[#This Row],[Web_Purchases]]+Table1[[#This Row],[Deal_Purchases]])</f>
        <v>23</v>
      </c>
      <c r="V1379">
        <v>8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f>SUM(Table1[[#This Row],[Accepted_Campaign_2]]+Table1[[#This Row],[Accepted_Campaign_1]]+Table1[[#This Row],[Accepted_Campaign_5]]+Table1[[#This Row],[Accepted_Campaign_4]]+Table1[[#This Row],[Accepted_Campaign_3]])</f>
        <v>0</v>
      </c>
      <c r="AC1379">
        <v>0</v>
      </c>
      <c r="AD1379">
        <v>0</v>
      </c>
    </row>
    <row r="1380" spans="1:30" x14ac:dyDescent="0.25">
      <c r="A1380">
        <v>41707</v>
      </c>
      <c r="B1380">
        <v>4480</v>
      </c>
      <c r="C1380">
        <v>1973</v>
      </c>
      <c r="D1380" t="s">
        <v>20</v>
      </c>
      <c r="E1380" t="s">
        <v>18</v>
      </c>
      <c r="F1380" t="s">
        <v>11</v>
      </c>
      <c r="G1380">
        <v>60432</v>
      </c>
      <c r="H1380">
        <v>1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f>SUM(Table1[[#This Row],[Gold Spending]]+Table1[[#This Row],[Sweet Spending]]+Table1[[#This Row],[Fish Spending]]+Table1[[#This Row],[Meat Spending]]+Table1[[#This Row],[Fruits Spending]]+Table1[[#This Row],[Wine Spending ]])</f>
        <v>401</v>
      </c>
      <c r="Q1380">
        <v>5</v>
      </c>
      <c r="R1380">
        <v>7</v>
      </c>
      <c r="S1380">
        <v>2</v>
      </c>
      <c r="T1380">
        <v>5</v>
      </c>
      <c r="U1380">
        <f>SUM(Table1[[#This Row],[Store_Purchases]]+Table1[[#This Row],[Catalog_Purchases]]+Table1[[#This Row],[Web_Purchases]]+Table1[[#This Row],[Deal_Purchases]])</f>
        <v>19</v>
      </c>
      <c r="V1380">
        <v>6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f>SUM(Table1[[#This Row],[Accepted_Campaign_2]]+Table1[[#This Row],[Accepted_Campaign_1]]+Table1[[#This Row],[Accepted_Campaign_5]]+Table1[[#This Row],[Accepted_Campaign_4]]+Table1[[#This Row],[Accepted_Campaign_3]])</f>
        <v>0</v>
      </c>
      <c r="AC1380">
        <v>0</v>
      </c>
      <c r="AD1380">
        <v>0</v>
      </c>
    </row>
    <row r="1381" spans="1:30" x14ac:dyDescent="0.25">
      <c r="A1381">
        <v>41651</v>
      </c>
      <c r="B1381">
        <v>10660</v>
      </c>
      <c r="C1381">
        <v>1957</v>
      </c>
      <c r="D1381" t="s">
        <v>8</v>
      </c>
      <c r="E1381" t="s">
        <v>18</v>
      </c>
      <c r="F1381" t="s">
        <v>11</v>
      </c>
      <c r="G1381">
        <v>66726</v>
      </c>
      <c r="H1381">
        <v>2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f>SUM(Table1[[#This Row],[Gold Spending]]+Table1[[#This Row],[Sweet Spending]]+Table1[[#This Row],[Fish Spending]]+Table1[[#This Row],[Meat Spending]]+Table1[[#This Row],[Fruits Spending]]+Table1[[#This Row],[Wine Spending ]])</f>
        <v>438</v>
      </c>
      <c r="Q1381">
        <v>3</v>
      </c>
      <c r="R1381">
        <v>8</v>
      </c>
      <c r="S1381">
        <v>2</v>
      </c>
      <c r="T1381">
        <v>4</v>
      </c>
      <c r="U1381">
        <f>SUM(Table1[[#This Row],[Store_Purchases]]+Table1[[#This Row],[Catalog_Purchases]]+Table1[[#This Row],[Web_Purchases]]+Table1[[#This Row],[Deal_Purchases]])</f>
        <v>17</v>
      </c>
      <c r="V1381">
        <v>7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f>SUM(Table1[[#This Row],[Accepted_Campaign_2]]+Table1[[#This Row],[Accepted_Campaign_1]]+Table1[[#This Row],[Accepted_Campaign_5]]+Table1[[#This Row],[Accepted_Campaign_4]]+Table1[[#This Row],[Accepted_Campaign_3]])</f>
        <v>1</v>
      </c>
      <c r="AC1381">
        <v>0</v>
      </c>
      <c r="AD1381">
        <v>0</v>
      </c>
    </row>
    <row r="1382" spans="1:30" x14ac:dyDescent="0.25">
      <c r="A1382">
        <v>41645</v>
      </c>
      <c r="B1382">
        <v>9353</v>
      </c>
      <c r="C1382">
        <v>1959</v>
      </c>
      <c r="D1382" t="s">
        <v>17</v>
      </c>
      <c r="E1382" t="s">
        <v>6</v>
      </c>
      <c r="F1382" t="s">
        <v>9</v>
      </c>
      <c r="G1382">
        <v>62450</v>
      </c>
      <c r="H1382">
        <v>1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f>SUM(Table1[[#This Row],[Gold Spending]]+Table1[[#This Row],[Sweet Spending]]+Table1[[#This Row],[Fish Spending]]+Table1[[#This Row],[Meat Spending]]+Table1[[#This Row],[Fruits Spending]]+Table1[[#This Row],[Wine Spending ]])</f>
        <v>995</v>
      </c>
      <c r="Q1382">
        <v>2</v>
      </c>
      <c r="R1382">
        <v>5</v>
      </c>
      <c r="S1382">
        <v>5</v>
      </c>
      <c r="T1382">
        <v>4</v>
      </c>
      <c r="U1382">
        <f>SUM(Table1[[#This Row],[Store_Purchases]]+Table1[[#This Row],[Catalog_Purchases]]+Table1[[#This Row],[Web_Purchases]]+Table1[[#This Row],[Deal_Purchases]])</f>
        <v>16</v>
      </c>
      <c r="V1382">
        <v>3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f>SUM(Table1[[#This Row],[Accepted_Campaign_2]]+Table1[[#This Row],[Accepted_Campaign_1]]+Table1[[#This Row],[Accepted_Campaign_5]]+Table1[[#This Row],[Accepted_Campaign_4]]+Table1[[#This Row],[Accepted_Campaign_3]])</f>
        <v>1</v>
      </c>
      <c r="AC1382">
        <v>0</v>
      </c>
      <c r="AD1382">
        <v>0</v>
      </c>
    </row>
    <row r="1383" spans="1:30" x14ac:dyDescent="0.25">
      <c r="A1383">
        <v>41625</v>
      </c>
      <c r="B1383">
        <v>4120</v>
      </c>
      <c r="C1383">
        <v>1975</v>
      </c>
      <c r="D1383" t="s">
        <v>17</v>
      </c>
      <c r="E1383" t="s">
        <v>15</v>
      </c>
      <c r="F1383" t="s">
        <v>9</v>
      </c>
      <c r="G1383">
        <v>49514</v>
      </c>
      <c r="H1383">
        <v>1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f>SUM(Table1[[#This Row],[Gold Spending]]+Table1[[#This Row],[Sweet Spending]]+Table1[[#This Row],[Fish Spending]]+Table1[[#This Row],[Meat Spending]]+Table1[[#This Row],[Fruits Spending]]+Table1[[#This Row],[Wine Spending ]])</f>
        <v>369</v>
      </c>
      <c r="Q1383">
        <v>2</v>
      </c>
      <c r="R1383">
        <v>6</v>
      </c>
      <c r="S1383">
        <v>1</v>
      </c>
      <c r="T1383">
        <v>4</v>
      </c>
      <c r="U1383">
        <f>SUM(Table1[[#This Row],[Store_Purchases]]+Table1[[#This Row],[Catalog_Purchases]]+Table1[[#This Row],[Web_Purchases]]+Table1[[#This Row],[Deal_Purchases]])</f>
        <v>13</v>
      </c>
      <c r="V1383">
        <v>7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f>SUM(Table1[[#This Row],[Accepted_Campaign_2]]+Table1[[#This Row],[Accepted_Campaign_1]]+Table1[[#This Row],[Accepted_Campaign_5]]+Table1[[#This Row],[Accepted_Campaign_4]]+Table1[[#This Row],[Accepted_Campaign_3]])</f>
        <v>0</v>
      </c>
      <c r="AC1383">
        <v>0</v>
      </c>
      <c r="AD1383">
        <v>0</v>
      </c>
    </row>
    <row r="1384" spans="1:30" x14ac:dyDescent="0.25">
      <c r="A1384">
        <v>41533</v>
      </c>
      <c r="B1384">
        <v>2836</v>
      </c>
      <c r="C1384">
        <v>1972</v>
      </c>
      <c r="D1384" t="s">
        <v>16</v>
      </c>
      <c r="E1384" t="s">
        <v>14</v>
      </c>
      <c r="F1384" t="s">
        <v>11</v>
      </c>
      <c r="G1384">
        <v>43269</v>
      </c>
      <c r="H1384">
        <v>1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f>SUM(Table1[[#This Row],[Gold Spending]]+Table1[[#This Row],[Sweet Spending]]+Table1[[#This Row],[Fish Spending]]+Table1[[#This Row],[Meat Spending]]+Table1[[#This Row],[Fruits Spending]]+Table1[[#This Row],[Wine Spending ]])</f>
        <v>19</v>
      </c>
      <c r="Q1384">
        <v>1</v>
      </c>
      <c r="R1384">
        <v>1</v>
      </c>
      <c r="S1384">
        <v>0</v>
      </c>
      <c r="T1384">
        <v>2</v>
      </c>
      <c r="U1384">
        <f>SUM(Table1[[#This Row],[Store_Purchases]]+Table1[[#This Row],[Catalog_Purchases]]+Table1[[#This Row],[Web_Purchases]]+Table1[[#This Row],[Deal_Purchases]])</f>
        <v>4</v>
      </c>
      <c r="V1384">
        <v>8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f>SUM(Table1[[#This Row],[Accepted_Campaign_2]]+Table1[[#This Row],[Accepted_Campaign_1]]+Table1[[#This Row],[Accepted_Campaign_5]]+Table1[[#This Row],[Accepted_Campaign_4]]+Table1[[#This Row],[Accepted_Campaign_3]])</f>
        <v>0</v>
      </c>
      <c r="AC1384">
        <v>0</v>
      </c>
      <c r="AD1384">
        <v>0</v>
      </c>
    </row>
    <row r="1385" spans="1:30" x14ac:dyDescent="0.25">
      <c r="A1385">
        <v>41462</v>
      </c>
      <c r="B1385">
        <v>9579</v>
      </c>
      <c r="C1385">
        <v>1959</v>
      </c>
      <c r="D1385" t="s">
        <v>10</v>
      </c>
      <c r="E1385" t="s">
        <v>14</v>
      </c>
      <c r="F1385" t="s">
        <v>11</v>
      </c>
      <c r="G1385">
        <v>33762</v>
      </c>
      <c r="H1385">
        <v>3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f>SUM(Table1[[#This Row],[Gold Spending]]+Table1[[#This Row],[Sweet Spending]]+Table1[[#This Row],[Fish Spending]]+Table1[[#This Row],[Meat Spending]]+Table1[[#This Row],[Fruits Spending]]+Table1[[#This Row],[Wine Spending ]])</f>
        <v>106</v>
      </c>
      <c r="Q1385">
        <v>3</v>
      </c>
      <c r="R1385">
        <v>2</v>
      </c>
      <c r="S1385">
        <v>2</v>
      </c>
      <c r="T1385">
        <v>2</v>
      </c>
      <c r="U1385">
        <f>SUM(Table1[[#This Row],[Store_Purchases]]+Table1[[#This Row],[Catalog_Purchases]]+Table1[[#This Row],[Web_Purchases]]+Table1[[#This Row],[Deal_Purchases]])</f>
        <v>9</v>
      </c>
      <c r="V1385">
        <v>8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f>SUM(Table1[[#This Row],[Accepted_Campaign_2]]+Table1[[#This Row],[Accepted_Campaign_1]]+Table1[[#This Row],[Accepted_Campaign_5]]+Table1[[#This Row],[Accepted_Campaign_4]]+Table1[[#This Row],[Accepted_Campaign_3]])</f>
        <v>0</v>
      </c>
      <c r="AC1385">
        <v>0</v>
      </c>
      <c r="AD1385">
        <v>0</v>
      </c>
    </row>
    <row r="1386" spans="1:30" x14ac:dyDescent="0.25">
      <c r="A1386">
        <v>41453</v>
      </c>
      <c r="B1386">
        <v>5841</v>
      </c>
      <c r="C1386">
        <v>1966</v>
      </c>
      <c r="D1386" t="s">
        <v>8</v>
      </c>
      <c r="E1386" t="s">
        <v>6</v>
      </c>
      <c r="F1386" t="s">
        <v>12</v>
      </c>
      <c r="G1386">
        <v>60894</v>
      </c>
      <c r="H1386">
        <v>1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f>SUM(Table1[[#This Row],[Gold Spending]]+Table1[[#This Row],[Sweet Spending]]+Table1[[#This Row],[Fish Spending]]+Table1[[#This Row],[Meat Spending]]+Table1[[#This Row],[Fruits Spending]]+Table1[[#This Row],[Wine Spending ]])</f>
        <v>832</v>
      </c>
      <c r="Q1386">
        <v>5</v>
      </c>
      <c r="R1386">
        <v>10</v>
      </c>
      <c r="S1386">
        <v>3</v>
      </c>
      <c r="T1386">
        <v>8</v>
      </c>
      <c r="U1386">
        <f>SUM(Table1[[#This Row],[Store_Purchases]]+Table1[[#This Row],[Catalog_Purchases]]+Table1[[#This Row],[Web_Purchases]]+Table1[[#This Row],[Deal_Purchases]])</f>
        <v>26</v>
      </c>
      <c r="V1386">
        <v>7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f>SUM(Table1[[#This Row],[Accepted_Campaign_2]]+Table1[[#This Row],[Accepted_Campaign_1]]+Table1[[#This Row],[Accepted_Campaign_5]]+Table1[[#This Row],[Accepted_Campaign_4]]+Table1[[#This Row],[Accepted_Campaign_3]])</f>
        <v>0</v>
      </c>
      <c r="AC1386">
        <v>0</v>
      </c>
      <c r="AD1386">
        <v>0</v>
      </c>
    </row>
    <row r="1387" spans="1:30" x14ac:dyDescent="0.25">
      <c r="A1387">
        <v>41416</v>
      </c>
      <c r="B1387">
        <v>3174</v>
      </c>
      <c r="C1387">
        <v>1959</v>
      </c>
      <c r="D1387" t="s">
        <v>8</v>
      </c>
      <c r="E1387" t="s">
        <v>6</v>
      </c>
      <c r="F1387" t="s">
        <v>12</v>
      </c>
      <c r="G1387">
        <v>87771</v>
      </c>
      <c r="H1387">
        <v>1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f>SUM(Table1[[#This Row],[Gold Spending]]+Table1[[#This Row],[Sweet Spending]]+Table1[[#This Row],[Fish Spending]]+Table1[[#This Row],[Meat Spending]]+Table1[[#This Row],[Fruits Spending]]+Table1[[#This Row],[Wine Spending ]])</f>
        <v>1957</v>
      </c>
      <c r="Q1387">
        <v>1</v>
      </c>
      <c r="R1387">
        <v>5</v>
      </c>
      <c r="S1387">
        <v>10</v>
      </c>
      <c r="T1387">
        <v>4</v>
      </c>
      <c r="U1387">
        <f>SUM(Table1[[#This Row],[Store_Purchases]]+Table1[[#This Row],[Catalog_Purchases]]+Table1[[#This Row],[Web_Purchases]]+Table1[[#This Row],[Deal_Purchases]])</f>
        <v>20</v>
      </c>
      <c r="V1387">
        <v>6</v>
      </c>
      <c r="W1387">
        <v>0</v>
      </c>
      <c r="X1387">
        <v>1</v>
      </c>
      <c r="Y1387">
        <v>1</v>
      </c>
      <c r="Z1387">
        <v>1</v>
      </c>
      <c r="AA1387">
        <v>1</v>
      </c>
      <c r="AB1387">
        <f>SUM(Table1[[#This Row],[Accepted_Campaign_2]]+Table1[[#This Row],[Accepted_Campaign_1]]+Table1[[#This Row],[Accepted_Campaign_5]]+Table1[[#This Row],[Accepted_Campaign_4]]+Table1[[#This Row],[Accepted_Campaign_3]])</f>
        <v>4</v>
      </c>
      <c r="AC1387">
        <v>1</v>
      </c>
      <c r="AD1387">
        <v>0</v>
      </c>
    </row>
    <row r="1388" spans="1:30" x14ac:dyDescent="0.25">
      <c r="A1388">
        <v>41416</v>
      </c>
      <c r="B1388">
        <v>5536</v>
      </c>
      <c r="C1388">
        <v>1959</v>
      </c>
      <c r="D1388" t="s">
        <v>10</v>
      </c>
      <c r="E1388" t="s">
        <v>6</v>
      </c>
      <c r="F1388" t="s">
        <v>12</v>
      </c>
      <c r="G1388">
        <v>87771</v>
      </c>
      <c r="H1388">
        <v>1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f>SUM(Table1[[#This Row],[Gold Spending]]+Table1[[#This Row],[Sweet Spending]]+Table1[[#This Row],[Fish Spending]]+Table1[[#This Row],[Meat Spending]]+Table1[[#This Row],[Fruits Spending]]+Table1[[#This Row],[Wine Spending ]])</f>
        <v>1957</v>
      </c>
      <c r="Q1388">
        <v>1</v>
      </c>
      <c r="R1388">
        <v>5</v>
      </c>
      <c r="S1388">
        <v>10</v>
      </c>
      <c r="T1388">
        <v>4</v>
      </c>
      <c r="U1388">
        <f>SUM(Table1[[#This Row],[Store_Purchases]]+Table1[[#This Row],[Catalog_Purchases]]+Table1[[#This Row],[Web_Purchases]]+Table1[[#This Row],[Deal_Purchases]])</f>
        <v>20</v>
      </c>
      <c r="V1388">
        <v>6</v>
      </c>
      <c r="W1388">
        <v>0</v>
      </c>
      <c r="X1388">
        <v>1</v>
      </c>
      <c r="Y1388">
        <v>1</v>
      </c>
      <c r="Z1388">
        <v>1</v>
      </c>
      <c r="AA1388">
        <v>1</v>
      </c>
      <c r="AB1388">
        <f>SUM(Table1[[#This Row],[Accepted_Campaign_2]]+Table1[[#This Row],[Accepted_Campaign_1]]+Table1[[#This Row],[Accepted_Campaign_5]]+Table1[[#This Row],[Accepted_Campaign_4]]+Table1[[#This Row],[Accepted_Campaign_3]])</f>
        <v>4</v>
      </c>
      <c r="AC1388">
        <v>1</v>
      </c>
      <c r="AD1388">
        <v>0</v>
      </c>
    </row>
    <row r="1389" spans="1:30" x14ac:dyDescent="0.25">
      <c r="A1389">
        <v>41405</v>
      </c>
      <c r="B1389">
        <v>2061</v>
      </c>
      <c r="C1389">
        <v>1955</v>
      </c>
      <c r="D1389" t="s">
        <v>8</v>
      </c>
      <c r="E1389" t="s">
        <v>6</v>
      </c>
      <c r="F1389" t="s">
        <v>11</v>
      </c>
      <c r="G1389">
        <v>50737</v>
      </c>
      <c r="H1389">
        <v>1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f>SUM(Table1[[#This Row],[Gold Spending]]+Table1[[#This Row],[Sweet Spending]]+Table1[[#This Row],[Fish Spending]]+Table1[[#This Row],[Meat Spending]]+Table1[[#This Row],[Fruits Spending]]+Table1[[#This Row],[Wine Spending ]])</f>
        <v>99</v>
      </c>
      <c r="Q1389">
        <v>1</v>
      </c>
      <c r="R1389">
        <v>2</v>
      </c>
      <c r="S1389">
        <v>0</v>
      </c>
      <c r="T1389">
        <v>4</v>
      </c>
      <c r="U1389">
        <f>SUM(Table1[[#This Row],[Store_Purchases]]+Table1[[#This Row],[Catalog_Purchases]]+Table1[[#This Row],[Web_Purchases]]+Table1[[#This Row],[Deal_Purchases]])</f>
        <v>7</v>
      </c>
      <c r="V1389">
        <v>6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f>SUM(Table1[[#This Row],[Accepted_Campaign_2]]+Table1[[#This Row],[Accepted_Campaign_1]]+Table1[[#This Row],[Accepted_Campaign_5]]+Table1[[#This Row],[Accepted_Campaign_4]]+Table1[[#This Row],[Accepted_Campaign_3]])</f>
        <v>1</v>
      </c>
      <c r="AC1389">
        <v>0</v>
      </c>
      <c r="AD1389">
        <v>0</v>
      </c>
    </row>
    <row r="1390" spans="1:30" x14ac:dyDescent="0.25">
      <c r="A1390">
        <v>41344</v>
      </c>
      <c r="B1390">
        <v>8477</v>
      </c>
      <c r="C1390">
        <v>1956</v>
      </c>
      <c r="D1390" t="s">
        <v>8</v>
      </c>
      <c r="E1390" t="s">
        <v>6</v>
      </c>
      <c r="F1390" t="s">
        <v>7</v>
      </c>
      <c r="G1390">
        <v>26150</v>
      </c>
      <c r="H1390">
        <v>3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f>SUM(Table1[[#This Row],[Gold Spending]]+Table1[[#This Row],[Sweet Spending]]+Table1[[#This Row],[Fish Spending]]+Table1[[#This Row],[Meat Spending]]+Table1[[#This Row],[Fruits Spending]]+Table1[[#This Row],[Wine Spending ]])</f>
        <v>28</v>
      </c>
      <c r="Q1390">
        <v>1</v>
      </c>
      <c r="R1390">
        <v>1</v>
      </c>
      <c r="S1390">
        <v>0</v>
      </c>
      <c r="T1390">
        <v>3</v>
      </c>
      <c r="U1390">
        <f>SUM(Table1[[#This Row],[Store_Purchases]]+Table1[[#This Row],[Catalog_Purchases]]+Table1[[#This Row],[Web_Purchases]]+Table1[[#This Row],[Deal_Purchases]])</f>
        <v>5</v>
      </c>
      <c r="V1390">
        <v>7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f>SUM(Table1[[#This Row],[Accepted_Campaign_2]]+Table1[[#This Row],[Accepted_Campaign_1]]+Table1[[#This Row],[Accepted_Campaign_5]]+Table1[[#This Row],[Accepted_Campaign_4]]+Table1[[#This Row],[Accepted_Campaign_3]])</f>
        <v>0</v>
      </c>
      <c r="AC1390">
        <v>0</v>
      </c>
      <c r="AD1390">
        <v>0</v>
      </c>
    </row>
    <row r="1391" spans="1:30" x14ac:dyDescent="0.25">
      <c r="A1391">
        <v>41344</v>
      </c>
      <c r="B1391">
        <v>640</v>
      </c>
      <c r="C1391">
        <v>1951</v>
      </c>
      <c r="D1391" t="s">
        <v>8</v>
      </c>
      <c r="E1391" t="s">
        <v>6</v>
      </c>
      <c r="F1391" t="s">
        <v>11</v>
      </c>
      <c r="G1391">
        <v>57304</v>
      </c>
      <c r="H1391">
        <v>1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f>SUM(Table1[[#This Row],[Gold Spending]]+Table1[[#This Row],[Sweet Spending]]+Table1[[#This Row],[Fish Spending]]+Table1[[#This Row],[Meat Spending]]+Table1[[#This Row],[Fruits Spending]]+Table1[[#This Row],[Wine Spending ]])</f>
        <v>1026</v>
      </c>
      <c r="Q1391">
        <v>2</v>
      </c>
      <c r="R1391">
        <v>7</v>
      </c>
      <c r="S1391">
        <v>6</v>
      </c>
      <c r="T1391">
        <v>10</v>
      </c>
      <c r="U1391">
        <f>SUM(Table1[[#This Row],[Store_Purchases]]+Table1[[#This Row],[Catalog_Purchases]]+Table1[[#This Row],[Web_Purchases]]+Table1[[#This Row],[Deal_Purchases]])</f>
        <v>25</v>
      </c>
      <c r="V1391">
        <v>5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f>SUM(Table1[[#This Row],[Accepted_Campaign_2]]+Table1[[#This Row],[Accepted_Campaign_1]]+Table1[[#This Row],[Accepted_Campaign_5]]+Table1[[#This Row],[Accepted_Campaign_4]]+Table1[[#This Row],[Accepted_Campaign_3]])</f>
        <v>0</v>
      </c>
      <c r="AC1391">
        <v>0</v>
      </c>
      <c r="AD1391">
        <v>0</v>
      </c>
    </row>
    <row r="1392" spans="1:30" x14ac:dyDescent="0.25">
      <c r="A1392">
        <v>41322</v>
      </c>
      <c r="B1392">
        <v>3828</v>
      </c>
      <c r="C1392">
        <v>1951</v>
      </c>
      <c r="D1392" t="s">
        <v>8</v>
      </c>
      <c r="E1392" t="s">
        <v>6</v>
      </c>
      <c r="F1392" t="s">
        <v>11</v>
      </c>
      <c r="G1392">
        <v>71107</v>
      </c>
      <c r="H1392">
        <v>1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f>SUM(Table1[[#This Row],[Gold Spending]]+Table1[[#This Row],[Sweet Spending]]+Table1[[#This Row],[Fish Spending]]+Table1[[#This Row],[Meat Spending]]+Table1[[#This Row],[Fruits Spending]]+Table1[[#This Row],[Wine Spending ]])</f>
        <v>1327</v>
      </c>
      <c r="Q1392">
        <v>2</v>
      </c>
      <c r="R1392">
        <v>7</v>
      </c>
      <c r="S1392">
        <v>6</v>
      </c>
      <c r="T1392">
        <v>13</v>
      </c>
      <c r="U1392">
        <f>SUM(Table1[[#This Row],[Store_Purchases]]+Table1[[#This Row],[Catalog_Purchases]]+Table1[[#This Row],[Web_Purchases]]+Table1[[#This Row],[Deal_Purchases]])</f>
        <v>28</v>
      </c>
      <c r="V1392">
        <v>4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f>SUM(Table1[[#This Row],[Accepted_Campaign_2]]+Table1[[#This Row],[Accepted_Campaign_1]]+Table1[[#This Row],[Accepted_Campaign_5]]+Table1[[#This Row],[Accepted_Campaign_4]]+Table1[[#This Row],[Accepted_Campaign_3]])</f>
        <v>0</v>
      </c>
      <c r="AC1392">
        <v>0</v>
      </c>
      <c r="AD1392">
        <v>0</v>
      </c>
    </row>
    <row r="1393" spans="1:30" x14ac:dyDescent="0.25">
      <c r="A1393">
        <v>41316</v>
      </c>
      <c r="B1393">
        <v>4093</v>
      </c>
      <c r="C1393">
        <v>1975</v>
      </c>
      <c r="D1393" t="s">
        <v>10</v>
      </c>
      <c r="E1393" t="s">
        <v>18</v>
      </c>
      <c r="F1393" t="s">
        <v>12</v>
      </c>
      <c r="G1393">
        <v>53253</v>
      </c>
      <c r="H1393">
        <v>2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f>SUM(Table1[[#This Row],[Gold Spending]]+Table1[[#This Row],[Sweet Spending]]+Table1[[#This Row],[Fish Spending]]+Table1[[#This Row],[Meat Spending]]+Table1[[#This Row],[Fruits Spending]]+Table1[[#This Row],[Wine Spending ]])</f>
        <v>436</v>
      </c>
      <c r="Q1393">
        <v>7</v>
      </c>
      <c r="R1393">
        <v>4</v>
      </c>
      <c r="S1393">
        <v>3</v>
      </c>
      <c r="T1393">
        <v>5</v>
      </c>
      <c r="U1393">
        <f>SUM(Table1[[#This Row],[Store_Purchases]]+Table1[[#This Row],[Catalog_Purchases]]+Table1[[#This Row],[Web_Purchases]]+Table1[[#This Row],[Deal_Purchases]])</f>
        <v>19</v>
      </c>
      <c r="V1393">
        <v>5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f>SUM(Table1[[#This Row],[Accepted_Campaign_2]]+Table1[[#This Row],[Accepted_Campaign_1]]+Table1[[#This Row],[Accepted_Campaign_5]]+Table1[[#This Row],[Accepted_Campaign_4]]+Table1[[#This Row],[Accepted_Campaign_3]])</f>
        <v>0</v>
      </c>
      <c r="AC1393">
        <v>0</v>
      </c>
      <c r="AD1393">
        <v>0</v>
      </c>
    </row>
    <row r="1394" spans="1:30" x14ac:dyDescent="0.25">
      <c r="A1394">
        <v>41311</v>
      </c>
      <c r="B1394">
        <v>8624</v>
      </c>
      <c r="C1394">
        <v>1958</v>
      </c>
      <c r="D1394" t="s">
        <v>20</v>
      </c>
      <c r="E1394" t="s">
        <v>6</v>
      </c>
      <c r="F1394" t="s">
        <v>11</v>
      </c>
      <c r="G1394">
        <v>81320</v>
      </c>
      <c r="H1394">
        <v>0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f>SUM(Table1[[#This Row],[Gold Spending]]+Table1[[#This Row],[Sweet Spending]]+Table1[[#This Row],[Fish Spending]]+Table1[[#This Row],[Meat Spending]]+Table1[[#This Row],[Fruits Spending]]+Table1[[#This Row],[Wine Spending ]])</f>
        <v>928</v>
      </c>
      <c r="Q1394">
        <v>1</v>
      </c>
      <c r="R1394">
        <v>4</v>
      </c>
      <c r="S1394">
        <v>3</v>
      </c>
      <c r="T1394">
        <v>10</v>
      </c>
      <c r="U1394">
        <f>SUM(Table1[[#This Row],[Store_Purchases]]+Table1[[#This Row],[Catalog_Purchases]]+Table1[[#This Row],[Web_Purchases]]+Table1[[#This Row],[Deal_Purchases]])</f>
        <v>18</v>
      </c>
      <c r="V1394">
        <v>2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f>SUM(Table1[[#This Row],[Accepted_Campaign_2]]+Table1[[#This Row],[Accepted_Campaign_1]]+Table1[[#This Row],[Accepted_Campaign_5]]+Table1[[#This Row],[Accepted_Campaign_4]]+Table1[[#This Row],[Accepted_Campaign_3]])</f>
        <v>0</v>
      </c>
      <c r="AC1394">
        <v>0</v>
      </c>
      <c r="AD1394">
        <v>0</v>
      </c>
    </row>
    <row r="1395" spans="1:30" x14ac:dyDescent="0.25">
      <c r="A1395">
        <v>41258</v>
      </c>
      <c r="B1395">
        <v>2802</v>
      </c>
      <c r="C1395">
        <v>1992</v>
      </c>
      <c r="D1395" t="s">
        <v>13</v>
      </c>
      <c r="E1395" t="s">
        <v>15</v>
      </c>
      <c r="F1395" t="s">
        <v>11</v>
      </c>
      <c r="G1395">
        <v>87000</v>
      </c>
      <c r="H1395">
        <v>0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f>SUM(Table1[[#This Row],[Gold Spending]]+Table1[[#This Row],[Sweet Spending]]+Table1[[#This Row],[Fish Spending]]+Table1[[#This Row],[Meat Spending]]+Table1[[#This Row],[Fruits Spending]]+Table1[[#This Row],[Wine Spending ]])</f>
        <v>961</v>
      </c>
      <c r="Q1395">
        <v>1</v>
      </c>
      <c r="R1395">
        <v>4</v>
      </c>
      <c r="S1395">
        <v>6</v>
      </c>
      <c r="T1395">
        <v>7</v>
      </c>
      <c r="U1395">
        <f>SUM(Table1[[#This Row],[Store_Purchases]]+Table1[[#This Row],[Catalog_Purchases]]+Table1[[#This Row],[Web_Purchases]]+Table1[[#This Row],[Deal_Purchases]])</f>
        <v>18</v>
      </c>
      <c r="V1395">
        <v>2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f>SUM(Table1[[#This Row],[Accepted_Campaign_2]]+Table1[[#This Row],[Accepted_Campaign_1]]+Table1[[#This Row],[Accepted_Campaign_5]]+Table1[[#This Row],[Accepted_Campaign_4]]+Table1[[#This Row],[Accepted_Campaign_3]])</f>
        <v>0</v>
      </c>
      <c r="AC1395">
        <v>0</v>
      </c>
      <c r="AD1395">
        <v>0</v>
      </c>
    </row>
    <row r="1396" spans="1:30" x14ac:dyDescent="0.25">
      <c r="A1396">
        <v>41242</v>
      </c>
      <c r="B1396">
        <v>368</v>
      </c>
      <c r="C1396">
        <v>1974</v>
      </c>
      <c r="D1396" t="s">
        <v>17</v>
      </c>
      <c r="E1396" t="s">
        <v>6</v>
      </c>
      <c r="F1396" t="s">
        <v>11</v>
      </c>
      <c r="G1396">
        <v>40049</v>
      </c>
      <c r="H1396">
        <v>1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f>SUM(Table1[[#This Row],[Gold Spending]]+Table1[[#This Row],[Sweet Spending]]+Table1[[#This Row],[Fish Spending]]+Table1[[#This Row],[Meat Spending]]+Table1[[#This Row],[Fruits Spending]]+Table1[[#This Row],[Wine Spending ]])</f>
        <v>290</v>
      </c>
      <c r="Q1396">
        <v>3</v>
      </c>
      <c r="R1396">
        <v>3</v>
      </c>
      <c r="S1396">
        <v>2</v>
      </c>
      <c r="T1396">
        <v>6</v>
      </c>
      <c r="U1396">
        <f>SUM(Table1[[#This Row],[Store_Purchases]]+Table1[[#This Row],[Catalog_Purchases]]+Table1[[#This Row],[Web_Purchases]]+Table1[[#This Row],[Deal_Purchases]])</f>
        <v>14</v>
      </c>
      <c r="V1396">
        <v>5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f>SUM(Table1[[#This Row],[Accepted_Campaign_2]]+Table1[[#This Row],[Accepted_Campaign_1]]+Table1[[#This Row],[Accepted_Campaign_5]]+Table1[[#This Row],[Accepted_Campaign_4]]+Table1[[#This Row],[Accepted_Campaign_3]])</f>
        <v>0</v>
      </c>
      <c r="AC1396">
        <v>0</v>
      </c>
      <c r="AD1396">
        <v>0</v>
      </c>
    </row>
    <row r="1397" spans="1:30" x14ac:dyDescent="0.25">
      <c r="A1397">
        <v>41239</v>
      </c>
      <c r="B1397">
        <v>3599</v>
      </c>
      <c r="C1397">
        <v>1970</v>
      </c>
      <c r="D1397" t="s">
        <v>8</v>
      </c>
      <c r="E1397" t="s">
        <v>6</v>
      </c>
      <c r="F1397" t="s">
        <v>11</v>
      </c>
      <c r="G1397">
        <v>63684</v>
      </c>
      <c r="H1397">
        <v>1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f>SUM(Table1[[#This Row],[Gold Spending]]+Table1[[#This Row],[Sweet Spending]]+Table1[[#This Row],[Fish Spending]]+Table1[[#This Row],[Meat Spending]]+Table1[[#This Row],[Fruits Spending]]+Table1[[#This Row],[Wine Spending ]])</f>
        <v>1464</v>
      </c>
      <c r="Q1397">
        <v>3</v>
      </c>
      <c r="R1397">
        <v>8</v>
      </c>
      <c r="S1397">
        <v>4</v>
      </c>
      <c r="T1397">
        <v>8</v>
      </c>
      <c r="U1397">
        <f>SUM(Table1[[#This Row],[Store_Purchases]]+Table1[[#This Row],[Catalog_Purchases]]+Table1[[#This Row],[Web_Purchases]]+Table1[[#This Row],[Deal_Purchases]])</f>
        <v>23</v>
      </c>
      <c r="V1397">
        <v>5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f>SUM(Table1[[#This Row],[Accepted_Campaign_2]]+Table1[[#This Row],[Accepted_Campaign_1]]+Table1[[#This Row],[Accepted_Campaign_5]]+Table1[[#This Row],[Accepted_Campaign_4]]+Table1[[#This Row],[Accepted_Campaign_3]])</f>
        <v>0</v>
      </c>
      <c r="AC1397">
        <v>0</v>
      </c>
      <c r="AD1397">
        <v>0</v>
      </c>
    </row>
    <row r="1398" spans="1:30" x14ac:dyDescent="0.25">
      <c r="A1398">
        <v>41235</v>
      </c>
      <c r="B1398">
        <v>3389</v>
      </c>
      <c r="C1398">
        <v>1970</v>
      </c>
      <c r="D1398" t="s">
        <v>8</v>
      </c>
      <c r="E1398" t="s">
        <v>6</v>
      </c>
      <c r="F1398" t="s">
        <v>11</v>
      </c>
      <c r="G1398">
        <v>69016</v>
      </c>
      <c r="H1398">
        <v>1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f>SUM(Table1[[#This Row],[Gold Spending]]+Table1[[#This Row],[Sweet Spending]]+Table1[[#This Row],[Fish Spending]]+Table1[[#This Row],[Meat Spending]]+Table1[[#This Row],[Fruits Spending]]+Table1[[#This Row],[Wine Spending ]])</f>
        <v>1533</v>
      </c>
      <c r="Q1398">
        <v>4</v>
      </c>
      <c r="R1398">
        <v>8</v>
      </c>
      <c r="S1398">
        <v>9</v>
      </c>
      <c r="T1398">
        <v>13</v>
      </c>
      <c r="U1398">
        <f>SUM(Table1[[#This Row],[Store_Purchases]]+Table1[[#This Row],[Catalog_Purchases]]+Table1[[#This Row],[Web_Purchases]]+Table1[[#This Row],[Deal_Purchases]])</f>
        <v>34</v>
      </c>
      <c r="V1398">
        <v>5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f>SUM(Table1[[#This Row],[Accepted_Campaign_2]]+Table1[[#This Row],[Accepted_Campaign_1]]+Table1[[#This Row],[Accepted_Campaign_5]]+Table1[[#This Row],[Accepted_Campaign_4]]+Table1[[#This Row],[Accepted_Campaign_3]])</f>
        <v>0</v>
      </c>
      <c r="AC1398">
        <v>0</v>
      </c>
      <c r="AD1398">
        <v>0</v>
      </c>
    </row>
    <row r="1399" spans="1:30" x14ac:dyDescent="0.25">
      <c r="A1399">
        <v>41150</v>
      </c>
      <c r="B1399">
        <v>10710</v>
      </c>
      <c r="C1399">
        <v>1979</v>
      </c>
      <c r="D1399" t="s">
        <v>8</v>
      </c>
      <c r="E1399" t="s">
        <v>6</v>
      </c>
      <c r="F1399" t="s">
        <v>11</v>
      </c>
      <c r="G1399">
        <v>7500</v>
      </c>
      <c r="H1399">
        <v>1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f>SUM(Table1[[#This Row],[Gold Spending]]+Table1[[#This Row],[Sweet Spending]]+Table1[[#This Row],[Fish Spending]]+Table1[[#This Row],[Meat Spending]]+Table1[[#This Row],[Fruits Spending]]+Table1[[#This Row],[Wine Spending ]])</f>
        <v>18</v>
      </c>
      <c r="Q1399">
        <v>1</v>
      </c>
      <c r="R1399">
        <v>1</v>
      </c>
      <c r="S1399">
        <v>0</v>
      </c>
      <c r="T1399">
        <v>2</v>
      </c>
      <c r="U1399">
        <f>SUM(Table1[[#This Row],[Store_Purchases]]+Table1[[#This Row],[Catalog_Purchases]]+Table1[[#This Row],[Web_Purchases]]+Table1[[#This Row],[Deal_Purchases]])</f>
        <v>4</v>
      </c>
      <c r="V1399">
        <v>8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f>SUM(Table1[[#This Row],[Accepted_Campaign_2]]+Table1[[#This Row],[Accepted_Campaign_1]]+Table1[[#This Row],[Accepted_Campaign_5]]+Table1[[#This Row],[Accepted_Campaign_4]]+Table1[[#This Row],[Accepted_Campaign_3]])</f>
        <v>0</v>
      </c>
      <c r="AC1399">
        <v>0</v>
      </c>
      <c r="AD1399">
        <v>0</v>
      </c>
    </row>
    <row r="1400" spans="1:30" x14ac:dyDescent="0.25">
      <c r="A1400">
        <v>41122</v>
      </c>
      <c r="B1400">
        <v>7118</v>
      </c>
      <c r="C1400">
        <v>1957</v>
      </c>
      <c r="D1400" t="s">
        <v>10</v>
      </c>
      <c r="E1400" t="s">
        <v>6</v>
      </c>
      <c r="F1400" t="s">
        <v>11</v>
      </c>
      <c r="G1400">
        <v>73803</v>
      </c>
      <c r="H1400">
        <v>1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f>SUM(Table1[[#This Row],[Gold Spending]]+Table1[[#This Row],[Sweet Spending]]+Table1[[#This Row],[Fish Spending]]+Table1[[#This Row],[Meat Spending]]+Table1[[#This Row],[Fruits Spending]]+Table1[[#This Row],[Wine Spending ]])</f>
        <v>1528</v>
      </c>
      <c r="Q1400">
        <v>2</v>
      </c>
      <c r="R1400">
        <v>9</v>
      </c>
      <c r="S1400">
        <v>5</v>
      </c>
      <c r="T1400">
        <v>6</v>
      </c>
      <c r="U1400">
        <f>SUM(Table1[[#This Row],[Store_Purchases]]+Table1[[#This Row],[Catalog_Purchases]]+Table1[[#This Row],[Web_Purchases]]+Table1[[#This Row],[Deal_Purchases]])</f>
        <v>22</v>
      </c>
      <c r="V1400">
        <v>6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f>SUM(Table1[[#This Row],[Accepted_Campaign_2]]+Table1[[#This Row],[Accepted_Campaign_1]]+Table1[[#This Row],[Accepted_Campaign_5]]+Table1[[#This Row],[Accepted_Campaign_4]]+Table1[[#This Row],[Accepted_Campaign_3]])</f>
        <v>1</v>
      </c>
      <c r="AC1400">
        <v>1</v>
      </c>
      <c r="AD1400">
        <v>0</v>
      </c>
    </row>
    <row r="1401" spans="1:30" x14ac:dyDescent="0.25">
      <c r="A1401">
        <v>41800</v>
      </c>
      <c r="B1401">
        <v>4937</v>
      </c>
      <c r="C1401">
        <v>1973</v>
      </c>
      <c r="D1401" t="s">
        <v>8</v>
      </c>
      <c r="E1401" t="s">
        <v>15</v>
      </c>
      <c r="F1401" t="s">
        <v>11</v>
      </c>
      <c r="G1401">
        <v>46094</v>
      </c>
      <c r="H1401">
        <v>2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1401">
        <v>1</v>
      </c>
      <c r="R1401">
        <v>1</v>
      </c>
      <c r="S1401">
        <v>0</v>
      </c>
      <c r="T1401">
        <v>3</v>
      </c>
      <c r="U1401">
        <f>SUM(Table1[[#This Row],[Store_Purchases]]+Table1[[#This Row],[Catalog_Purchases]]+Table1[[#This Row],[Web_Purchases]]+Table1[[#This Row],[Deal_Purchases]])</f>
        <v>5</v>
      </c>
      <c r="V1401">
        <v>7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f>SUM(Table1[[#This Row],[Accepted_Campaign_2]]+Table1[[#This Row],[Accepted_Campaign_1]]+Table1[[#This Row],[Accepted_Campaign_5]]+Table1[[#This Row],[Accepted_Campaign_4]]+Table1[[#This Row],[Accepted_Campaign_3]])</f>
        <v>0</v>
      </c>
      <c r="AC1401">
        <v>0</v>
      </c>
      <c r="AD1401">
        <v>0</v>
      </c>
    </row>
    <row r="1402" spans="1:30" x14ac:dyDescent="0.25">
      <c r="A1402">
        <v>41788</v>
      </c>
      <c r="B1402">
        <v>1127</v>
      </c>
      <c r="C1402">
        <v>1973</v>
      </c>
      <c r="D1402" t="s">
        <v>8</v>
      </c>
      <c r="E1402" t="s">
        <v>14</v>
      </c>
      <c r="F1402" t="s">
        <v>11</v>
      </c>
      <c r="G1402">
        <v>85844</v>
      </c>
      <c r="H1402">
        <v>0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f>SUM(Table1[[#This Row],[Gold Spending]]+Table1[[#This Row],[Sweet Spending]]+Table1[[#This Row],[Fish Spending]]+Table1[[#This Row],[Meat Spending]]+Table1[[#This Row],[Fruits Spending]]+Table1[[#This Row],[Wine Spending ]])</f>
        <v>1958</v>
      </c>
      <c r="Q1402">
        <v>1</v>
      </c>
      <c r="R1402">
        <v>6</v>
      </c>
      <c r="S1402">
        <v>6</v>
      </c>
      <c r="T1402">
        <v>7</v>
      </c>
      <c r="U1402">
        <f>SUM(Table1[[#This Row],[Store_Purchases]]+Table1[[#This Row],[Catalog_Purchases]]+Table1[[#This Row],[Web_Purchases]]+Table1[[#This Row],[Deal_Purchases]])</f>
        <v>20</v>
      </c>
      <c r="V1402">
        <v>2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f>SUM(Table1[[#This Row],[Accepted_Campaign_2]]+Table1[[#This Row],[Accepted_Campaign_1]]+Table1[[#This Row],[Accepted_Campaign_5]]+Table1[[#This Row],[Accepted_Campaign_4]]+Table1[[#This Row],[Accepted_Campaign_3]])</f>
        <v>1</v>
      </c>
      <c r="AC1402">
        <v>0</v>
      </c>
      <c r="AD1402">
        <v>0</v>
      </c>
    </row>
    <row r="1403" spans="1:30" x14ac:dyDescent="0.25">
      <c r="A1403">
        <v>41728</v>
      </c>
      <c r="B1403">
        <v>833</v>
      </c>
      <c r="C1403">
        <v>1955</v>
      </c>
      <c r="D1403" t="s">
        <v>8</v>
      </c>
      <c r="E1403" t="s">
        <v>18</v>
      </c>
      <c r="F1403" t="s">
        <v>11</v>
      </c>
      <c r="G1403">
        <v>38452</v>
      </c>
      <c r="H1403">
        <v>2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f>SUM(Table1[[#This Row],[Gold Spending]]+Table1[[#This Row],[Sweet Spending]]+Table1[[#This Row],[Fish Spending]]+Table1[[#This Row],[Meat Spending]]+Table1[[#This Row],[Fruits Spending]]+Table1[[#This Row],[Wine Spending ]])</f>
        <v>72</v>
      </c>
      <c r="Q1403">
        <v>3</v>
      </c>
      <c r="R1403">
        <v>3</v>
      </c>
      <c r="S1403">
        <v>0</v>
      </c>
      <c r="T1403">
        <v>3</v>
      </c>
      <c r="U1403">
        <f>SUM(Table1[[#This Row],[Store_Purchases]]+Table1[[#This Row],[Catalog_Purchases]]+Table1[[#This Row],[Web_Purchases]]+Table1[[#This Row],[Deal_Purchases]])</f>
        <v>9</v>
      </c>
      <c r="V1403">
        <v>7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f>SUM(Table1[[#This Row],[Accepted_Campaign_2]]+Table1[[#This Row],[Accepted_Campaign_1]]+Table1[[#This Row],[Accepted_Campaign_5]]+Table1[[#This Row],[Accepted_Campaign_4]]+Table1[[#This Row],[Accepted_Campaign_3]])</f>
        <v>0</v>
      </c>
      <c r="AC1403">
        <v>0</v>
      </c>
      <c r="AD1403">
        <v>0</v>
      </c>
    </row>
    <row r="1404" spans="1:30" x14ac:dyDescent="0.25">
      <c r="A1404">
        <v>41728</v>
      </c>
      <c r="B1404">
        <v>3565</v>
      </c>
      <c r="C1404">
        <v>1955</v>
      </c>
      <c r="D1404" t="s">
        <v>8</v>
      </c>
      <c r="E1404" t="s">
        <v>18</v>
      </c>
      <c r="F1404" t="s">
        <v>11</v>
      </c>
      <c r="G1404">
        <v>38452</v>
      </c>
      <c r="H1404">
        <v>2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f>SUM(Table1[[#This Row],[Gold Spending]]+Table1[[#This Row],[Sweet Spending]]+Table1[[#This Row],[Fish Spending]]+Table1[[#This Row],[Meat Spending]]+Table1[[#This Row],[Fruits Spending]]+Table1[[#This Row],[Wine Spending ]])</f>
        <v>72</v>
      </c>
      <c r="Q1404">
        <v>3</v>
      </c>
      <c r="R1404">
        <v>3</v>
      </c>
      <c r="S1404">
        <v>0</v>
      </c>
      <c r="T1404">
        <v>3</v>
      </c>
      <c r="U1404">
        <f>SUM(Table1[[#This Row],[Store_Purchases]]+Table1[[#This Row],[Catalog_Purchases]]+Table1[[#This Row],[Web_Purchases]]+Table1[[#This Row],[Deal_Purchases]])</f>
        <v>9</v>
      </c>
      <c r="V1404">
        <v>7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f>SUM(Table1[[#This Row],[Accepted_Campaign_2]]+Table1[[#This Row],[Accepted_Campaign_1]]+Table1[[#This Row],[Accepted_Campaign_5]]+Table1[[#This Row],[Accepted_Campaign_4]]+Table1[[#This Row],[Accepted_Campaign_3]])</f>
        <v>0</v>
      </c>
      <c r="AC1404">
        <v>0</v>
      </c>
      <c r="AD1404">
        <v>0</v>
      </c>
    </row>
    <row r="1405" spans="1:30" x14ac:dyDescent="0.25">
      <c r="A1405">
        <v>41601</v>
      </c>
      <c r="B1405">
        <v>6086</v>
      </c>
      <c r="C1405">
        <v>1955</v>
      </c>
      <c r="D1405" t="s">
        <v>13</v>
      </c>
      <c r="E1405" t="s">
        <v>6</v>
      </c>
      <c r="F1405" t="s">
        <v>11</v>
      </c>
      <c r="G1405">
        <v>80395</v>
      </c>
      <c r="H1405">
        <v>0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f>SUM(Table1[[#This Row],[Gold Spending]]+Table1[[#This Row],[Sweet Spending]]+Table1[[#This Row],[Fish Spending]]+Table1[[#This Row],[Meat Spending]]+Table1[[#This Row],[Fruits Spending]]+Table1[[#This Row],[Wine Spending ]])</f>
        <v>1380</v>
      </c>
      <c r="Q1405">
        <v>1</v>
      </c>
      <c r="R1405">
        <v>6</v>
      </c>
      <c r="S1405">
        <v>5</v>
      </c>
      <c r="T1405">
        <v>12</v>
      </c>
      <c r="U1405">
        <f>SUM(Table1[[#This Row],[Store_Purchases]]+Table1[[#This Row],[Catalog_Purchases]]+Table1[[#This Row],[Web_Purchases]]+Table1[[#This Row],[Deal_Purchases]])</f>
        <v>24</v>
      </c>
      <c r="V1405">
        <v>2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f>SUM(Table1[[#This Row],[Accepted_Campaign_2]]+Table1[[#This Row],[Accepted_Campaign_1]]+Table1[[#This Row],[Accepted_Campaign_5]]+Table1[[#This Row],[Accepted_Campaign_4]]+Table1[[#This Row],[Accepted_Campaign_3]])</f>
        <v>1</v>
      </c>
      <c r="AC1405">
        <v>0</v>
      </c>
      <c r="AD1405">
        <v>0</v>
      </c>
    </row>
    <row r="1406" spans="1:30" x14ac:dyDescent="0.25">
      <c r="A1406">
        <v>41482</v>
      </c>
      <c r="B1406">
        <v>1763</v>
      </c>
      <c r="C1406">
        <v>1988</v>
      </c>
      <c r="D1406" t="s">
        <v>10</v>
      </c>
      <c r="E1406" t="s">
        <v>6</v>
      </c>
      <c r="F1406" t="s">
        <v>12</v>
      </c>
      <c r="G1406">
        <v>87679</v>
      </c>
      <c r="H1406">
        <v>0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f>SUM(Table1[[#This Row],[Gold Spending]]+Table1[[#This Row],[Sweet Spending]]+Table1[[#This Row],[Fish Spending]]+Table1[[#This Row],[Meat Spending]]+Table1[[#This Row],[Fruits Spending]]+Table1[[#This Row],[Wine Spending ]])</f>
        <v>2524</v>
      </c>
      <c r="Q1406">
        <v>1</v>
      </c>
      <c r="R1406">
        <v>7</v>
      </c>
      <c r="S1406">
        <v>11</v>
      </c>
      <c r="T1406">
        <v>10</v>
      </c>
      <c r="U1406">
        <f>SUM(Table1[[#This Row],[Store_Purchases]]+Table1[[#This Row],[Catalog_Purchases]]+Table1[[#This Row],[Web_Purchases]]+Table1[[#This Row],[Deal_Purchases]])</f>
        <v>29</v>
      </c>
      <c r="V1406">
        <v>4</v>
      </c>
      <c r="W1406">
        <v>1</v>
      </c>
      <c r="X1406">
        <v>0</v>
      </c>
      <c r="Y1406">
        <v>1</v>
      </c>
      <c r="Z1406">
        <v>1</v>
      </c>
      <c r="AA1406">
        <v>0</v>
      </c>
      <c r="AB1406">
        <f>SUM(Table1[[#This Row],[Accepted_Campaign_2]]+Table1[[#This Row],[Accepted_Campaign_1]]+Table1[[#This Row],[Accepted_Campaign_5]]+Table1[[#This Row],[Accepted_Campaign_4]]+Table1[[#This Row],[Accepted_Campaign_3]])</f>
        <v>3</v>
      </c>
      <c r="AC1406">
        <v>1</v>
      </c>
      <c r="AD1406">
        <v>0</v>
      </c>
    </row>
    <row r="1407" spans="1:30" x14ac:dyDescent="0.25">
      <c r="A1407">
        <v>41438</v>
      </c>
      <c r="B1407">
        <v>4697</v>
      </c>
      <c r="C1407">
        <v>1949</v>
      </c>
      <c r="D1407" t="s">
        <v>20</v>
      </c>
      <c r="E1407" t="s">
        <v>18</v>
      </c>
      <c r="F1407" t="s">
        <v>7</v>
      </c>
      <c r="G1407">
        <v>35416</v>
      </c>
      <c r="H1407">
        <v>0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f>SUM(Table1[[#This Row],[Gold Spending]]+Table1[[#This Row],[Sweet Spending]]+Table1[[#This Row],[Fish Spending]]+Table1[[#This Row],[Meat Spending]]+Table1[[#This Row],[Fruits Spending]]+Table1[[#This Row],[Wine Spending ]])</f>
        <v>390</v>
      </c>
      <c r="Q1407">
        <v>3</v>
      </c>
      <c r="R1407">
        <v>7</v>
      </c>
      <c r="S1407">
        <v>1</v>
      </c>
      <c r="T1407">
        <v>5</v>
      </c>
      <c r="U1407">
        <f>SUM(Table1[[#This Row],[Store_Purchases]]+Table1[[#This Row],[Catalog_Purchases]]+Table1[[#This Row],[Web_Purchases]]+Table1[[#This Row],[Deal_Purchases]])</f>
        <v>16</v>
      </c>
      <c r="V1407">
        <v>8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f>SUM(Table1[[#This Row],[Accepted_Campaign_2]]+Table1[[#This Row],[Accepted_Campaign_1]]+Table1[[#This Row],[Accepted_Campaign_5]]+Table1[[#This Row],[Accepted_Campaign_4]]+Table1[[#This Row],[Accepted_Campaign_3]])</f>
        <v>0</v>
      </c>
      <c r="AC1407">
        <v>0</v>
      </c>
      <c r="AD1407">
        <v>0</v>
      </c>
    </row>
    <row r="1408" spans="1:30" x14ac:dyDescent="0.25">
      <c r="A1408">
        <v>41405</v>
      </c>
      <c r="B1408">
        <v>182</v>
      </c>
      <c r="C1408">
        <v>1946</v>
      </c>
      <c r="D1408" t="s">
        <v>8</v>
      </c>
      <c r="E1408" t="s">
        <v>14</v>
      </c>
      <c r="F1408" t="s">
        <v>12</v>
      </c>
      <c r="G1408">
        <v>44124</v>
      </c>
      <c r="H1408">
        <v>1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f>SUM(Table1[[#This Row],[Gold Spending]]+Table1[[#This Row],[Sweet Spending]]+Table1[[#This Row],[Fish Spending]]+Table1[[#This Row],[Meat Spending]]+Table1[[#This Row],[Fruits Spending]]+Table1[[#This Row],[Wine Spending ]])</f>
        <v>397</v>
      </c>
      <c r="Q1408">
        <v>4</v>
      </c>
      <c r="R1408">
        <v>6</v>
      </c>
      <c r="S1408">
        <v>2</v>
      </c>
      <c r="T1408">
        <v>5</v>
      </c>
      <c r="U1408">
        <f>SUM(Table1[[#This Row],[Store_Purchases]]+Table1[[#This Row],[Catalog_Purchases]]+Table1[[#This Row],[Web_Purchases]]+Table1[[#This Row],[Deal_Purchases]])</f>
        <v>17</v>
      </c>
      <c r="V1408">
        <v>8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f>SUM(Table1[[#This Row],[Accepted_Campaign_2]]+Table1[[#This Row],[Accepted_Campaign_1]]+Table1[[#This Row],[Accepted_Campaign_5]]+Table1[[#This Row],[Accepted_Campaign_4]]+Table1[[#This Row],[Accepted_Campaign_3]])</f>
        <v>0</v>
      </c>
      <c r="AC1408">
        <v>0</v>
      </c>
      <c r="AD1408">
        <v>0</v>
      </c>
    </row>
    <row r="1409" spans="1:30" x14ac:dyDescent="0.25">
      <c r="A1409">
        <v>41396</v>
      </c>
      <c r="B1409">
        <v>1165</v>
      </c>
      <c r="C1409">
        <v>1958</v>
      </c>
      <c r="D1409" t="s">
        <v>20</v>
      </c>
      <c r="E1409" t="s">
        <v>14</v>
      </c>
      <c r="F1409" t="s">
        <v>9</v>
      </c>
      <c r="G1409">
        <v>50729</v>
      </c>
      <c r="H1409">
        <v>2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f>SUM(Table1[[#This Row],[Gold Spending]]+Table1[[#This Row],[Sweet Spending]]+Table1[[#This Row],[Fish Spending]]+Table1[[#This Row],[Meat Spending]]+Table1[[#This Row],[Fruits Spending]]+Table1[[#This Row],[Wine Spending ]])</f>
        <v>496</v>
      </c>
      <c r="Q1409">
        <v>9</v>
      </c>
      <c r="R1409">
        <v>6</v>
      </c>
      <c r="S1409">
        <v>2</v>
      </c>
      <c r="T1409">
        <v>7</v>
      </c>
      <c r="U1409">
        <f>SUM(Table1[[#This Row],[Store_Purchases]]+Table1[[#This Row],[Catalog_Purchases]]+Table1[[#This Row],[Web_Purchases]]+Table1[[#This Row],[Deal_Purchases]])</f>
        <v>24</v>
      </c>
      <c r="V1409">
        <v>6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f>SUM(Table1[[#This Row],[Accepted_Campaign_2]]+Table1[[#This Row],[Accepted_Campaign_1]]+Table1[[#This Row],[Accepted_Campaign_5]]+Table1[[#This Row],[Accepted_Campaign_4]]+Table1[[#This Row],[Accepted_Campaign_3]])</f>
        <v>0</v>
      </c>
      <c r="AC1409">
        <v>0</v>
      </c>
      <c r="AD1409">
        <v>0</v>
      </c>
    </row>
    <row r="1410" spans="1:30" x14ac:dyDescent="0.25">
      <c r="A1410">
        <v>41337</v>
      </c>
      <c r="B1410">
        <v>5386</v>
      </c>
      <c r="C1410">
        <v>1953</v>
      </c>
      <c r="D1410" t="s">
        <v>20</v>
      </c>
      <c r="E1410" t="s">
        <v>6</v>
      </c>
      <c r="F1410" t="s">
        <v>12</v>
      </c>
      <c r="G1410">
        <v>94384</v>
      </c>
      <c r="H1410">
        <v>0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f>SUM(Table1[[#This Row],[Gold Spending]]+Table1[[#This Row],[Sweet Spending]]+Table1[[#This Row],[Fish Spending]]+Table1[[#This Row],[Meat Spending]]+Table1[[#This Row],[Fruits Spending]]+Table1[[#This Row],[Wine Spending ]])</f>
        <v>2302</v>
      </c>
      <c r="Q1410">
        <v>0</v>
      </c>
      <c r="R1410">
        <v>5</v>
      </c>
      <c r="S1410">
        <v>8</v>
      </c>
      <c r="T1410">
        <v>5</v>
      </c>
      <c r="U1410">
        <f>SUM(Table1[[#This Row],[Store_Purchases]]+Table1[[#This Row],[Catalog_Purchases]]+Table1[[#This Row],[Web_Purchases]]+Table1[[#This Row],[Deal_Purchases]])</f>
        <v>18</v>
      </c>
      <c r="V1410">
        <v>2</v>
      </c>
      <c r="W1410">
        <v>0</v>
      </c>
      <c r="X1410">
        <v>1</v>
      </c>
      <c r="Y1410">
        <v>1</v>
      </c>
      <c r="Z1410">
        <v>1</v>
      </c>
      <c r="AA1410">
        <v>0</v>
      </c>
      <c r="AB1410">
        <f>SUM(Table1[[#This Row],[Accepted_Campaign_2]]+Table1[[#This Row],[Accepted_Campaign_1]]+Table1[[#This Row],[Accepted_Campaign_5]]+Table1[[#This Row],[Accepted_Campaign_4]]+Table1[[#This Row],[Accepted_Campaign_3]])</f>
        <v>3</v>
      </c>
      <c r="AC1410">
        <v>1</v>
      </c>
      <c r="AD1410">
        <v>0</v>
      </c>
    </row>
    <row r="1411" spans="1:30" x14ac:dyDescent="0.25">
      <c r="A1411">
        <v>41337</v>
      </c>
      <c r="B1411">
        <v>6024</v>
      </c>
      <c r="C1411">
        <v>1953</v>
      </c>
      <c r="D1411" t="s">
        <v>8</v>
      </c>
      <c r="E1411" t="s">
        <v>6</v>
      </c>
      <c r="F1411" t="s">
        <v>12</v>
      </c>
      <c r="G1411">
        <v>94384</v>
      </c>
      <c r="H1411">
        <v>0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f>SUM(Table1[[#This Row],[Gold Spending]]+Table1[[#This Row],[Sweet Spending]]+Table1[[#This Row],[Fish Spending]]+Table1[[#This Row],[Meat Spending]]+Table1[[#This Row],[Fruits Spending]]+Table1[[#This Row],[Wine Spending ]])</f>
        <v>2302</v>
      </c>
      <c r="Q1411">
        <v>0</v>
      </c>
      <c r="R1411">
        <v>5</v>
      </c>
      <c r="S1411">
        <v>8</v>
      </c>
      <c r="T1411">
        <v>5</v>
      </c>
      <c r="U1411">
        <f>SUM(Table1[[#This Row],[Store_Purchases]]+Table1[[#This Row],[Catalog_Purchases]]+Table1[[#This Row],[Web_Purchases]]+Table1[[#This Row],[Deal_Purchases]])</f>
        <v>18</v>
      </c>
      <c r="V1411">
        <v>2</v>
      </c>
      <c r="W1411">
        <v>0</v>
      </c>
      <c r="X1411">
        <v>1</v>
      </c>
      <c r="Y1411">
        <v>1</v>
      </c>
      <c r="Z1411">
        <v>1</v>
      </c>
      <c r="AA1411">
        <v>0</v>
      </c>
      <c r="AB1411">
        <f>SUM(Table1[[#This Row],[Accepted_Campaign_2]]+Table1[[#This Row],[Accepted_Campaign_1]]+Table1[[#This Row],[Accepted_Campaign_5]]+Table1[[#This Row],[Accepted_Campaign_4]]+Table1[[#This Row],[Accepted_Campaign_3]])</f>
        <v>3</v>
      </c>
      <c r="AC1411">
        <v>1</v>
      </c>
      <c r="AD1411">
        <v>0</v>
      </c>
    </row>
    <row r="1412" spans="1:30" x14ac:dyDescent="0.25">
      <c r="A1412">
        <v>41318</v>
      </c>
      <c r="B1412">
        <v>2678</v>
      </c>
      <c r="C1412">
        <v>1990</v>
      </c>
      <c r="D1412" t="s">
        <v>13</v>
      </c>
      <c r="E1412" t="s">
        <v>6</v>
      </c>
      <c r="F1412" t="s">
        <v>9</v>
      </c>
      <c r="G1412">
        <v>34412</v>
      </c>
      <c r="H1412">
        <v>1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f>SUM(Table1[[#This Row],[Gold Spending]]+Table1[[#This Row],[Sweet Spending]]+Table1[[#This Row],[Fish Spending]]+Table1[[#This Row],[Meat Spending]]+Table1[[#This Row],[Fruits Spending]]+Table1[[#This Row],[Wine Spending ]])</f>
        <v>209</v>
      </c>
      <c r="Q1412">
        <v>3</v>
      </c>
      <c r="R1412">
        <v>5</v>
      </c>
      <c r="S1412">
        <v>0</v>
      </c>
      <c r="T1412">
        <v>3</v>
      </c>
      <c r="U1412">
        <f>SUM(Table1[[#This Row],[Store_Purchases]]+Table1[[#This Row],[Catalog_Purchases]]+Table1[[#This Row],[Web_Purchases]]+Table1[[#This Row],[Deal_Purchases]])</f>
        <v>11</v>
      </c>
      <c r="V1412">
        <v>9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f>SUM(Table1[[#This Row],[Accepted_Campaign_2]]+Table1[[#This Row],[Accepted_Campaign_1]]+Table1[[#This Row],[Accepted_Campaign_5]]+Table1[[#This Row],[Accepted_Campaign_4]]+Table1[[#This Row],[Accepted_Campaign_3]])</f>
        <v>0</v>
      </c>
      <c r="AC1412">
        <v>0</v>
      </c>
      <c r="AD1412">
        <v>0</v>
      </c>
    </row>
    <row r="1413" spans="1:30" x14ac:dyDescent="0.25">
      <c r="A1413">
        <v>41301</v>
      </c>
      <c r="B1413">
        <v>5790</v>
      </c>
      <c r="C1413">
        <v>1985</v>
      </c>
      <c r="D1413" t="s">
        <v>8</v>
      </c>
      <c r="E1413" t="s">
        <v>6</v>
      </c>
      <c r="F1413" t="s">
        <v>11</v>
      </c>
      <c r="G1413">
        <v>31158</v>
      </c>
      <c r="H1413">
        <v>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f>SUM(Table1[[#This Row],[Gold Spending]]+Table1[[#This Row],[Sweet Spending]]+Table1[[#This Row],[Fish Spending]]+Table1[[#This Row],[Meat Spending]]+Table1[[#This Row],[Fruits Spending]]+Table1[[#This Row],[Wine Spending ]])</f>
        <v>72</v>
      </c>
      <c r="Q1413">
        <v>2</v>
      </c>
      <c r="R1413">
        <v>2</v>
      </c>
      <c r="S1413">
        <v>0</v>
      </c>
      <c r="T1413">
        <v>3</v>
      </c>
      <c r="U1413">
        <f>SUM(Table1[[#This Row],[Store_Purchases]]+Table1[[#This Row],[Catalog_Purchases]]+Table1[[#This Row],[Web_Purchases]]+Table1[[#This Row],[Deal_Purchases]])</f>
        <v>7</v>
      </c>
      <c r="V1413">
        <v>8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f>SUM(Table1[[#This Row],[Accepted_Campaign_2]]+Table1[[#This Row],[Accepted_Campaign_1]]+Table1[[#This Row],[Accepted_Campaign_5]]+Table1[[#This Row],[Accepted_Campaign_4]]+Table1[[#This Row],[Accepted_Campaign_3]])</f>
        <v>0</v>
      </c>
      <c r="AC1413">
        <v>0</v>
      </c>
      <c r="AD1413">
        <v>0</v>
      </c>
    </row>
    <row r="1414" spans="1:30" x14ac:dyDescent="0.25">
      <c r="A1414">
        <v>41293</v>
      </c>
      <c r="B1414">
        <v>236</v>
      </c>
      <c r="C1414">
        <v>1951</v>
      </c>
      <c r="D1414" t="s">
        <v>10</v>
      </c>
      <c r="E1414" t="s">
        <v>6</v>
      </c>
      <c r="F1414" t="s">
        <v>11</v>
      </c>
      <c r="G1414">
        <v>34838</v>
      </c>
      <c r="H1414">
        <v>2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f>SUM(Table1[[#This Row],[Gold Spending]]+Table1[[#This Row],[Sweet Spending]]+Table1[[#This Row],[Fish Spending]]+Table1[[#This Row],[Meat Spending]]+Table1[[#This Row],[Fruits Spending]]+Table1[[#This Row],[Wine Spending ]])</f>
        <v>170</v>
      </c>
      <c r="Q1414">
        <v>3</v>
      </c>
      <c r="R1414">
        <v>2</v>
      </c>
      <c r="S1414">
        <v>1</v>
      </c>
      <c r="T1414">
        <v>4</v>
      </c>
      <c r="U1414">
        <f>SUM(Table1[[#This Row],[Store_Purchases]]+Table1[[#This Row],[Catalog_Purchases]]+Table1[[#This Row],[Web_Purchases]]+Table1[[#This Row],[Deal_Purchases]])</f>
        <v>10</v>
      </c>
      <c r="V1414">
        <v>6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f>SUM(Table1[[#This Row],[Accepted_Campaign_2]]+Table1[[#This Row],[Accepted_Campaign_1]]+Table1[[#This Row],[Accepted_Campaign_5]]+Table1[[#This Row],[Accepted_Campaign_4]]+Table1[[#This Row],[Accepted_Campaign_3]])</f>
        <v>0</v>
      </c>
      <c r="AC1414">
        <v>0</v>
      </c>
      <c r="AD1414">
        <v>0</v>
      </c>
    </row>
    <row r="1415" spans="1:30" x14ac:dyDescent="0.25">
      <c r="A1415">
        <v>41276</v>
      </c>
      <c r="B1415">
        <v>6001</v>
      </c>
      <c r="C1415">
        <v>1979</v>
      </c>
      <c r="D1415" t="s">
        <v>8</v>
      </c>
      <c r="E1415" t="s">
        <v>6</v>
      </c>
      <c r="F1415" t="s">
        <v>11</v>
      </c>
      <c r="G1415">
        <v>56775</v>
      </c>
      <c r="H1415">
        <v>1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f>SUM(Table1[[#This Row],[Gold Spending]]+Table1[[#This Row],[Sweet Spending]]+Table1[[#This Row],[Fish Spending]]+Table1[[#This Row],[Meat Spending]]+Table1[[#This Row],[Fruits Spending]]+Table1[[#This Row],[Wine Spending ]])</f>
        <v>937</v>
      </c>
      <c r="Q1415">
        <v>2</v>
      </c>
      <c r="R1415">
        <v>5</v>
      </c>
      <c r="S1415">
        <v>8</v>
      </c>
      <c r="T1415">
        <v>10</v>
      </c>
      <c r="U1415">
        <f>SUM(Table1[[#This Row],[Store_Purchases]]+Table1[[#This Row],[Catalog_Purchases]]+Table1[[#This Row],[Web_Purchases]]+Table1[[#This Row],[Deal_Purchases]])</f>
        <v>25</v>
      </c>
      <c r="V1415">
        <v>5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f>SUM(Table1[[#This Row],[Accepted_Campaign_2]]+Table1[[#This Row],[Accepted_Campaign_1]]+Table1[[#This Row],[Accepted_Campaign_5]]+Table1[[#This Row],[Accepted_Campaign_4]]+Table1[[#This Row],[Accepted_Campaign_3]])</f>
        <v>0</v>
      </c>
      <c r="AC1415">
        <v>0</v>
      </c>
      <c r="AD1415">
        <v>0</v>
      </c>
    </row>
    <row r="1416" spans="1:30" x14ac:dyDescent="0.25">
      <c r="A1416">
        <v>41232</v>
      </c>
      <c r="B1416">
        <v>6250</v>
      </c>
      <c r="C1416">
        <v>1949</v>
      </c>
      <c r="D1416" t="s">
        <v>8</v>
      </c>
      <c r="E1416" t="s">
        <v>14</v>
      </c>
      <c r="F1416" t="s">
        <v>19</v>
      </c>
      <c r="G1416">
        <v>54356</v>
      </c>
      <c r="H1416">
        <v>1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f>SUM(Table1[[#This Row],[Gold Spending]]+Table1[[#This Row],[Sweet Spending]]+Table1[[#This Row],[Fish Spending]]+Table1[[#This Row],[Meat Spending]]+Table1[[#This Row],[Fruits Spending]]+Table1[[#This Row],[Wine Spending ]])</f>
        <v>775</v>
      </c>
      <c r="Q1416">
        <v>3</v>
      </c>
      <c r="R1416">
        <v>11</v>
      </c>
      <c r="S1416">
        <v>2</v>
      </c>
      <c r="T1416">
        <v>8</v>
      </c>
      <c r="U1416">
        <f>SUM(Table1[[#This Row],[Store_Purchases]]+Table1[[#This Row],[Catalog_Purchases]]+Table1[[#This Row],[Web_Purchases]]+Table1[[#This Row],[Deal_Purchases]])</f>
        <v>24</v>
      </c>
      <c r="V1416">
        <v>8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f>SUM(Table1[[#This Row],[Accepted_Campaign_2]]+Table1[[#This Row],[Accepted_Campaign_1]]+Table1[[#This Row],[Accepted_Campaign_5]]+Table1[[#This Row],[Accepted_Campaign_4]]+Table1[[#This Row],[Accepted_Campaign_3]])</f>
        <v>0</v>
      </c>
      <c r="AC1416">
        <v>1</v>
      </c>
      <c r="AD1416">
        <v>0</v>
      </c>
    </row>
    <row r="1417" spans="1:30" x14ac:dyDescent="0.25">
      <c r="A1417">
        <v>41211</v>
      </c>
      <c r="B1417">
        <v>1168</v>
      </c>
      <c r="C1417">
        <v>1978</v>
      </c>
      <c r="D1417" t="s">
        <v>8</v>
      </c>
      <c r="E1417" t="s">
        <v>14</v>
      </c>
      <c r="F1417" t="s">
        <v>11</v>
      </c>
      <c r="G1417">
        <v>72159</v>
      </c>
      <c r="H1417">
        <v>0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f>SUM(Table1[[#This Row],[Gold Spending]]+Table1[[#This Row],[Sweet Spending]]+Table1[[#This Row],[Fish Spending]]+Table1[[#This Row],[Meat Spending]]+Table1[[#This Row],[Fruits Spending]]+Table1[[#This Row],[Wine Spending ]])</f>
        <v>1401</v>
      </c>
      <c r="Q1417">
        <v>1</v>
      </c>
      <c r="R1417">
        <v>4</v>
      </c>
      <c r="S1417">
        <v>6</v>
      </c>
      <c r="T1417">
        <v>10</v>
      </c>
      <c r="U1417">
        <f>SUM(Table1[[#This Row],[Store_Purchases]]+Table1[[#This Row],[Catalog_Purchases]]+Table1[[#This Row],[Web_Purchases]]+Table1[[#This Row],[Deal_Purchases]])</f>
        <v>21</v>
      </c>
      <c r="V1417">
        <v>2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f>SUM(Table1[[#This Row],[Accepted_Campaign_2]]+Table1[[#This Row],[Accepted_Campaign_1]]+Table1[[#This Row],[Accepted_Campaign_5]]+Table1[[#This Row],[Accepted_Campaign_4]]+Table1[[#This Row],[Accepted_Campaign_3]])</f>
        <v>0</v>
      </c>
      <c r="AC1417">
        <v>0</v>
      </c>
      <c r="AD1417">
        <v>0</v>
      </c>
    </row>
    <row r="1418" spans="1:30" x14ac:dyDescent="0.25">
      <c r="A1418">
        <v>41170</v>
      </c>
      <c r="B1418">
        <v>10749</v>
      </c>
      <c r="C1418">
        <v>1991</v>
      </c>
      <c r="D1418" t="s">
        <v>8</v>
      </c>
      <c r="E1418" t="s">
        <v>6</v>
      </c>
      <c r="F1418" t="s">
        <v>9</v>
      </c>
      <c r="G1418">
        <v>8028</v>
      </c>
      <c r="H1418">
        <v>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f>SUM(Table1[[#This Row],[Gold Spending]]+Table1[[#This Row],[Sweet Spending]]+Table1[[#This Row],[Fish Spending]]+Table1[[#This Row],[Meat Spending]]+Table1[[#This Row],[Fruits Spending]]+Table1[[#This Row],[Wine Spending ]])</f>
        <v>178</v>
      </c>
      <c r="Q1418">
        <v>15</v>
      </c>
      <c r="R1418">
        <v>0</v>
      </c>
      <c r="S1418">
        <v>1</v>
      </c>
      <c r="T1418">
        <v>0</v>
      </c>
      <c r="U1418">
        <f>SUM(Table1[[#This Row],[Store_Purchases]]+Table1[[#This Row],[Catalog_Purchases]]+Table1[[#This Row],[Web_Purchases]]+Table1[[#This Row],[Deal_Purchases]])</f>
        <v>16</v>
      </c>
      <c r="V1418">
        <v>19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f>SUM(Table1[[#This Row],[Accepted_Campaign_2]]+Table1[[#This Row],[Accepted_Campaign_1]]+Table1[[#This Row],[Accepted_Campaign_5]]+Table1[[#This Row],[Accepted_Campaign_4]]+Table1[[#This Row],[Accepted_Campaign_3]])</f>
        <v>0</v>
      </c>
      <c r="AC1418">
        <v>0</v>
      </c>
      <c r="AD1418">
        <v>0</v>
      </c>
    </row>
    <row r="1419" spans="1:30" x14ac:dyDescent="0.25">
      <c r="A1419">
        <v>41144</v>
      </c>
      <c r="B1419">
        <v>2926</v>
      </c>
      <c r="C1419">
        <v>1952</v>
      </c>
      <c r="D1419" t="s">
        <v>20</v>
      </c>
      <c r="E1419" t="s">
        <v>18</v>
      </c>
      <c r="F1419" t="s">
        <v>12</v>
      </c>
      <c r="G1419">
        <v>55951</v>
      </c>
      <c r="H1419">
        <v>1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f>SUM(Table1[[#This Row],[Gold Spending]]+Table1[[#This Row],[Sweet Spending]]+Table1[[#This Row],[Fish Spending]]+Table1[[#This Row],[Meat Spending]]+Table1[[#This Row],[Fruits Spending]]+Table1[[#This Row],[Wine Spending ]])</f>
        <v>1374</v>
      </c>
      <c r="Q1419">
        <v>3</v>
      </c>
      <c r="R1419">
        <v>3</v>
      </c>
      <c r="S1419">
        <v>6</v>
      </c>
      <c r="T1419">
        <v>11</v>
      </c>
      <c r="U1419">
        <f>SUM(Table1[[#This Row],[Store_Purchases]]+Table1[[#This Row],[Catalog_Purchases]]+Table1[[#This Row],[Web_Purchases]]+Table1[[#This Row],[Deal_Purchases]])</f>
        <v>23</v>
      </c>
      <c r="V1419">
        <v>8</v>
      </c>
      <c r="W1419">
        <v>0</v>
      </c>
      <c r="X1419">
        <v>1</v>
      </c>
      <c r="Y1419">
        <v>0</v>
      </c>
      <c r="Z1419">
        <v>0</v>
      </c>
      <c r="AA1419">
        <v>1</v>
      </c>
      <c r="AB1419">
        <f>SUM(Table1[[#This Row],[Accepted_Campaign_2]]+Table1[[#This Row],[Accepted_Campaign_1]]+Table1[[#This Row],[Accepted_Campaign_5]]+Table1[[#This Row],[Accepted_Campaign_4]]+Table1[[#This Row],[Accepted_Campaign_3]])</f>
        <v>2</v>
      </c>
      <c r="AC1419">
        <v>0</v>
      </c>
      <c r="AD1419">
        <v>0</v>
      </c>
    </row>
    <row r="1420" spans="1:30" x14ac:dyDescent="0.25">
      <c r="A1420">
        <v>41781</v>
      </c>
      <c r="B1420">
        <v>716</v>
      </c>
      <c r="C1420">
        <v>1949</v>
      </c>
      <c r="D1420" t="s">
        <v>8</v>
      </c>
      <c r="E1420" t="s">
        <v>14</v>
      </c>
      <c r="F1420" t="s">
        <v>12</v>
      </c>
      <c r="G1420">
        <v>67911</v>
      </c>
      <c r="H1420">
        <v>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f>SUM(Table1[[#This Row],[Gold Spending]]+Table1[[#This Row],[Sweet Spending]]+Table1[[#This Row],[Fish Spending]]+Table1[[#This Row],[Meat Spending]]+Table1[[#This Row],[Fruits Spending]]+Table1[[#This Row],[Wine Spending ]])</f>
        <v>976</v>
      </c>
      <c r="Q1420">
        <v>3</v>
      </c>
      <c r="R1420">
        <v>6</v>
      </c>
      <c r="S1420">
        <v>7</v>
      </c>
      <c r="T1420">
        <v>11</v>
      </c>
      <c r="U1420">
        <f>SUM(Table1[[#This Row],[Store_Purchases]]+Table1[[#This Row],[Catalog_Purchases]]+Table1[[#This Row],[Web_Purchases]]+Table1[[#This Row],[Deal_Purchases]])</f>
        <v>27</v>
      </c>
      <c r="V1420">
        <v>3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f>SUM(Table1[[#This Row],[Accepted_Campaign_2]]+Table1[[#This Row],[Accepted_Campaign_1]]+Table1[[#This Row],[Accepted_Campaign_5]]+Table1[[#This Row],[Accepted_Campaign_4]]+Table1[[#This Row],[Accepted_Campaign_3]])</f>
        <v>0</v>
      </c>
      <c r="AC1420">
        <v>0</v>
      </c>
      <c r="AD1420">
        <v>0</v>
      </c>
    </row>
    <row r="1421" spans="1:30" x14ac:dyDescent="0.25">
      <c r="A1421">
        <v>41781</v>
      </c>
      <c r="B1421">
        <v>6544</v>
      </c>
      <c r="C1421">
        <v>1949</v>
      </c>
      <c r="D1421" t="s">
        <v>16</v>
      </c>
      <c r="E1421" t="s">
        <v>14</v>
      </c>
      <c r="F1421" t="s">
        <v>12</v>
      </c>
      <c r="G1421">
        <v>67911</v>
      </c>
      <c r="H1421">
        <v>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f>SUM(Table1[[#This Row],[Gold Spending]]+Table1[[#This Row],[Sweet Spending]]+Table1[[#This Row],[Fish Spending]]+Table1[[#This Row],[Meat Spending]]+Table1[[#This Row],[Fruits Spending]]+Table1[[#This Row],[Wine Spending ]])</f>
        <v>976</v>
      </c>
      <c r="Q1421">
        <v>3</v>
      </c>
      <c r="R1421">
        <v>6</v>
      </c>
      <c r="S1421">
        <v>7</v>
      </c>
      <c r="T1421">
        <v>11</v>
      </c>
      <c r="U1421">
        <f>SUM(Table1[[#This Row],[Store_Purchases]]+Table1[[#This Row],[Catalog_Purchases]]+Table1[[#This Row],[Web_Purchases]]+Table1[[#This Row],[Deal_Purchases]])</f>
        <v>27</v>
      </c>
      <c r="V1421">
        <v>3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f>SUM(Table1[[#This Row],[Accepted_Campaign_2]]+Table1[[#This Row],[Accepted_Campaign_1]]+Table1[[#This Row],[Accepted_Campaign_5]]+Table1[[#This Row],[Accepted_Campaign_4]]+Table1[[#This Row],[Accepted_Campaign_3]])</f>
        <v>0</v>
      </c>
      <c r="AC1421">
        <v>0</v>
      </c>
      <c r="AD1421">
        <v>0</v>
      </c>
    </row>
    <row r="1422" spans="1:30" x14ac:dyDescent="0.25">
      <c r="A1422">
        <v>41722</v>
      </c>
      <c r="B1422">
        <v>4298</v>
      </c>
      <c r="C1422">
        <v>1973</v>
      </c>
      <c r="D1422" t="s">
        <v>8</v>
      </c>
      <c r="E1422" t="s">
        <v>14</v>
      </c>
      <c r="F1422" t="s">
        <v>12</v>
      </c>
      <c r="G1422">
        <v>20427</v>
      </c>
      <c r="H1422">
        <v>1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f>SUM(Table1[[#This Row],[Gold Spending]]+Table1[[#This Row],[Sweet Spending]]+Table1[[#This Row],[Fish Spending]]+Table1[[#This Row],[Meat Spending]]+Table1[[#This Row],[Fruits Spending]]+Table1[[#This Row],[Wine Spending ]])</f>
        <v>10</v>
      </c>
      <c r="Q1422">
        <v>1</v>
      </c>
      <c r="R1422">
        <v>1</v>
      </c>
      <c r="S1422">
        <v>0</v>
      </c>
      <c r="T1422">
        <v>2</v>
      </c>
      <c r="U1422">
        <f>SUM(Table1[[#This Row],[Store_Purchases]]+Table1[[#This Row],[Catalog_Purchases]]+Table1[[#This Row],[Web_Purchases]]+Table1[[#This Row],[Deal_Purchases]])</f>
        <v>4</v>
      </c>
      <c r="V1422">
        <v>8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f>SUM(Table1[[#This Row],[Accepted_Campaign_2]]+Table1[[#This Row],[Accepted_Campaign_1]]+Table1[[#This Row],[Accepted_Campaign_5]]+Table1[[#This Row],[Accepted_Campaign_4]]+Table1[[#This Row],[Accepted_Campaign_3]])</f>
        <v>0</v>
      </c>
      <c r="AC1422">
        <v>0</v>
      </c>
      <c r="AD1422">
        <v>0</v>
      </c>
    </row>
    <row r="1423" spans="1:30" x14ac:dyDescent="0.25">
      <c r="A1423">
        <v>41706</v>
      </c>
      <c r="B1423">
        <v>5823</v>
      </c>
      <c r="C1423">
        <v>1970</v>
      </c>
      <c r="D1423" t="s">
        <v>17</v>
      </c>
      <c r="E1423" t="s">
        <v>14</v>
      </c>
      <c r="F1423" t="s">
        <v>9</v>
      </c>
      <c r="G1423">
        <v>32303</v>
      </c>
      <c r="H1423">
        <v>1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f>SUM(Table1[[#This Row],[Gold Spending]]+Table1[[#This Row],[Sweet Spending]]+Table1[[#This Row],[Fish Spending]]+Table1[[#This Row],[Meat Spending]]+Table1[[#This Row],[Fruits Spending]]+Table1[[#This Row],[Wine Spending ]])</f>
        <v>39</v>
      </c>
      <c r="Q1423">
        <v>2</v>
      </c>
      <c r="R1423">
        <v>1</v>
      </c>
      <c r="S1423">
        <v>0</v>
      </c>
      <c r="T1423">
        <v>4</v>
      </c>
      <c r="U1423">
        <f>SUM(Table1[[#This Row],[Store_Purchases]]+Table1[[#This Row],[Catalog_Purchases]]+Table1[[#This Row],[Web_Purchases]]+Table1[[#This Row],[Deal_Purchases]])</f>
        <v>7</v>
      </c>
      <c r="V1423">
        <v>5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f>SUM(Table1[[#This Row],[Accepted_Campaign_2]]+Table1[[#This Row],[Accepted_Campaign_1]]+Table1[[#This Row],[Accepted_Campaign_5]]+Table1[[#This Row],[Accepted_Campaign_4]]+Table1[[#This Row],[Accepted_Campaign_3]])</f>
        <v>0</v>
      </c>
      <c r="AC1423">
        <v>0</v>
      </c>
      <c r="AD1423">
        <v>0</v>
      </c>
    </row>
    <row r="1424" spans="1:30" x14ac:dyDescent="0.25">
      <c r="A1424">
        <v>41701</v>
      </c>
      <c r="B1424">
        <v>8375</v>
      </c>
      <c r="C1424">
        <v>1968</v>
      </c>
      <c r="D1424" t="s">
        <v>13</v>
      </c>
      <c r="E1424" t="s">
        <v>14</v>
      </c>
      <c r="F1424" t="s">
        <v>11</v>
      </c>
      <c r="G1424">
        <v>55954</v>
      </c>
      <c r="H1424">
        <v>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f>SUM(Table1[[#This Row],[Gold Spending]]+Table1[[#This Row],[Sweet Spending]]+Table1[[#This Row],[Fish Spending]]+Table1[[#This Row],[Meat Spending]]+Table1[[#This Row],[Fruits Spending]]+Table1[[#This Row],[Wine Spending ]])</f>
        <v>518</v>
      </c>
      <c r="Q1424">
        <v>3</v>
      </c>
      <c r="R1424">
        <v>8</v>
      </c>
      <c r="S1424">
        <v>2</v>
      </c>
      <c r="T1424">
        <v>6</v>
      </c>
      <c r="U1424">
        <f>SUM(Table1[[#This Row],[Store_Purchases]]+Table1[[#This Row],[Catalog_Purchases]]+Table1[[#This Row],[Web_Purchases]]+Table1[[#This Row],[Deal_Purchases]])</f>
        <v>19</v>
      </c>
      <c r="V1424">
        <v>7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f>SUM(Table1[[#This Row],[Accepted_Campaign_2]]+Table1[[#This Row],[Accepted_Campaign_1]]+Table1[[#This Row],[Accepted_Campaign_5]]+Table1[[#This Row],[Accepted_Campaign_4]]+Table1[[#This Row],[Accepted_Campaign_3]])</f>
        <v>0</v>
      </c>
      <c r="AC1424">
        <v>0</v>
      </c>
      <c r="AD1424">
        <v>0</v>
      </c>
    </row>
    <row r="1425" spans="1:30" x14ac:dyDescent="0.25">
      <c r="A1425">
        <v>41650</v>
      </c>
      <c r="B1425">
        <v>5723</v>
      </c>
      <c r="C1425">
        <v>1976</v>
      </c>
      <c r="D1425" t="s">
        <v>8</v>
      </c>
      <c r="E1425" t="s">
        <v>14</v>
      </c>
      <c r="F1425" t="s">
        <v>12</v>
      </c>
      <c r="G1425">
        <v>49187</v>
      </c>
      <c r="H1425">
        <v>1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f>SUM(Table1[[#This Row],[Gold Spending]]+Table1[[#This Row],[Sweet Spending]]+Table1[[#This Row],[Fish Spending]]+Table1[[#This Row],[Meat Spending]]+Table1[[#This Row],[Fruits Spending]]+Table1[[#This Row],[Wine Spending ]])</f>
        <v>116</v>
      </c>
      <c r="Q1425">
        <v>1</v>
      </c>
      <c r="R1425">
        <v>1</v>
      </c>
      <c r="S1425">
        <v>1</v>
      </c>
      <c r="T1425">
        <v>5</v>
      </c>
      <c r="U1425">
        <f>SUM(Table1[[#This Row],[Store_Purchases]]+Table1[[#This Row],[Catalog_Purchases]]+Table1[[#This Row],[Web_Purchases]]+Table1[[#This Row],[Deal_Purchases]])</f>
        <v>8</v>
      </c>
      <c r="V1425">
        <v>2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f>SUM(Table1[[#This Row],[Accepted_Campaign_2]]+Table1[[#This Row],[Accepted_Campaign_1]]+Table1[[#This Row],[Accepted_Campaign_5]]+Table1[[#This Row],[Accepted_Campaign_4]]+Table1[[#This Row],[Accepted_Campaign_3]])</f>
        <v>0</v>
      </c>
      <c r="AC1425">
        <v>0</v>
      </c>
      <c r="AD1425">
        <v>0</v>
      </c>
    </row>
    <row r="1426" spans="1:30" x14ac:dyDescent="0.25">
      <c r="A1426">
        <v>41588</v>
      </c>
      <c r="B1426">
        <v>5763</v>
      </c>
      <c r="C1426">
        <v>1972</v>
      </c>
      <c r="D1426" t="s">
        <v>10</v>
      </c>
      <c r="E1426" t="s">
        <v>18</v>
      </c>
      <c r="F1426" t="s">
        <v>12</v>
      </c>
      <c r="G1426">
        <v>49854</v>
      </c>
      <c r="H1426">
        <v>1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f>SUM(Table1[[#This Row],[Gold Spending]]+Table1[[#This Row],[Sweet Spending]]+Table1[[#This Row],[Fish Spending]]+Table1[[#This Row],[Meat Spending]]+Table1[[#This Row],[Fruits Spending]]+Table1[[#This Row],[Wine Spending ]])</f>
        <v>380</v>
      </c>
      <c r="Q1426">
        <v>5</v>
      </c>
      <c r="R1426">
        <v>6</v>
      </c>
      <c r="S1426">
        <v>2</v>
      </c>
      <c r="T1426">
        <v>5</v>
      </c>
      <c r="U1426">
        <f>SUM(Table1[[#This Row],[Store_Purchases]]+Table1[[#This Row],[Catalog_Purchases]]+Table1[[#This Row],[Web_Purchases]]+Table1[[#This Row],[Deal_Purchases]])</f>
        <v>18</v>
      </c>
      <c r="V1426">
        <v>6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f>SUM(Table1[[#This Row],[Accepted_Campaign_2]]+Table1[[#This Row],[Accepted_Campaign_1]]+Table1[[#This Row],[Accepted_Campaign_5]]+Table1[[#This Row],[Accepted_Campaign_4]]+Table1[[#This Row],[Accepted_Campaign_3]])</f>
        <v>0</v>
      </c>
      <c r="AC1426">
        <v>0</v>
      </c>
      <c r="AD1426">
        <v>0</v>
      </c>
    </row>
    <row r="1427" spans="1:30" x14ac:dyDescent="0.25">
      <c r="A1427">
        <v>41561</v>
      </c>
      <c r="B1427">
        <v>8727</v>
      </c>
      <c r="C1427">
        <v>1978</v>
      </c>
      <c r="D1427" t="s">
        <v>20</v>
      </c>
      <c r="E1427" t="s">
        <v>6</v>
      </c>
      <c r="F1427" t="s">
        <v>7</v>
      </c>
      <c r="G1427">
        <v>63693</v>
      </c>
      <c r="H1427">
        <v>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f>SUM(Table1[[#This Row],[Gold Spending]]+Table1[[#This Row],[Sweet Spending]]+Table1[[#This Row],[Fish Spending]]+Table1[[#This Row],[Meat Spending]]+Table1[[#This Row],[Fruits Spending]]+Table1[[#This Row],[Wine Spending ]])</f>
        <v>1150</v>
      </c>
      <c r="Q1427">
        <v>3</v>
      </c>
      <c r="R1427">
        <v>11</v>
      </c>
      <c r="S1427">
        <v>6</v>
      </c>
      <c r="T1427">
        <v>9</v>
      </c>
      <c r="U1427">
        <f>SUM(Table1[[#This Row],[Store_Purchases]]+Table1[[#This Row],[Catalog_Purchases]]+Table1[[#This Row],[Web_Purchases]]+Table1[[#This Row],[Deal_Purchases]])</f>
        <v>29</v>
      </c>
      <c r="V1427">
        <v>6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f>SUM(Table1[[#This Row],[Accepted_Campaign_2]]+Table1[[#This Row],[Accepted_Campaign_1]]+Table1[[#This Row],[Accepted_Campaign_5]]+Table1[[#This Row],[Accepted_Campaign_4]]+Table1[[#This Row],[Accepted_Campaign_3]])</f>
        <v>0</v>
      </c>
      <c r="AC1427">
        <v>0</v>
      </c>
      <c r="AD1427">
        <v>0</v>
      </c>
    </row>
    <row r="1428" spans="1:30" x14ac:dyDescent="0.25">
      <c r="A1428">
        <v>41561</v>
      </c>
      <c r="B1428">
        <v>3056</v>
      </c>
      <c r="C1428">
        <v>1978</v>
      </c>
      <c r="D1428" t="s">
        <v>20</v>
      </c>
      <c r="E1428" t="s">
        <v>6</v>
      </c>
      <c r="F1428" t="s">
        <v>7</v>
      </c>
      <c r="G1428">
        <v>63693</v>
      </c>
      <c r="H1428">
        <v>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f>SUM(Table1[[#This Row],[Gold Spending]]+Table1[[#This Row],[Sweet Spending]]+Table1[[#This Row],[Fish Spending]]+Table1[[#This Row],[Meat Spending]]+Table1[[#This Row],[Fruits Spending]]+Table1[[#This Row],[Wine Spending ]])</f>
        <v>1150</v>
      </c>
      <c r="Q1428">
        <v>3</v>
      </c>
      <c r="R1428">
        <v>11</v>
      </c>
      <c r="S1428">
        <v>6</v>
      </c>
      <c r="T1428">
        <v>9</v>
      </c>
      <c r="U1428">
        <f>SUM(Table1[[#This Row],[Store_Purchases]]+Table1[[#This Row],[Catalog_Purchases]]+Table1[[#This Row],[Web_Purchases]]+Table1[[#This Row],[Deal_Purchases]])</f>
        <v>29</v>
      </c>
      <c r="V1428">
        <v>6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f>SUM(Table1[[#This Row],[Accepted_Campaign_2]]+Table1[[#This Row],[Accepted_Campaign_1]]+Table1[[#This Row],[Accepted_Campaign_5]]+Table1[[#This Row],[Accepted_Campaign_4]]+Table1[[#This Row],[Accepted_Campaign_3]])</f>
        <v>0</v>
      </c>
      <c r="AC1428">
        <v>0</v>
      </c>
      <c r="AD1428">
        <v>0</v>
      </c>
    </row>
    <row r="1429" spans="1:30" x14ac:dyDescent="0.25">
      <c r="A1429">
        <v>41521</v>
      </c>
      <c r="B1429">
        <v>8442</v>
      </c>
      <c r="C1429">
        <v>1985</v>
      </c>
      <c r="D1429" t="s">
        <v>10</v>
      </c>
      <c r="E1429" t="s">
        <v>18</v>
      </c>
      <c r="F1429" t="s">
        <v>11</v>
      </c>
      <c r="G1429">
        <v>19510</v>
      </c>
      <c r="H1429">
        <v>2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f>SUM(Table1[[#This Row],[Gold Spending]]+Table1[[#This Row],[Sweet Spending]]+Table1[[#This Row],[Fish Spending]]+Table1[[#This Row],[Meat Spending]]+Table1[[#This Row],[Fruits Spending]]+Table1[[#This Row],[Wine Spending ]])</f>
        <v>30</v>
      </c>
      <c r="Q1429">
        <v>2</v>
      </c>
      <c r="R1429">
        <v>1</v>
      </c>
      <c r="S1429">
        <v>0</v>
      </c>
      <c r="T1429">
        <v>3</v>
      </c>
      <c r="U1429">
        <f>SUM(Table1[[#This Row],[Store_Purchases]]+Table1[[#This Row],[Catalog_Purchases]]+Table1[[#This Row],[Web_Purchases]]+Table1[[#This Row],[Deal_Purchases]])</f>
        <v>6</v>
      </c>
      <c r="V1429">
        <v>7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f>SUM(Table1[[#This Row],[Accepted_Campaign_2]]+Table1[[#This Row],[Accepted_Campaign_1]]+Table1[[#This Row],[Accepted_Campaign_5]]+Table1[[#This Row],[Accepted_Campaign_4]]+Table1[[#This Row],[Accepted_Campaign_3]])</f>
        <v>0</v>
      </c>
      <c r="AC1429">
        <v>0</v>
      </c>
      <c r="AD1429">
        <v>0</v>
      </c>
    </row>
    <row r="1430" spans="1:30" x14ac:dyDescent="0.25">
      <c r="A1430">
        <v>41514</v>
      </c>
      <c r="B1430">
        <v>3712</v>
      </c>
      <c r="C1430">
        <v>1959</v>
      </c>
      <c r="D1430" t="s">
        <v>17</v>
      </c>
      <c r="E1430" t="s">
        <v>6</v>
      </c>
      <c r="F1430" t="s">
        <v>7</v>
      </c>
      <c r="G1430">
        <v>52332</v>
      </c>
      <c r="H1430">
        <v>0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f>SUM(Table1[[#This Row],[Gold Spending]]+Table1[[#This Row],[Sweet Spending]]+Table1[[#This Row],[Fish Spending]]+Table1[[#This Row],[Meat Spending]]+Table1[[#This Row],[Fruits Spending]]+Table1[[#This Row],[Wine Spending ]])</f>
        <v>259</v>
      </c>
      <c r="Q1430">
        <v>1</v>
      </c>
      <c r="R1430">
        <v>3</v>
      </c>
      <c r="S1430">
        <v>2</v>
      </c>
      <c r="T1430">
        <v>6</v>
      </c>
      <c r="U1430">
        <f>SUM(Table1[[#This Row],[Store_Purchases]]+Table1[[#This Row],[Catalog_Purchases]]+Table1[[#This Row],[Web_Purchases]]+Table1[[#This Row],[Deal_Purchases]])</f>
        <v>12</v>
      </c>
      <c r="V1430">
        <v>4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f>SUM(Table1[[#This Row],[Accepted_Campaign_2]]+Table1[[#This Row],[Accepted_Campaign_1]]+Table1[[#This Row],[Accepted_Campaign_5]]+Table1[[#This Row],[Accepted_Campaign_4]]+Table1[[#This Row],[Accepted_Campaign_3]])</f>
        <v>1</v>
      </c>
      <c r="AC1430">
        <v>0</v>
      </c>
      <c r="AD1430">
        <v>0</v>
      </c>
    </row>
    <row r="1431" spans="1:30" x14ac:dyDescent="0.25">
      <c r="A1431">
        <v>41507</v>
      </c>
      <c r="B1431">
        <v>10722</v>
      </c>
      <c r="C1431">
        <v>1973</v>
      </c>
      <c r="D1431" t="s">
        <v>17</v>
      </c>
      <c r="E1431" t="s">
        <v>6</v>
      </c>
      <c r="F1431" t="s">
        <v>12</v>
      </c>
      <c r="G1431">
        <v>55593</v>
      </c>
      <c r="H1431">
        <v>1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f>SUM(Table1[[#This Row],[Gold Spending]]+Table1[[#This Row],[Sweet Spending]]+Table1[[#This Row],[Fish Spending]]+Table1[[#This Row],[Meat Spending]]+Table1[[#This Row],[Fruits Spending]]+Table1[[#This Row],[Wine Spending ]])</f>
        <v>546</v>
      </c>
      <c r="Q1431">
        <v>2</v>
      </c>
      <c r="R1431">
        <v>6</v>
      </c>
      <c r="S1431">
        <v>6</v>
      </c>
      <c r="T1431">
        <v>3</v>
      </c>
      <c r="U1431">
        <f>SUM(Table1[[#This Row],[Store_Purchases]]+Table1[[#This Row],[Catalog_Purchases]]+Table1[[#This Row],[Web_Purchases]]+Table1[[#This Row],[Deal_Purchases]])</f>
        <v>17</v>
      </c>
      <c r="V1431">
        <v>6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f>SUM(Table1[[#This Row],[Accepted_Campaign_2]]+Table1[[#This Row],[Accepted_Campaign_1]]+Table1[[#This Row],[Accepted_Campaign_5]]+Table1[[#This Row],[Accepted_Campaign_4]]+Table1[[#This Row],[Accepted_Campaign_3]])</f>
        <v>1</v>
      </c>
      <c r="AC1431">
        <v>0</v>
      </c>
      <c r="AD1431">
        <v>0</v>
      </c>
    </row>
    <row r="1432" spans="1:30" x14ac:dyDescent="0.25">
      <c r="A1432">
        <v>41491</v>
      </c>
      <c r="B1432">
        <v>2406</v>
      </c>
      <c r="C1432">
        <v>1949</v>
      </c>
      <c r="D1432" t="s">
        <v>13</v>
      </c>
      <c r="E1432" t="s">
        <v>6</v>
      </c>
      <c r="F1432" t="s">
        <v>12</v>
      </c>
      <c r="G1432">
        <v>54591</v>
      </c>
      <c r="H1432">
        <v>1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f>SUM(Table1[[#This Row],[Gold Spending]]+Table1[[#This Row],[Sweet Spending]]+Table1[[#This Row],[Fish Spending]]+Table1[[#This Row],[Meat Spending]]+Table1[[#This Row],[Fruits Spending]]+Table1[[#This Row],[Wine Spending ]])</f>
        <v>519</v>
      </c>
      <c r="Q1432">
        <v>3</v>
      </c>
      <c r="R1432">
        <v>6</v>
      </c>
      <c r="S1432">
        <v>2</v>
      </c>
      <c r="T1432">
        <v>8</v>
      </c>
      <c r="U1432">
        <f>SUM(Table1[[#This Row],[Store_Purchases]]+Table1[[#This Row],[Catalog_Purchases]]+Table1[[#This Row],[Web_Purchases]]+Table1[[#This Row],[Deal_Purchases]])</f>
        <v>19</v>
      </c>
      <c r="V1432">
        <v>5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f>SUM(Table1[[#This Row],[Accepted_Campaign_2]]+Table1[[#This Row],[Accepted_Campaign_1]]+Table1[[#This Row],[Accepted_Campaign_5]]+Table1[[#This Row],[Accepted_Campaign_4]]+Table1[[#This Row],[Accepted_Campaign_3]])</f>
        <v>0</v>
      </c>
      <c r="AC1432">
        <v>0</v>
      </c>
      <c r="AD1432">
        <v>0</v>
      </c>
    </row>
    <row r="1433" spans="1:30" x14ac:dyDescent="0.25">
      <c r="A1433">
        <v>41428</v>
      </c>
      <c r="B1433">
        <v>7313</v>
      </c>
      <c r="C1433">
        <v>1949</v>
      </c>
      <c r="D1433" t="s">
        <v>10</v>
      </c>
      <c r="E1433" t="s">
        <v>15</v>
      </c>
      <c r="F1433" t="s">
        <v>19</v>
      </c>
      <c r="G1433">
        <v>74859</v>
      </c>
      <c r="H1433">
        <v>0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f>SUM(Table1[[#This Row],[Gold Spending]]+Table1[[#This Row],[Sweet Spending]]+Table1[[#This Row],[Fish Spending]]+Table1[[#This Row],[Meat Spending]]+Table1[[#This Row],[Fruits Spending]]+Table1[[#This Row],[Wine Spending ]])</f>
        <v>1565</v>
      </c>
      <c r="Q1433">
        <v>1</v>
      </c>
      <c r="R1433">
        <v>6</v>
      </c>
      <c r="S1433">
        <v>5</v>
      </c>
      <c r="T1433">
        <v>11</v>
      </c>
      <c r="U1433">
        <f>SUM(Table1[[#This Row],[Store_Purchases]]+Table1[[#This Row],[Catalog_Purchases]]+Table1[[#This Row],[Web_Purchases]]+Table1[[#This Row],[Deal_Purchases]])</f>
        <v>23</v>
      </c>
      <c r="V1433">
        <v>3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f>SUM(Table1[[#This Row],[Accepted_Campaign_2]]+Table1[[#This Row],[Accepted_Campaign_1]]+Table1[[#This Row],[Accepted_Campaign_5]]+Table1[[#This Row],[Accepted_Campaign_4]]+Table1[[#This Row],[Accepted_Campaign_3]])</f>
        <v>1</v>
      </c>
      <c r="AC1433">
        <v>0</v>
      </c>
      <c r="AD1433">
        <v>0</v>
      </c>
    </row>
    <row r="1434" spans="1:30" x14ac:dyDescent="0.25">
      <c r="A1434">
        <v>41326</v>
      </c>
      <c r="B1434">
        <v>2656</v>
      </c>
      <c r="C1434">
        <v>1971</v>
      </c>
      <c r="D1434" t="s">
        <v>10</v>
      </c>
      <c r="E1434" t="s">
        <v>6</v>
      </c>
      <c r="F1434" t="s">
        <v>7</v>
      </c>
      <c r="G1434">
        <v>40851</v>
      </c>
      <c r="H1434">
        <v>2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f>SUM(Table1[[#This Row],[Gold Spending]]+Table1[[#This Row],[Sweet Spending]]+Table1[[#This Row],[Fish Spending]]+Table1[[#This Row],[Meat Spending]]+Table1[[#This Row],[Fruits Spending]]+Table1[[#This Row],[Wine Spending ]])</f>
        <v>59</v>
      </c>
      <c r="Q1434">
        <v>1</v>
      </c>
      <c r="R1434">
        <v>1</v>
      </c>
      <c r="S1434">
        <v>1</v>
      </c>
      <c r="T1434">
        <v>2</v>
      </c>
      <c r="U1434">
        <f>SUM(Table1[[#This Row],[Store_Purchases]]+Table1[[#This Row],[Catalog_Purchases]]+Table1[[#This Row],[Web_Purchases]]+Table1[[#This Row],[Deal_Purchases]])</f>
        <v>5</v>
      </c>
      <c r="V1434">
        <v>7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f>SUM(Table1[[#This Row],[Accepted_Campaign_2]]+Table1[[#This Row],[Accepted_Campaign_1]]+Table1[[#This Row],[Accepted_Campaign_5]]+Table1[[#This Row],[Accepted_Campaign_4]]+Table1[[#This Row],[Accepted_Campaign_3]])</f>
        <v>0</v>
      </c>
      <c r="AC1434">
        <v>0</v>
      </c>
      <c r="AD1434">
        <v>0</v>
      </c>
    </row>
    <row r="1435" spans="1:30" x14ac:dyDescent="0.25">
      <c r="A1435">
        <v>41266</v>
      </c>
      <c r="B1435">
        <v>1993</v>
      </c>
      <c r="C1435">
        <v>1949</v>
      </c>
      <c r="D1435" t="s">
        <v>63</v>
      </c>
      <c r="E1435" t="s">
        <v>14</v>
      </c>
      <c r="F1435" t="s">
        <v>11</v>
      </c>
      <c r="G1435">
        <v>58607</v>
      </c>
      <c r="H1435">
        <v>1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f>SUM(Table1[[#This Row],[Gold Spending]]+Table1[[#This Row],[Sweet Spending]]+Table1[[#This Row],[Fish Spending]]+Table1[[#This Row],[Meat Spending]]+Table1[[#This Row],[Fruits Spending]]+Table1[[#This Row],[Wine Spending ]])</f>
        <v>972</v>
      </c>
      <c r="Q1435">
        <v>3</v>
      </c>
      <c r="R1435">
        <v>2</v>
      </c>
      <c r="S1435">
        <v>3</v>
      </c>
      <c r="T1435">
        <v>9</v>
      </c>
      <c r="U1435">
        <f>SUM(Table1[[#This Row],[Store_Purchases]]+Table1[[#This Row],[Catalog_Purchases]]+Table1[[#This Row],[Web_Purchases]]+Table1[[#This Row],[Deal_Purchases]])</f>
        <v>17</v>
      </c>
      <c r="V1435">
        <v>8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f>SUM(Table1[[#This Row],[Accepted_Campaign_2]]+Table1[[#This Row],[Accepted_Campaign_1]]+Table1[[#This Row],[Accepted_Campaign_5]]+Table1[[#This Row],[Accepted_Campaign_4]]+Table1[[#This Row],[Accepted_Campaign_3]])</f>
        <v>1</v>
      </c>
      <c r="AC1435">
        <v>0</v>
      </c>
      <c r="AD1435">
        <v>0</v>
      </c>
    </row>
    <row r="1436" spans="1:30" x14ac:dyDescent="0.25">
      <c r="A1436">
        <v>41246</v>
      </c>
      <c r="B1436">
        <v>4136</v>
      </c>
      <c r="C1436">
        <v>1992</v>
      </c>
      <c r="D1436" t="s">
        <v>8</v>
      </c>
      <c r="E1436" t="s">
        <v>21</v>
      </c>
      <c r="F1436" t="s">
        <v>9</v>
      </c>
      <c r="G1436">
        <v>7500</v>
      </c>
      <c r="H1436">
        <v>1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f>SUM(Table1[[#This Row],[Gold Spending]]+Table1[[#This Row],[Sweet Spending]]+Table1[[#This Row],[Fish Spending]]+Table1[[#This Row],[Meat Spending]]+Table1[[#This Row],[Fruits Spending]]+Table1[[#This Row],[Wine Spending ]])</f>
        <v>119</v>
      </c>
      <c r="Q1436">
        <v>4</v>
      </c>
      <c r="R1436">
        <v>3</v>
      </c>
      <c r="S1436">
        <v>2</v>
      </c>
      <c r="T1436">
        <v>2</v>
      </c>
      <c r="U1436">
        <f>SUM(Table1[[#This Row],[Store_Purchases]]+Table1[[#This Row],[Catalog_Purchases]]+Table1[[#This Row],[Web_Purchases]]+Table1[[#This Row],[Deal_Purchases]])</f>
        <v>11</v>
      </c>
      <c r="V1436">
        <v>9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f>SUM(Table1[[#This Row],[Accepted_Campaign_2]]+Table1[[#This Row],[Accepted_Campaign_1]]+Table1[[#This Row],[Accepted_Campaign_5]]+Table1[[#This Row],[Accepted_Campaign_4]]+Table1[[#This Row],[Accepted_Campaign_3]])</f>
        <v>0</v>
      </c>
      <c r="AC1436">
        <v>0</v>
      </c>
      <c r="AD1436">
        <v>0</v>
      </c>
    </row>
    <row r="1437" spans="1:30" x14ac:dyDescent="0.25">
      <c r="A1437">
        <v>41244</v>
      </c>
      <c r="B1437">
        <v>2928</v>
      </c>
      <c r="C1437">
        <v>1975</v>
      </c>
      <c r="D1437" t="s">
        <v>8</v>
      </c>
      <c r="E1437" t="s">
        <v>14</v>
      </c>
      <c r="F1437" t="s">
        <v>9</v>
      </c>
      <c r="G1437">
        <v>52614</v>
      </c>
      <c r="H1437">
        <v>1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f>SUM(Table1[[#This Row],[Gold Spending]]+Table1[[#This Row],[Sweet Spending]]+Table1[[#This Row],[Fish Spending]]+Table1[[#This Row],[Meat Spending]]+Table1[[#This Row],[Fruits Spending]]+Table1[[#This Row],[Wine Spending ]])</f>
        <v>990</v>
      </c>
      <c r="Q1437">
        <v>2</v>
      </c>
      <c r="R1437">
        <v>2</v>
      </c>
      <c r="S1437">
        <v>4</v>
      </c>
      <c r="T1437">
        <v>8</v>
      </c>
      <c r="U1437">
        <f>SUM(Table1[[#This Row],[Store_Purchases]]+Table1[[#This Row],[Catalog_Purchases]]+Table1[[#This Row],[Web_Purchases]]+Table1[[#This Row],[Deal_Purchases]])</f>
        <v>16</v>
      </c>
      <c r="V1437">
        <v>8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f>SUM(Table1[[#This Row],[Accepted_Campaign_2]]+Table1[[#This Row],[Accepted_Campaign_1]]+Table1[[#This Row],[Accepted_Campaign_5]]+Table1[[#This Row],[Accepted_Campaign_4]]+Table1[[#This Row],[Accepted_Campaign_3]])</f>
        <v>0</v>
      </c>
      <c r="AC1437">
        <v>0</v>
      </c>
      <c r="AD1437">
        <v>0</v>
      </c>
    </row>
    <row r="1438" spans="1:30" x14ac:dyDescent="0.25">
      <c r="A1438">
        <v>41244</v>
      </c>
      <c r="B1438">
        <v>2920</v>
      </c>
      <c r="C1438">
        <v>1975</v>
      </c>
      <c r="D1438" t="s">
        <v>22</v>
      </c>
      <c r="E1438" t="s">
        <v>14</v>
      </c>
      <c r="F1438" t="s">
        <v>9</v>
      </c>
      <c r="G1438">
        <v>52614</v>
      </c>
      <c r="H1438">
        <v>1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f>SUM(Table1[[#This Row],[Gold Spending]]+Table1[[#This Row],[Sweet Spending]]+Table1[[#This Row],[Fish Spending]]+Table1[[#This Row],[Meat Spending]]+Table1[[#This Row],[Fruits Spending]]+Table1[[#This Row],[Wine Spending ]])</f>
        <v>990</v>
      </c>
      <c r="Q1438">
        <v>2</v>
      </c>
      <c r="R1438">
        <v>2</v>
      </c>
      <c r="S1438">
        <v>4</v>
      </c>
      <c r="T1438">
        <v>8</v>
      </c>
      <c r="U1438">
        <f>SUM(Table1[[#This Row],[Store_Purchases]]+Table1[[#This Row],[Catalog_Purchases]]+Table1[[#This Row],[Web_Purchases]]+Table1[[#This Row],[Deal_Purchases]])</f>
        <v>16</v>
      </c>
      <c r="V1438">
        <v>8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f>SUM(Table1[[#This Row],[Accepted_Campaign_2]]+Table1[[#This Row],[Accepted_Campaign_1]]+Table1[[#This Row],[Accepted_Campaign_5]]+Table1[[#This Row],[Accepted_Campaign_4]]+Table1[[#This Row],[Accepted_Campaign_3]])</f>
        <v>0</v>
      </c>
      <c r="AC1438">
        <v>0</v>
      </c>
      <c r="AD1438">
        <v>0</v>
      </c>
    </row>
    <row r="1439" spans="1:30" x14ac:dyDescent="0.25">
      <c r="A1439">
        <v>41133</v>
      </c>
      <c r="B1439">
        <v>6661</v>
      </c>
      <c r="C1439">
        <v>1974</v>
      </c>
      <c r="D1439" t="s">
        <v>8</v>
      </c>
      <c r="E1439" t="s">
        <v>6</v>
      </c>
      <c r="F1439" t="s">
        <v>11</v>
      </c>
      <c r="G1439">
        <v>67445</v>
      </c>
      <c r="H1439">
        <v>1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f>SUM(Table1[[#This Row],[Gold Spending]]+Table1[[#This Row],[Sweet Spending]]+Table1[[#This Row],[Fish Spending]]+Table1[[#This Row],[Meat Spending]]+Table1[[#This Row],[Fruits Spending]]+Table1[[#This Row],[Wine Spending ]])</f>
        <v>1174</v>
      </c>
      <c r="Q1439">
        <v>5</v>
      </c>
      <c r="R1439">
        <v>9</v>
      </c>
      <c r="S1439">
        <v>6</v>
      </c>
      <c r="T1439">
        <v>12</v>
      </c>
      <c r="U1439">
        <f>SUM(Table1[[#This Row],[Store_Purchases]]+Table1[[#This Row],[Catalog_Purchases]]+Table1[[#This Row],[Web_Purchases]]+Table1[[#This Row],[Deal_Purchases]])</f>
        <v>32</v>
      </c>
      <c r="V1439">
        <v>6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f>SUM(Table1[[#This Row],[Accepted_Campaign_2]]+Table1[[#This Row],[Accepted_Campaign_1]]+Table1[[#This Row],[Accepted_Campaign_5]]+Table1[[#This Row],[Accepted_Campaign_4]]+Table1[[#This Row],[Accepted_Campaign_3]])</f>
        <v>0</v>
      </c>
      <c r="AC1439">
        <v>0</v>
      </c>
      <c r="AD1439">
        <v>0</v>
      </c>
    </row>
    <row r="1440" spans="1:30" x14ac:dyDescent="0.25">
      <c r="A1440">
        <v>41133</v>
      </c>
      <c r="B1440">
        <v>5462</v>
      </c>
      <c r="C1440">
        <v>1974</v>
      </c>
      <c r="D1440" t="s">
        <v>17</v>
      </c>
      <c r="E1440" t="s">
        <v>6</v>
      </c>
      <c r="F1440" t="s">
        <v>11</v>
      </c>
      <c r="G1440">
        <v>67445</v>
      </c>
      <c r="H1440">
        <v>1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f>SUM(Table1[[#This Row],[Gold Spending]]+Table1[[#This Row],[Sweet Spending]]+Table1[[#This Row],[Fish Spending]]+Table1[[#This Row],[Meat Spending]]+Table1[[#This Row],[Fruits Spending]]+Table1[[#This Row],[Wine Spending ]])</f>
        <v>1174</v>
      </c>
      <c r="Q1440">
        <v>5</v>
      </c>
      <c r="R1440">
        <v>9</v>
      </c>
      <c r="S1440">
        <v>6</v>
      </c>
      <c r="T1440">
        <v>12</v>
      </c>
      <c r="U1440">
        <f>SUM(Table1[[#This Row],[Store_Purchases]]+Table1[[#This Row],[Catalog_Purchases]]+Table1[[#This Row],[Web_Purchases]]+Table1[[#This Row],[Deal_Purchases]])</f>
        <v>32</v>
      </c>
      <c r="V1440">
        <v>6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f>SUM(Table1[[#This Row],[Accepted_Campaign_2]]+Table1[[#This Row],[Accepted_Campaign_1]]+Table1[[#This Row],[Accepted_Campaign_5]]+Table1[[#This Row],[Accepted_Campaign_4]]+Table1[[#This Row],[Accepted_Campaign_3]])</f>
        <v>0</v>
      </c>
      <c r="AC1440">
        <v>0</v>
      </c>
      <c r="AD1440">
        <v>0</v>
      </c>
    </row>
    <row r="1441" spans="1:30" x14ac:dyDescent="0.25">
      <c r="A1441">
        <v>41133</v>
      </c>
      <c r="B1441">
        <v>10897</v>
      </c>
      <c r="C1441">
        <v>1974</v>
      </c>
      <c r="D1441" t="s">
        <v>13</v>
      </c>
      <c r="E1441" t="s">
        <v>6</v>
      </c>
      <c r="F1441" t="s">
        <v>11</v>
      </c>
      <c r="G1441">
        <v>67445</v>
      </c>
      <c r="H1441">
        <v>1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f>SUM(Table1[[#This Row],[Gold Spending]]+Table1[[#This Row],[Sweet Spending]]+Table1[[#This Row],[Fish Spending]]+Table1[[#This Row],[Meat Spending]]+Table1[[#This Row],[Fruits Spending]]+Table1[[#This Row],[Wine Spending ]])</f>
        <v>1174</v>
      </c>
      <c r="Q1441">
        <v>5</v>
      </c>
      <c r="R1441">
        <v>9</v>
      </c>
      <c r="S1441">
        <v>6</v>
      </c>
      <c r="T1441">
        <v>12</v>
      </c>
      <c r="U1441">
        <f>SUM(Table1[[#This Row],[Store_Purchases]]+Table1[[#This Row],[Catalog_Purchases]]+Table1[[#This Row],[Web_Purchases]]+Table1[[#This Row],[Deal_Purchases]])</f>
        <v>32</v>
      </c>
      <c r="V1441">
        <v>6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f>SUM(Table1[[#This Row],[Accepted_Campaign_2]]+Table1[[#This Row],[Accepted_Campaign_1]]+Table1[[#This Row],[Accepted_Campaign_5]]+Table1[[#This Row],[Accepted_Campaign_4]]+Table1[[#This Row],[Accepted_Campaign_3]])</f>
        <v>0</v>
      </c>
      <c r="AC1441">
        <v>0</v>
      </c>
      <c r="AD1441">
        <v>0</v>
      </c>
    </row>
    <row r="1442" spans="1:30" x14ac:dyDescent="0.25">
      <c r="A1442">
        <v>41126</v>
      </c>
      <c r="B1442">
        <v>10542</v>
      </c>
      <c r="C1442">
        <v>1968</v>
      </c>
      <c r="D1442" t="s">
        <v>8</v>
      </c>
      <c r="E1442" t="s">
        <v>14</v>
      </c>
      <c r="F1442" t="s">
        <v>11</v>
      </c>
      <c r="G1442">
        <v>36778</v>
      </c>
      <c r="H1442">
        <v>2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f>SUM(Table1[[#This Row],[Gold Spending]]+Table1[[#This Row],[Sweet Spending]]+Table1[[#This Row],[Fish Spending]]+Table1[[#This Row],[Meat Spending]]+Table1[[#This Row],[Fruits Spending]]+Table1[[#This Row],[Wine Spending ]])</f>
        <v>77</v>
      </c>
      <c r="Q1442">
        <v>3</v>
      </c>
      <c r="R1442">
        <v>3</v>
      </c>
      <c r="S1442">
        <v>0</v>
      </c>
      <c r="T1442">
        <v>3</v>
      </c>
      <c r="U1442">
        <f>SUM(Table1[[#This Row],[Store_Purchases]]+Table1[[#This Row],[Catalog_Purchases]]+Table1[[#This Row],[Web_Purchases]]+Table1[[#This Row],[Deal_Purchases]])</f>
        <v>9</v>
      </c>
      <c r="V1442">
        <v>9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f>SUM(Table1[[#This Row],[Accepted_Campaign_2]]+Table1[[#This Row],[Accepted_Campaign_1]]+Table1[[#This Row],[Accepted_Campaign_5]]+Table1[[#This Row],[Accepted_Campaign_4]]+Table1[[#This Row],[Accepted_Campaign_3]])</f>
        <v>0</v>
      </c>
      <c r="AC1442">
        <v>0</v>
      </c>
      <c r="AD1442">
        <v>0</v>
      </c>
    </row>
    <row r="1443" spans="1:30" x14ac:dyDescent="0.25">
      <c r="A1443">
        <v>41732</v>
      </c>
      <c r="B1443">
        <v>5756</v>
      </c>
      <c r="C1443">
        <v>1983</v>
      </c>
      <c r="D1443" t="s">
        <v>8</v>
      </c>
      <c r="E1443" t="s">
        <v>6</v>
      </c>
      <c r="F1443" t="s">
        <v>12</v>
      </c>
      <c r="G1443">
        <v>39453</v>
      </c>
      <c r="H1443">
        <v>1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1443">
        <v>2</v>
      </c>
      <c r="R1443">
        <v>2</v>
      </c>
      <c r="S1443">
        <v>0</v>
      </c>
      <c r="T1443">
        <v>3</v>
      </c>
      <c r="U1443">
        <f>SUM(Table1[[#This Row],[Store_Purchases]]+Table1[[#This Row],[Catalog_Purchases]]+Table1[[#This Row],[Web_Purchases]]+Table1[[#This Row],[Deal_Purchases]])</f>
        <v>7</v>
      </c>
      <c r="V1443">
        <v>6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f>SUM(Table1[[#This Row],[Accepted_Campaign_2]]+Table1[[#This Row],[Accepted_Campaign_1]]+Table1[[#This Row],[Accepted_Campaign_5]]+Table1[[#This Row],[Accepted_Campaign_4]]+Table1[[#This Row],[Accepted_Campaign_3]])</f>
        <v>0</v>
      </c>
      <c r="AC1443">
        <v>0</v>
      </c>
      <c r="AD1443">
        <v>0</v>
      </c>
    </row>
    <row r="1444" spans="1:30" x14ac:dyDescent="0.25">
      <c r="A1444">
        <v>41568</v>
      </c>
      <c r="B1444">
        <v>3570</v>
      </c>
      <c r="C1444">
        <v>1969</v>
      </c>
      <c r="D1444" t="s">
        <v>20</v>
      </c>
      <c r="E1444" t="s">
        <v>14</v>
      </c>
      <c r="F1444" t="s">
        <v>12</v>
      </c>
      <c r="G1444">
        <v>42731</v>
      </c>
      <c r="H1444">
        <v>1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f>SUM(Table1[[#This Row],[Gold Spending]]+Table1[[#This Row],[Sweet Spending]]+Table1[[#This Row],[Fish Spending]]+Table1[[#This Row],[Meat Spending]]+Table1[[#This Row],[Fruits Spending]]+Table1[[#This Row],[Wine Spending ]])</f>
        <v>244</v>
      </c>
      <c r="Q1444">
        <v>3</v>
      </c>
      <c r="R1444">
        <v>4</v>
      </c>
      <c r="S1444">
        <v>1</v>
      </c>
      <c r="T1444">
        <v>5</v>
      </c>
      <c r="U1444">
        <f>SUM(Table1[[#This Row],[Store_Purchases]]+Table1[[#This Row],[Catalog_Purchases]]+Table1[[#This Row],[Web_Purchases]]+Table1[[#This Row],[Deal_Purchases]])</f>
        <v>13</v>
      </c>
      <c r="V1444">
        <v>5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f>SUM(Table1[[#This Row],[Accepted_Campaign_2]]+Table1[[#This Row],[Accepted_Campaign_1]]+Table1[[#This Row],[Accepted_Campaign_5]]+Table1[[#This Row],[Accepted_Campaign_4]]+Table1[[#This Row],[Accepted_Campaign_3]])</f>
        <v>0</v>
      </c>
      <c r="AC1444">
        <v>0</v>
      </c>
      <c r="AD1444">
        <v>0</v>
      </c>
    </row>
    <row r="1445" spans="1:30" x14ac:dyDescent="0.25">
      <c r="A1445">
        <v>41516</v>
      </c>
      <c r="B1445">
        <v>1072</v>
      </c>
      <c r="C1445">
        <v>1965</v>
      </c>
      <c r="D1445" t="s">
        <v>10</v>
      </c>
      <c r="E1445" t="s">
        <v>14</v>
      </c>
      <c r="F1445" t="s">
        <v>9</v>
      </c>
      <c r="G1445">
        <v>40760</v>
      </c>
      <c r="H1445">
        <v>1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f>SUM(Table1[[#This Row],[Gold Spending]]+Table1[[#This Row],[Sweet Spending]]+Table1[[#This Row],[Fish Spending]]+Table1[[#This Row],[Meat Spending]]+Table1[[#This Row],[Fruits Spending]]+Table1[[#This Row],[Wine Spending ]])</f>
        <v>93</v>
      </c>
      <c r="Q1445">
        <v>2</v>
      </c>
      <c r="R1445">
        <v>2</v>
      </c>
      <c r="S1445">
        <v>1</v>
      </c>
      <c r="T1445">
        <v>3</v>
      </c>
      <c r="U1445">
        <f>SUM(Table1[[#This Row],[Store_Purchases]]+Table1[[#This Row],[Catalog_Purchases]]+Table1[[#This Row],[Web_Purchases]]+Table1[[#This Row],[Deal_Purchases]])</f>
        <v>8</v>
      </c>
      <c r="V1445">
        <v>6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f>SUM(Table1[[#This Row],[Accepted_Campaign_2]]+Table1[[#This Row],[Accepted_Campaign_1]]+Table1[[#This Row],[Accepted_Campaign_5]]+Table1[[#This Row],[Accepted_Campaign_4]]+Table1[[#This Row],[Accepted_Campaign_3]])</f>
        <v>0</v>
      </c>
      <c r="AC1445">
        <v>0</v>
      </c>
      <c r="AD1445">
        <v>0</v>
      </c>
    </row>
    <row r="1446" spans="1:30" x14ac:dyDescent="0.25">
      <c r="A1446">
        <v>41513</v>
      </c>
      <c r="B1446">
        <v>9606</v>
      </c>
      <c r="C1446">
        <v>1965</v>
      </c>
      <c r="D1446" t="s">
        <v>8</v>
      </c>
      <c r="E1446" t="s">
        <v>14</v>
      </c>
      <c r="F1446" t="s">
        <v>11</v>
      </c>
      <c r="G1446">
        <v>69969</v>
      </c>
      <c r="H1446">
        <v>0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f>SUM(Table1[[#This Row],[Gold Spending]]+Table1[[#This Row],[Sweet Spending]]+Table1[[#This Row],[Fish Spending]]+Table1[[#This Row],[Meat Spending]]+Table1[[#This Row],[Fruits Spending]]+Table1[[#This Row],[Wine Spending ]])</f>
        <v>1536</v>
      </c>
      <c r="Q1446">
        <v>1</v>
      </c>
      <c r="R1446">
        <v>4</v>
      </c>
      <c r="S1446">
        <v>2</v>
      </c>
      <c r="T1446">
        <v>6</v>
      </c>
      <c r="U1446">
        <f>SUM(Table1[[#This Row],[Store_Purchases]]+Table1[[#This Row],[Catalog_Purchases]]+Table1[[#This Row],[Web_Purchases]]+Table1[[#This Row],[Deal_Purchases]])</f>
        <v>13</v>
      </c>
      <c r="V1446">
        <v>3</v>
      </c>
      <c r="W1446">
        <v>0</v>
      </c>
      <c r="X1446">
        <v>0</v>
      </c>
      <c r="Y1446">
        <v>1</v>
      </c>
      <c r="Z1446">
        <v>1</v>
      </c>
      <c r="AA1446">
        <v>0</v>
      </c>
      <c r="AB1446">
        <f>SUM(Table1[[#This Row],[Accepted_Campaign_2]]+Table1[[#This Row],[Accepted_Campaign_1]]+Table1[[#This Row],[Accepted_Campaign_5]]+Table1[[#This Row],[Accepted_Campaign_4]]+Table1[[#This Row],[Accepted_Campaign_3]])</f>
        <v>2</v>
      </c>
      <c r="AC1446">
        <v>1</v>
      </c>
      <c r="AD1446">
        <v>0</v>
      </c>
    </row>
    <row r="1447" spans="1:30" x14ac:dyDescent="0.25">
      <c r="A1447">
        <v>41506</v>
      </c>
      <c r="B1447">
        <v>2730</v>
      </c>
      <c r="C1447">
        <v>1955</v>
      </c>
      <c r="D1447" t="s">
        <v>10</v>
      </c>
      <c r="E1447" t="s">
        <v>6</v>
      </c>
      <c r="F1447" t="s">
        <v>9</v>
      </c>
      <c r="G1447">
        <v>80317</v>
      </c>
      <c r="H1447">
        <v>0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f>SUM(Table1[[#This Row],[Gold Spending]]+Table1[[#This Row],[Sweet Spending]]+Table1[[#This Row],[Fish Spending]]+Table1[[#This Row],[Meat Spending]]+Table1[[#This Row],[Fruits Spending]]+Table1[[#This Row],[Wine Spending ]])</f>
        <v>1231</v>
      </c>
      <c r="Q1447">
        <v>1</v>
      </c>
      <c r="R1447">
        <v>3</v>
      </c>
      <c r="S1447">
        <v>4</v>
      </c>
      <c r="T1447">
        <v>10</v>
      </c>
      <c r="U1447">
        <f>SUM(Table1[[#This Row],[Store_Purchases]]+Table1[[#This Row],[Catalog_Purchases]]+Table1[[#This Row],[Web_Purchases]]+Table1[[#This Row],[Deal_Purchases]])</f>
        <v>18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f>SUM(Table1[[#This Row],[Accepted_Campaign_2]]+Table1[[#This Row],[Accepted_Campaign_1]]+Table1[[#This Row],[Accepted_Campaign_5]]+Table1[[#This Row],[Accepted_Campaign_4]]+Table1[[#This Row],[Accepted_Campaign_3]])</f>
        <v>0</v>
      </c>
      <c r="AC1447">
        <v>0</v>
      </c>
      <c r="AD1447">
        <v>0</v>
      </c>
    </row>
    <row r="1448" spans="1:30" x14ac:dyDescent="0.25">
      <c r="A1448">
        <v>41503</v>
      </c>
      <c r="B1448">
        <v>2995</v>
      </c>
      <c r="C1448">
        <v>1957</v>
      </c>
      <c r="D1448" t="s">
        <v>8</v>
      </c>
      <c r="E1448" t="s">
        <v>18</v>
      </c>
      <c r="F1448" t="s">
        <v>12</v>
      </c>
      <c r="G1448">
        <v>66636</v>
      </c>
      <c r="H1448">
        <v>0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f>SUM(Table1[[#This Row],[Gold Spending]]+Table1[[#This Row],[Sweet Spending]]+Table1[[#This Row],[Fish Spending]]+Table1[[#This Row],[Meat Spending]]+Table1[[#This Row],[Fruits Spending]]+Table1[[#This Row],[Wine Spending ]])</f>
        <v>1084</v>
      </c>
      <c r="Q1448">
        <v>1</v>
      </c>
      <c r="R1448">
        <v>3</v>
      </c>
      <c r="S1448">
        <v>4</v>
      </c>
      <c r="T1448">
        <v>9</v>
      </c>
      <c r="U1448">
        <f>SUM(Table1[[#This Row],[Store_Purchases]]+Table1[[#This Row],[Catalog_Purchases]]+Table1[[#This Row],[Web_Purchases]]+Table1[[#This Row],[Deal_Purchases]])</f>
        <v>17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f>SUM(Table1[[#This Row],[Accepted_Campaign_2]]+Table1[[#This Row],[Accepted_Campaign_1]]+Table1[[#This Row],[Accepted_Campaign_5]]+Table1[[#This Row],[Accepted_Campaign_4]]+Table1[[#This Row],[Accepted_Campaign_3]])</f>
        <v>0</v>
      </c>
      <c r="AC1448">
        <v>0</v>
      </c>
      <c r="AD1448">
        <v>0</v>
      </c>
    </row>
    <row r="1449" spans="1:30" x14ac:dyDescent="0.25">
      <c r="A1449">
        <v>41501</v>
      </c>
      <c r="B1449">
        <v>8210</v>
      </c>
      <c r="C1449">
        <v>1975</v>
      </c>
      <c r="D1449" t="s">
        <v>8</v>
      </c>
      <c r="E1449" t="s">
        <v>18</v>
      </c>
      <c r="F1449" t="s">
        <v>11</v>
      </c>
      <c r="G1449">
        <v>54730</v>
      </c>
      <c r="H1449">
        <v>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f>SUM(Table1[[#This Row],[Gold Spending]]+Table1[[#This Row],[Sweet Spending]]+Table1[[#This Row],[Fish Spending]]+Table1[[#This Row],[Meat Spending]]+Table1[[#This Row],[Fruits Spending]]+Table1[[#This Row],[Wine Spending ]])</f>
        <v>405</v>
      </c>
      <c r="Q1449">
        <v>5</v>
      </c>
      <c r="R1449">
        <v>4</v>
      </c>
      <c r="S1449">
        <v>1</v>
      </c>
      <c r="T1449">
        <v>8</v>
      </c>
      <c r="U1449">
        <f>SUM(Table1[[#This Row],[Store_Purchases]]+Table1[[#This Row],[Catalog_Purchases]]+Table1[[#This Row],[Web_Purchases]]+Table1[[#This Row],[Deal_Purchases]])</f>
        <v>18</v>
      </c>
      <c r="V1449">
        <v>4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f>SUM(Table1[[#This Row],[Accepted_Campaign_2]]+Table1[[#This Row],[Accepted_Campaign_1]]+Table1[[#This Row],[Accepted_Campaign_5]]+Table1[[#This Row],[Accepted_Campaign_4]]+Table1[[#This Row],[Accepted_Campaign_3]])</f>
        <v>0</v>
      </c>
      <c r="AC1449">
        <v>0</v>
      </c>
      <c r="AD1449">
        <v>0</v>
      </c>
    </row>
    <row r="1450" spans="1:30" x14ac:dyDescent="0.25">
      <c r="A1450">
        <v>41455</v>
      </c>
      <c r="B1450">
        <v>773</v>
      </c>
      <c r="C1450">
        <v>1971</v>
      </c>
      <c r="D1450" t="s">
        <v>17</v>
      </c>
      <c r="E1450" t="s">
        <v>18</v>
      </c>
      <c r="F1450" t="s">
        <v>7</v>
      </c>
      <c r="G1450">
        <v>42835</v>
      </c>
      <c r="H1450">
        <v>2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f>SUM(Table1[[#This Row],[Gold Spending]]+Table1[[#This Row],[Sweet Spending]]+Table1[[#This Row],[Fish Spending]]+Table1[[#This Row],[Meat Spending]]+Table1[[#This Row],[Fruits Spending]]+Table1[[#This Row],[Wine Spending ]])</f>
        <v>595</v>
      </c>
      <c r="Q1450">
        <v>7</v>
      </c>
      <c r="R1450">
        <v>6</v>
      </c>
      <c r="S1450">
        <v>6</v>
      </c>
      <c r="T1450">
        <v>4</v>
      </c>
      <c r="U1450">
        <f>SUM(Table1[[#This Row],[Store_Purchases]]+Table1[[#This Row],[Catalog_Purchases]]+Table1[[#This Row],[Web_Purchases]]+Table1[[#This Row],[Deal_Purchases]])</f>
        <v>23</v>
      </c>
      <c r="V1450">
        <v>6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f>SUM(Table1[[#This Row],[Accepted_Campaign_2]]+Table1[[#This Row],[Accepted_Campaign_1]]+Table1[[#This Row],[Accepted_Campaign_5]]+Table1[[#This Row],[Accepted_Campaign_4]]+Table1[[#This Row],[Accepted_Campaign_3]])</f>
        <v>0</v>
      </c>
      <c r="AC1450">
        <v>0</v>
      </c>
      <c r="AD1450">
        <v>0</v>
      </c>
    </row>
    <row r="1451" spans="1:30" x14ac:dyDescent="0.25">
      <c r="A1451">
        <v>41452</v>
      </c>
      <c r="B1451">
        <v>5272</v>
      </c>
      <c r="C1451">
        <v>1965</v>
      </c>
      <c r="D1451" t="s">
        <v>20</v>
      </c>
      <c r="E1451" t="s">
        <v>18</v>
      </c>
      <c r="F1451" t="s">
        <v>11</v>
      </c>
      <c r="G1451">
        <v>53843</v>
      </c>
      <c r="H1451">
        <v>1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f>SUM(Table1[[#This Row],[Gold Spending]]+Table1[[#This Row],[Sweet Spending]]+Table1[[#This Row],[Fish Spending]]+Table1[[#This Row],[Meat Spending]]+Table1[[#This Row],[Fruits Spending]]+Table1[[#This Row],[Wine Spending ]])</f>
        <v>562</v>
      </c>
      <c r="Q1451">
        <v>4</v>
      </c>
      <c r="R1451">
        <v>8</v>
      </c>
      <c r="S1451">
        <v>5</v>
      </c>
      <c r="T1451">
        <v>3</v>
      </c>
      <c r="U1451">
        <f>SUM(Table1[[#This Row],[Store_Purchases]]+Table1[[#This Row],[Catalog_Purchases]]+Table1[[#This Row],[Web_Purchases]]+Table1[[#This Row],[Deal_Purchases]])</f>
        <v>20</v>
      </c>
      <c r="V1451">
        <v>7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f>SUM(Table1[[#This Row],[Accepted_Campaign_2]]+Table1[[#This Row],[Accepted_Campaign_1]]+Table1[[#This Row],[Accepted_Campaign_5]]+Table1[[#This Row],[Accepted_Campaign_4]]+Table1[[#This Row],[Accepted_Campaign_3]])</f>
        <v>0</v>
      </c>
      <c r="AC1451">
        <v>0</v>
      </c>
      <c r="AD1451">
        <v>0</v>
      </c>
    </row>
    <row r="1452" spans="1:30" x14ac:dyDescent="0.25">
      <c r="A1452">
        <v>41411</v>
      </c>
      <c r="B1452">
        <v>5125</v>
      </c>
      <c r="C1452">
        <v>1960</v>
      </c>
      <c r="D1452" t="s">
        <v>8</v>
      </c>
      <c r="E1452" t="s">
        <v>6</v>
      </c>
      <c r="F1452" t="s">
        <v>11</v>
      </c>
      <c r="G1452">
        <v>79530</v>
      </c>
      <c r="H1452">
        <v>0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f>SUM(Table1[[#This Row],[Gold Spending]]+Table1[[#This Row],[Sweet Spending]]+Table1[[#This Row],[Fish Spending]]+Table1[[#This Row],[Meat Spending]]+Table1[[#This Row],[Fruits Spending]]+Table1[[#This Row],[Wine Spending ]])</f>
        <v>1348</v>
      </c>
      <c r="Q1452">
        <v>1</v>
      </c>
      <c r="R1452">
        <v>4</v>
      </c>
      <c r="S1452">
        <v>10</v>
      </c>
      <c r="T1452">
        <v>11</v>
      </c>
      <c r="U1452">
        <f>SUM(Table1[[#This Row],[Store_Purchases]]+Table1[[#This Row],[Catalog_Purchases]]+Table1[[#This Row],[Web_Purchases]]+Table1[[#This Row],[Deal_Purchases]])</f>
        <v>26</v>
      </c>
      <c r="V1452">
        <v>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f>SUM(Table1[[#This Row],[Accepted_Campaign_2]]+Table1[[#This Row],[Accepted_Campaign_1]]+Table1[[#This Row],[Accepted_Campaign_5]]+Table1[[#This Row],[Accepted_Campaign_4]]+Table1[[#This Row],[Accepted_Campaign_3]])</f>
        <v>0</v>
      </c>
      <c r="AC1452">
        <v>0</v>
      </c>
      <c r="AD1452">
        <v>0</v>
      </c>
    </row>
    <row r="1453" spans="1:30" x14ac:dyDescent="0.25">
      <c r="A1453">
        <v>41385</v>
      </c>
      <c r="B1453">
        <v>4391</v>
      </c>
      <c r="C1453">
        <v>1968</v>
      </c>
      <c r="D1453" t="s">
        <v>20</v>
      </c>
      <c r="E1453" t="s">
        <v>18</v>
      </c>
      <c r="F1453" t="s">
        <v>7</v>
      </c>
      <c r="G1453">
        <v>63841</v>
      </c>
      <c r="H1453">
        <v>1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f>SUM(Table1[[#This Row],[Gold Spending]]+Table1[[#This Row],[Sweet Spending]]+Table1[[#This Row],[Fish Spending]]+Table1[[#This Row],[Meat Spending]]+Table1[[#This Row],[Fruits Spending]]+Table1[[#This Row],[Wine Spending ]])</f>
        <v>908</v>
      </c>
      <c r="Q1453">
        <v>1</v>
      </c>
      <c r="R1453">
        <v>9</v>
      </c>
      <c r="S1453">
        <v>3</v>
      </c>
      <c r="T1453">
        <v>9</v>
      </c>
      <c r="U1453">
        <f>SUM(Table1[[#This Row],[Store_Purchases]]+Table1[[#This Row],[Catalog_Purchases]]+Table1[[#This Row],[Web_Purchases]]+Table1[[#This Row],[Deal_Purchases]])</f>
        <v>22</v>
      </c>
      <c r="V1453">
        <v>6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f>SUM(Table1[[#This Row],[Accepted_Campaign_2]]+Table1[[#This Row],[Accepted_Campaign_1]]+Table1[[#This Row],[Accepted_Campaign_5]]+Table1[[#This Row],[Accepted_Campaign_4]]+Table1[[#This Row],[Accepted_Campaign_3]])</f>
        <v>0</v>
      </c>
      <c r="AC1453">
        <v>0</v>
      </c>
      <c r="AD1453">
        <v>0</v>
      </c>
    </row>
    <row r="1454" spans="1:30" x14ac:dyDescent="0.25">
      <c r="A1454">
        <v>41385</v>
      </c>
      <c r="B1454">
        <v>6283</v>
      </c>
      <c r="C1454">
        <v>1968</v>
      </c>
      <c r="D1454" t="s">
        <v>8</v>
      </c>
      <c r="E1454" t="s">
        <v>18</v>
      </c>
      <c r="F1454" t="s">
        <v>7</v>
      </c>
      <c r="G1454">
        <v>63841</v>
      </c>
      <c r="H1454">
        <v>1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f>SUM(Table1[[#This Row],[Gold Spending]]+Table1[[#This Row],[Sweet Spending]]+Table1[[#This Row],[Fish Spending]]+Table1[[#This Row],[Meat Spending]]+Table1[[#This Row],[Fruits Spending]]+Table1[[#This Row],[Wine Spending ]])</f>
        <v>908</v>
      </c>
      <c r="Q1454">
        <v>1</v>
      </c>
      <c r="R1454">
        <v>9</v>
      </c>
      <c r="S1454">
        <v>3</v>
      </c>
      <c r="T1454">
        <v>9</v>
      </c>
      <c r="U1454">
        <f>SUM(Table1[[#This Row],[Store_Purchases]]+Table1[[#This Row],[Catalog_Purchases]]+Table1[[#This Row],[Web_Purchases]]+Table1[[#This Row],[Deal_Purchases]])</f>
        <v>22</v>
      </c>
      <c r="V1454">
        <v>6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f>SUM(Table1[[#This Row],[Accepted_Campaign_2]]+Table1[[#This Row],[Accepted_Campaign_1]]+Table1[[#This Row],[Accepted_Campaign_5]]+Table1[[#This Row],[Accepted_Campaign_4]]+Table1[[#This Row],[Accepted_Campaign_3]])</f>
        <v>0</v>
      </c>
      <c r="AC1454">
        <v>0</v>
      </c>
      <c r="AD1454">
        <v>0</v>
      </c>
    </row>
    <row r="1455" spans="1:30" x14ac:dyDescent="0.25">
      <c r="A1455">
        <v>41385</v>
      </c>
      <c r="B1455">
        <v>3421</v>
      </c>
      <c r="C1455">
        <v>1968</v>
      </c>
      <c r="D1455" t="s">
        <v>13</v>
      </c>
      <c r="E1455" t="s">
        <v>18</v>
      </c>
      <c r="F1455" t="s">
        <v>7</v>
      </c>
      <c r="G1455">
        <v>63841</v>
      </c>
      <c r="H1455">
        <v>1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f>SUM(Table1[[#This Row],[Gold Spending]]+Table1[[#This Row],[Sweet Spending]]+Table1[[#This Row],[Fish Spending]]+Table1[[#This Row],[Meat Spending]]+Table1[[#This Row],[Fruits Spending]]+Table1[[#This Row],[Wine Spending ]])</f>
        <v>908</v>
      </c>
      <c r="Q1455">
        <v>1</v>
      </c>
      <c r="R1455">
        <v>9</v>
      </c>
      <c r="S1455">
        <v>3</v>
      </c>
      <c r="T1455">
        <v>9</v>
      </c>
      <c r="U1455">
        <f>SUM(Table1[[#This Row],[Store_Purchases]]+Table1[[#This Row],[Catalog_Purchases]]+Table1[[#This Row],[Web_Purchases]]+Table1[[#This Row],[Deal_Purchases]])</f>
        <v>22</v>
      </c>
      <c r="V1455">
        <v>6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f>SUM(Table1[[#This Row],[Accepted_Campaign_2]]+Table1[[#This Row],[Accepted_Campaign_1]]+Table1[[#This Row],[Accepted_Campaign_5]]+Table1[[#This Row],[Accepted_Campaign_4]]+Table1[[#This Row],[Accepted_Campaign_3]])</f>
        <v>0</v>
      </c>
      <c r="AC1455">
        <v>0</v>
      </c>
      <c r="AD1455">
        <v>0</v>
      </c>
    </row>
    <row r="1456" spans="1:30" x14ac:dyDescent="0.25">
      <c r="A1456">
        <v>41369</v>
      </c>
      <c r="B1456">
        <v>5731</v>
      </c>
      <c r="C1456">
        <v>1983</v>
      </c>
      <c r="D1456" t="s">
        <v>8</v>
      </c>
      <c r="E1456" t="s">
        <v>18</v>
      </c>
      <c r="F1456" t="s">
        <v>11</v>
      </c>
      <c r="G1456">
        <v>27100</v>
      </c>
      <c r="H1456">
        <v>1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f>SUM(Table1[[#This Row],[Gold Spending]]+Table1[[#This Row],[Sweet Spending]]+Table1[[#This Row],[Fish Spending]]+Table1[[#This Row],[Meat Spending]]+Table1[[#This Row],[Fruits Spending]]+Table1[[#This Row],[Wine Spending ]])</f>
        <v>37</v>
      </c>
      <c r="Q1456">
        <v>1</v>
      </c>
      <c r="R1456">
        <v>1</v>
      </c>
      <c r="S1456">
        <v>0</v>
      </c>
      <c r="T1456">
        <v>3</v>
      </c>
      <c r="U1456">
        <f>SUM(Table1[[#This Row],[Store_Purchases]]+Table1[[#This Row],[Catalog_Purchases]]+Table1[[#This Row],[Web_Purchases]]+Table1[[#This Row],[Deal_Purchases]])</f>
        <v>5</v>
      </c>
      <c r="V1456">
        <v>7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f>SUM(Table1[[#This Row],[Accepted_Campaign_2]]+Table1[[#This Row],[Accepted_Campaign_1]]+Table1[[#This Row],[Accepted_Campaign_5]]+Table1[[#This Row],[Accepted_Campaign_4]]+Table1[[#This Row],[Accepted_Campaign_3]])</f>
        <v>0</v>
      </c>
      <c r="AC1456">
        <v>0</v>
      </c>
      <c r="AD1456">
        <v>0</v>
      </c>
    </row>
    <row r="1457" spans="1:30" x14ac:dyDescent="0.25">
      <c r="A1457">
        <v>41369</v>
      </c>
      <c r="B1457">
        <v>7152</v>
      </c>
      <c r="C1457">
        <v>1983</v>
      </c>
      <c r="D1457" t="s">
        <v>16</v>
      </c>
      <c r="E1457" t="s">
        <v>18</v>
      </c>
      <c r="F1457" t="s">
        <v>11</v>
      </c>
      <c r="G1457">
        <v>27100</v>
      </c>
      <c r="H1457">
        <v>1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f>SUM(Table1[[#This Row],[Gold Spending]]+Table1[[#This Row],[Sweet Spending]]+Table1[[#This Row],[Fish Spending]]+Table1[[#This Row],[Meat Spending]]+Table1[[#This Row],[Fruits Spending]]+Table1[[#This Row],[Wine Spending ]])</f>
        <v>37</v>
      </c>
      <c r="Q1457">
        <v>1</v>
      </c>
      <c r="R1457">
        <v>1</v>
      </c>
      <c r="S1457">
        <v>0</v>
      </c>
      <c r="T1457">
        <v>3</v>
      </c>
      <c r="U1457">
        <f>SUM(Table1[[#This Row],[Store_Purchases]]+Table1[[#This Row],[Catalog_Purchases]]+Table1[[#This Row],[Web_Purchases]]+Table1[[#This Row],[Deal_Purchases]])</f>
        <v>5</v>
      </c>
      <c r="V1457">
        <v>7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f>SUM(Table1[[#This Row],[Accepted_Campaign_2]]+Table1[[#This Row],[Accepted_Campaign_1]]+Table1[[#This Row],[Accepted_Campaign_5]]+Table1[[#This Row],[Accepted_Campaign_4]]+Table1[[#This Row],[Accepted_Campaign_3]])</f>
        <v>0</v>
      </c>
      <c r="AC1457">
        <v>0</v>
      </c>
      <c r="AD1457">
        <v>0</v>
      </c>
    </row>
    <row r="1458" spans="1:30" x14ac:dyDescent="0.25">
      <c r="A1458">
        <v>41344</v>
      </c>
      <c r="B1458">
        <v>3919</v>
      </c>
      <c r="C1458">
        <v>1976</v>
      </c>
      <c r="D1458" t="s">
        <v>10</v>
      </c>
      <c r="E1458" t="s">
        <v>18</v>
      </c>
      <c r="F1458" t="s">
        <v>9</v>
      </c>
      <c r="G1458">
        <v>72309</v>
      </c>
      <c r="H1458">
        <v>0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f>SUM(Table1[[#This Row],[Gold Spending]]+Table1[[#This Row],[Sweet Spending]]+Table1[[#This Row],[Fish Spending]]+Table1[[#This Row],[Meat Spending]]+Table1[[#This Row],[Fruits Spending]]+Table1[[#This Row],[Wine Spending ]])</f>
        <v>1931</v>
      </c>
      <c r="Q1458">
        <v>1</v>
      </c>
      <c r="R1458">
        <v>5</v>
      </c>
      <c r="S1458">
        <v>6</v>
      </c>
      <c r="T1458">
        <v>8</v>
      </c>
      <c r="U1458">
        <f>SUM(Table1[[#This Row],[Store_Purchases]]+Table1[[#This Row],[Catalog_Purchases]]+Table1[[#This Row],[Web_Purchases]]+Table1[[#This Row],[Deal_Purchases]])</f>
        <v>20</v>
      </c>
      <c r="V1458">
        <v>3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f>SUM(Table1[[#This Row],[Accepted_Campaign_2]]+Table1[[#This Row],[Accepted_Campaign_1]]+Table1[[#This Row],[Accepted_Campaign_5]]+Table1[[#This Row],[Accepted_Campaign_4]]+Table1[[#This Row],[Accepted_Campaign_3]])</f>
        <v>1</v>
      </c>
      <c r="AC1458">
        <v>1</v>
      </c>
      <c r="AD1458">
        <v>0</v>
      </c>
    </row>
    <row r="1459" spans="1:30" x14ac:dyDescent="0.25">
      <c r="A1459">
        <v>41290</v>
      </c>
      <c r="B1459">
        <v>6097</v>
      </c>
      <c r="C1459">
        <v>1959</v>
      </c>
      <c r="D1459" t="s">
        <v>20</v>
      </c>
      <c r="E1459" t="s">
        <v>6</v>
      </c>
      <c r="F1459" t="s">
        <v>9</v>
      </c>
      <c r="G1459">
        <v>50664</v>
      </c>
      <c r="H1459">
        <v>2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f>SUM(Table1[[#This Row],[Gold Spending]]+Table1[[#This Row],[Sweet Spending]]+Table1[[#This Row],[Fish Spending]]+Table1[[#This Row],[Meat Spending]]+Table1[[#This Row],[Fruits Spending]]+Table1[[#This Row],[Wine Spending ]])</f>
        <v>561</v>
      </c>
      <c r="Q1459">
        <v>9</v>
      </c>
      <c r="R1459">
        <v>8</v>
      </c>
      <c r="S1459">
        <v>1</v>
      </c>
      <c r="T1459">
        <v>6</v>
      </c>
      <c r="U1459">
        <f>SUM(Table1[[#This Row],[Store_Purchases]]+Table1[[#This Row],[Catalog_Purchases]]+Table1[[#This Row],[Web_Purchases]]+Table1[[#This Row],[Deal_Purchases]])</f>
        <v>24</v>
      </c>
      <c r="V1459">
        <v>9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f>SUM(Table1[[#This Row],[Accepted_Campaign_2]]+Table1[[#This Row],[Accepted_Campaign_1]]+Table1[[#This Row],[Accepted_Campaign_5]]+Table1[[#This Row],[Accepted_Campaign_4]]+Table1[[#This Row],[Accepted_Campaign_3]])</f>
        <v>0</v>
      </c>
      <c r="AC1459">
        <v>0</v>
      </c>
      <c r="AD1459">
        <v>0</v>
      </c>
    </row>
    <row r="1460" spans="1:30" x14ac:dyDescent="0.25">
      <c r="A1460">
        <v>41260</v>
      </c>
      <c r="B1460">
        <v>5150</v>
      </c>
      <c r="C1460">
        <v>1979</v>
      </c>
      <c r="D1460" t="s">
        <v>8</v>
      </c>
      <c r="E1460" t="s">
        <v>21</v>
      </c>
      <c r="F1460" t="s">
        <v>9</v>
      </c>
      <c r="G1460">
        <v>20194</v>
      </c>
      <c r="H1460">
        <v>1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f>SUM(Table1[[#This Row],[Gold Spending]]+Table1[[#This Row],[Sweet Spending]]+Table1[[#This Row],[Fish Spending]]+Table1[[#This Row],[Meat Spending]]+Table1[[#This Row],[Fruits Spending]]+Table1[[#This Row],[Wine Spending ]])</f>
        <v>47</v>
      </c>
      <c r="Q1460">
        <v>2</v>
      </c>
      <c r="R1460">
        <v>2</v>
      </c>
      <c r="S1460">
        <v>0</v>
      </c>
      <c r="T1460">
        <v>3</v>
      </c>
      <c r="U1460">
        <f>SUM(Table1[[#This Row],[Store_Purchases]]+Table1[[#This Row],[Catalog_Purchases]]+Table1[[#This Row],[Web_Purchases]]+Table1[[#This Row],[Deal_Purchases]])</f>
        <v>7</v>
      </c>
      <c r="V1460">
        <v>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f>SUM(Table1[[#This Row],[Accepted_Campaign_2]]+Table1[[#This Row],[Accepted_Campaign_1]]+Table1[[#This Row],[Accepted_Campaign_5]]+Table1[[#This Row],[Accepted_Campaign_4]]+Table1[[#This Row],[Accepted_Campaign_3]])</f>
        <v>0</v>
      </c>
      <c r="AC1460">
        <v>0</v>
      </c>
      <c r="AD1460">
        <v>0</v>
      </c>
    </row>
    <row r="1461" spans="1:30" x14ac:dyDescent="0.25">
      <c r="A1461">
        <v>41250</v>
      </c>
      <c r="B1461">
        <v>10479</v>
      </c>
      <c r="C1461">
        <v>1975</v>
      </c>
      <c r="D1461" t="s">
        <v>13</v>
      </c>
      <c r="E1461" t="s">
        <v>14</v>
      </c>
      <c r="F1461" t="s">
        <v>11</v>
      </c>
      <c r="G1461">
        <v>76618</v>
      </c>
      <c r="H1461">
        <v>0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f>SUM(Table1[[#This Row],[Gold Spending]]+Table1[[#This Row],[Sweet Spending]]+Table1[[#This Row],[Fish Spending]]+Table1[[#This Row],[Meat Spending]]+Table1[[#This Row],[Fruits Spending]]+Table1[[#This Row],[Wine Spending ]])</f>
        <v>1511</v>
      </c>
      <c r="Q1461">
        <v>1</v>
      </c>
      <c r="R1461">
        <v>3</v>
      </c>
      <c r="S1461">
        <v>2</v>
      </c>
      <c r="T1461">
        <v>5</v>
      </c>
      <c r="U1461">
        <f>SUM(Table1[[#This Row],[Store_Purchases]]+Table1[[#This Row],[Catalog_Purchases]]+Table1[[#This Row],[Web_Purchases]]+Table1[[#This Row],[Deal_Purchases]])</f>
        <v>11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f>SUM(Table1[[#This Row],[Accepted_Campaign_2]]+Table1[[#This Row],[Accepted_Campaign_1]]+Table1[[#This Row],[Accepted_Campaign_5]]+Table1[[#This Row],[Accepted_Campaign_4]]+Table1[[#This Row],[Accepted_Campaign_3]])</f>
        <v>0</v>
      </c>
      <c r="AC1461">
        <v>0</v>
      </c>
      <c r="AD1461">
        <v>0</v>
      </c>
    </row>
    <row r="1462" spans="1:30" x14ac:dyDescent="0.25">
      <c r="A1462">
        <v>41223</v>
      </c>
      <c r="B1462">
        <v>5966</v>
      </c>
      <c r="C1462">
        <v>1974</v>
      </c>
      <c r="D1462" t="s">
        <v>8</v>
      </c>
      <c r="E1462" t="s">
        <v>14</v>
      </c>
      <c r="F1462" t="s">
        <v>11</v>
      </c>
      <c r="G1462">
        <v>45207</v>
      </c>
      <c r="H1462">
        <v>2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f>SUM(Table1[[#This Row],[Gold Spending]]+Table1[[#This Row],[Sweet Spending]]+Table1[[#This Row],[Fish Spending]]+Table1[[#This Row],[Meat Spending]]+Table1[[#This Row],[Fruits Spending]]+Table1[[#This Row],[Wine Spending ]])</f>
        <v>215</v>
      </c>
      <c r="Q1462">
        <v>5</v>
      </c>
      <c r="R1462">
        <v>3</v>
      </c>
      <c r="S1462">
        <v>1</v>
      </c>
      <c r="T1462">
        <v>6</v>
      </c>
      <c r="U1462">
        <f>SUM(Table1[[#This Row],[Store_Purchases]]+Table1[[#This Row],[Catalog_Purchases]]+Table1[[#This Row],[Web_Purchases]]+Table1[[#This Row],[Deal_Purchases]])</f>
        <v>15</v>
      </c>
      <c r="V1462">
        <v>6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f>SUM(Table1[[#This Row],[Accepted_Campaign_2]]+Table1[[#This Row],[Accepted_Campaign_1]]+Table1[[#This Row],[Accepted_Campaign_5]]+Table1[[#This Row],[Accepted_Campaign_4]]+Table1[[#This Row],[Accepted_Campaign_3]])</f>
        <v>1</v>
      </c>
      <c r="AC1462">
        <v>0</v>
      </c>
      <c r="AD1462">
        <v>0</v>
      </c>
    </row>
    <row r="1463" spans="1:30" x14ac:dyDescent="0.25">
      <c r="A1463">
        <v>41213</v>
      </c>
      <c r="B1463">
        <v>3439</v>
      </c>
      <c r="C1463">
        <v>1972</v>
      </c>
      <c r="D1463" t="s">
        <v>8</v>
      </c>
      <c r="E1463" t="s">
        <v>6</v>
      </c>
      <c r="F1463" t="s">
        <v>11</v>
      </c>
      <c r="G1463">
        <v>56721</v>
      </c>
      <c r="H1463">
        <v>2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f>SUM(Table1[[#This Row],[Gold Spending]]+Table1[[#This Row],[Sweet Spending]]+Table1[[#This Row],[Fish Spending]]+Table1[[#This Row],[Meat Spending]]+Table1[[#This Row],[Fruits Spending]]+Table1[[#This Row],[Wine Spending ]])</f>
        <v>296</v>
      </c>
      <c r="Q1463">
        <v>5</v>
      </c>
      <c r="R1463">
        <v>4</v>
      </c>
      <c r="S1463">
        <v>1</v>
      </c>
      <c r="T1463">
        <v>5</v>
      </c>
      <c r="U1463">
        <f>SUM(Table1[[#This Row],[Store_Purchases]]+Table1[[#This Row],[Catalog_Purchases]]+Table1[[#This Row],[Web_Purchases]]+Table1[[#This Row],[Deal_Purchases]])</f>
        <v>15</v>
      </c>
      <c r="V1463">
        <v>6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f>SUM(Table1[[#This Row],[Accepted_Campaign_2]]+Table1[[#This Row],[Accepted_Campaign_1]]+Table1[[#This Row],[Accepted_Campaign_5]]+Table1[[#This Row],[Accepted_Campaign_4]]+Table1[[#This Row],[Accepted_Campaign_3]])</f>
        <v>0</v>
      </c>
      <c r="AC1463">
        <v>0</v>
      </c>
      <c r="AD1463">
        <v>0</v>
      </c>
    </row>
    <row r="1464" spans="1:30" x14ac:dyDescent="0.25">
      <c r="A1464">
        <v>41170</v>
      </c>
      <c r="B1464">
        <v>6609</v>
      </c>
      <c r="C1464">
        <v>1966</v>
      </c>
      <c r="D1464" t="s">
        <v>20</v>
      </c>
      <c r="E1464" t="s">
        <v>6</v>
      </c>
      <c r="F1464" t="s">
        <v>19</v>
      </c>
      <c r="G1464">
        <v>27038</v>
      </c>
      <c r="H1464">
        <v>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f>SUM(Table1[[#This Row],[Gold Spending]]+Table1[[#This Row],[Sweet Spending]]+Table1[[#This Row],[Fish Spending]]+Table1[[#This Row],[Meat Spending]]+Table1[[#This Row],[Fruits Spending]]+Table1[[#This Row],[Wine Spending ]])</f>
        <v>107</v>
      </c>
      <c r="Q1464">
        <v>1</v>
      </c>
      <c r="R1464">
        <v>3</v>
      </c>
      <c r="S1464">
        <v>0</v>
      </c>
      <c r="T1464">
        <v>3</v>
      </c>
      <c r="U1464">
        <f>SUM(Table1[[#This Row],[Store_Purchases]]+Table1[[#This Row],[Catalog_Purchases]]+Table1[[#This Row],[Web_Purchases]]+Table1[[#This Row],[Deal_Purchases]])</f>
        <v>7</v>
      </c>
      <c r="V1464">
        <v>9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f>SUM(Table1[[#This Row],[Accepted_Campaign_2]]+Table1[[#This Row],[Accepted_Campaign_1]]+Table1[[#This Row],[Accepted_Campaign_5]]+Table1[[#This Row],[Accepted_Campaign_4]]+Table1[[#This Row],[Accepted_Campaign_3]])</f>
        <v>0</v>
      </c>
      <c r="AC1464">
        <v>1</v>
      </c>
      <c r="AD1464">
        <v>0</v>
      </c>
    </row>
    <row r="1465" spans="1:30" x14ac:dyDescent="0.25">
      <c r="A1465">
        <v>41128</v>
      </c>
      <c r="B1465">
        <v>5393</v>
      </c>
      <c r="C1465">
        <v>1977</v>
      </c>
      <c r="D1465" t="s">
        <v>8</v>
      </c>
      <c r="E1465" t="s">
        <v>6</v>
      </c>
      <c r="F1465" t="s">
        <v>9</v>
      </c>
      <c r="G1465">
        <v>23763</v>
      </c>
      <c r="H1465">
        <v>1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f>SUM(Table1[[#This Row],[Gold Spending]]+Table1[[#This Row],[Sweet Spending]]+Table1[[#This Row],[Fish Spending]]+Table1[[#This Row],[Meat Spending]]+Table1[[#This Row],[Fruits Spending]]+Table1[[#This Row],[Wine Spending ]])</f>
        <v>42</v>
      </c>
      <c r="Q1465">
        <v>1</v>
      </c>
      <c r="R1465">
        <v>1</v>
      </c>
      <c r="S1465">
        <v>0</v>
      </c>
      <c r="T1465">
        <v>3</v>
      </c>
      <c r="U1465">
        <f>SUM(Table1[[#This Row],[Store_Purchases]]+Table1[[#This Row],[Catalog_Purchases]]+Table1[[#This Row],[Web_Purchases]]+Table1[[#This Row],[Deal_Purchases]])</f>
        <v>5</v>
      </c>
      <c r="V1465">
        <v>7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f>SUM(Table1[[#This Row],[Accepted_Campaign_2]]+Table1[[#This Row],[Accepted_Campaign_1]]+Table1[[#This Row],[Accepted_Campaign_5]]+Table1[[#This Row],[Accepted_Campaign_4]]+Table1[[#This Row],[Accepted_Campaign_3]])</f>
        <v>0</v>
      </c>
      <c r="AC1465">
        <v>0</v>
      </c>
      <c r="AD1465">
        <v>0</v>
      </c>
    </row>
    <row r="1466" spans="1:30" x14ac:dyDescent="0.25">
      <c r="A1466">
        <v>41816</v>
      </c>
      <c r="B1466">
        <v>9014</v>
      </c>
      <c r="C1466">
        <v>1975</v>
      </c>
      <c r="D1466" t="s">
        <v>17</v>
      </c>
      <c r="E1466" t="s">
        <v>6</v>
      </c>
      <c r="F1466" t="s">
        <v>11</v>
      </c>
      <c r="G1466">
        <v>37085</v>
      </c>
      <c r="H1466">
        <v>2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f>SUM(Table1[[#This Row],[Gold Spending]]+Table1[[#This Row],[Sweet Spending]]+Table1[[#This Row],[Fish Spending]]+Table1[[#This Row],[Meat Spending]]+Table1[[#This Row],[Fruits Spending]]+Table1[[#This Row],[Wine Spending ]])</f>
        <v>61</v>
      </c>
      <c r="Q1466">
        <v>4</v>
      </c>
      <c r="R1466">
        <v>3</v>
      </c>
      <c r="S1466">
        <v>0</v>
      </c>
      <c r="T1466">
        <v>3</v>
      </c>
      <c r="U1466">
        <f>SUM(Table1[[#This Row],[Store_Purchases]]+Table1[[#This Row],[Catalog_Purchases]]+Table1[[#This Row],[Web_Purchases]]+Table1[[#This Row],[Deal_Purchases]])</f>
        <v>10</v>
      </c>
      <c r="V1466">
        <v>8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f>SUM(Table1[[#This Row],[Accepted_Campaign_2]]+Table1[[#This Row],[Accepted_Campaign_1]]+Table1[[#This Row],[Accepted_Campaign_5]]+Table1[[#This Row],[Accepted_Campaign_4]]+Table1[[#This Row],[Accepted_Campaign_3]])</f>
        <v>0</v>
      </c>
      <c r="AC1466">
        <v>0</v>
      </c>
      <c r="AD1466">
        <v>0</v>
      </c>
    </row>
    <row r="1467" spans="1:30" x14ac:dyDescent="0.25">
      <c r="A1467">
        <v>41811</v>
      </c>
      <c r="B1467">
        <v>4050</v>
      </c>
      <c r="C1467">
        <v>1966</v>
      </c>
      <c r="D1467" t="s">
        <v>10</v>
      </c>
      <c r="E1467" t="s">
        <v>18</v>
      </c>
      <c r="F1467" t="s">
        <v>11</v>
      </c>
      <c r="G1467">
        <v>49605</v>
      </c>
      <c r="H1467">
        <v>0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f>SUM(Table1[[#This Row],[Gold Spending]]+Table1[[#This Row],[Sweet Spending]]+Table1[[#This Row],[Fish Spending]]+Table1[[#This Row],[Meat Spending]]+Table1[[#This Row],[Fruits Spending]]+Table1[[#This Row],[Wine Spending ]])</f>
        <v>127</v>
      </c>
      <c r="Q1467">
        <v>1</v>
      </c>
      <c r="R1467">
        <v>2</v>
      </c>
      <c r="S1467">
        <v>1</v>
      </c>
      <c r="T1467">
        <v>4</v>
      </c>
      <c r="U1467">
        <f>SUM(Table1[[#This Row],[Store_Purchases]]+Table1[[#This Row],[Catalog_Purchases]]+Table1[[#This Row],[Web_Purchases]]+Table1[[#This Row],[Deal_Purchases]])</f>
        <v>8</v>
      </c>
      <c r="V1467">
        <v>3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f>SUM(Table1[[#This Row],[Accepted_Campaign_2]]+Table1[[#This Row],[Accepted_Campaign_1]]+Table1[[#This Row],[Accepted_Campaign_5]]+Table1[[#This Row],[Accepted_Campaign_4]]+Table1[[#This Row],[Accepted_Campaign_3]])</f>
        <v>0</v>
      </c>
      <c r="AC1467">
        <v>0</v>
      </c>
      <c r="AD1467">
        <v>0</v>
      </c>
    </row>
    <row r="1468" spans="1:30" x14ac:dyDescent="0.25">
      <c r="A1468">
        <v>41777</v>
      </c>
      <c r="B1468">
        <v>6862</v>
      </c>
      <c r="C1468">
        <v>1971</v>
      </c>
      <c r="D1468" t="s">
        <v>8</v>
      </c>
      <c r="E1468" t="s">
        <v>6</v>
      </c>
      <c r="F1468" t="s">
        <v>7</v>
      </c>
      <c r="G1468">
        <v>1730</v>
      </c>
      <c r="H1468">
        <v>0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f>SUM(Table1[[#This Row],[Gold Spending]]+Table1[[#This Row],[Sweet Spending]]+Table1[[#This Row],[Fish Spending]]+Table1[[#This Row],[Meat Spending]]+Table1[[#This Row],[Fruits Spending]]+Table1[[#This Row],[Wine Spending ]])</f>
        <v>8</v>
      </c>
      <c r="Q1468">
        <v>15</v>
      </c>
      <c r="R1468">
        <v>0</v>
      </c>
      <c r="S1468">
        <v>0</v>
      </c>
      <c r="T1468">
        <v>0</v>
      </c>
      <c r="U1468">
        <f>SUM(Table1[[#This Row],[Store_Purchases]]+Table1[[#This Row],[Catalog_Purchases]]+Table1[[#This Row],[Web_Purchases]]+Table1[[#This Row],[Deal_Purchases]])</f>
        <v>15</v>
      </c>
      <c r="V1468">
        <v>20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f>SUM(Table1[[#This Row],[Accepted_Campaign_2]]+Table1[[#This Row],[Accepted_Campaign_1]]+Table1[[#This Row],[Accepted_Campaign_5]]+Table1[[#This Row],[Accepted_Campaign_4]]+Table1[[#This Row],[Accepted_Campaign_3]])</f>
        <v>0</v>
      </c>
      <c r="AC1468">
        <v>0</v>
      </c>
      <c r="AD1468">
        <v>0</v>
      </c>
    </row>
    <row r="1469" spans="1:30" x14ac:dyDescent="0.25">
      <c r="A1469">
        <v>41724</v>
      </c>
      <c r="B1469">
        <v>8315</v>
      </c>
      <c r="C1469">
        <v>1995</v>
      </c>
      <c r="D1469" t="s">
        <v>63</v>
      </c>
      <c r="E1469" t="s">
        <v>6</v>
      </c>
      <c r="F1469" t="s">
        <v>9</v>
      </c>
      <c r="G1469">
        <v>34824</v>
      </c>
      <c r="H1469">
        <v>0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f>SUM(Table1[[#This Row],[Gold Spending]]+Table1[[#This Row],[Sweet Spending]]+Table1[[#This Row],[Fish Spending]]+Table1[[#This Row],[Meat Spending]]+Table1[[#This Row],[Fruits Spending]]+Table1[[#This Row],[Wine Spending ]])</f>
        <v>23</v>
      </c>
      <c r="Q1469">
        <v>1</v>
      </c>
      <c r="R1469">
        <v>1</v>
      </c>
      <c r="S1469">
        <v>0</v>
      </c>
      <c r="T1469">
        <v>2</v>
      </c>
      <c r="U1469">
        <f>SUM(Table1[[#This Row],[Store_Purchases]]+Table1[[#This Row],[Catalog_Purchases]]+Table1[[#This Row],[Web_Purchases]]+Table1[[#This Row],[Deal_Purchases]])</f>
        <v>4</v>
      </c>
      <c r="V1469">
        <v>6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f>SUM(Table1[[#This Row],[Accepted_Campaign_2]]+Table1[[#This Row],[Accepted_Campaign_1]]+Table1[[#This Row],[Accepted_Campaign_5]]+Table1[[#This Row],[Accepted_Campaign_4]]+Table1[[#This Row],[Accepted_Campaign_3]])</f>
        <v>0</v>
      </c>
      <c r="AC1469">
        <v>0</v>
      </c>
      <c r="AD1469">
        <v>0</v>
      </c>
    </row>
    <row r="1470" spans="1:30" x14ac:dyDescent="0.25">
      <c r="A1470">
        <v>41724</v>
      </c>
      <c r="B1470">
        <v>5184</v>
      </c>
      <c r="C1470">
        <v>1995</v>
      </c>
      <c r="D1470" t="s">
        <v>8</v>
      </c>
      <c r="E1470" t="s">
        <v>6</v>
      </c>
      <c r="F1470" t="s">
        <v>9</v>
      </c>
      <c r="G1470">
        <v>34824</v>
      </c>
      <c r="H1470">
        <v>0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f>SUM(Table1[[#This Row],[Gold Spending]]+Table1[[#This Row],[Sweet Spending]]+Table1[[#This Row],[Fish Spending]]+Table1[[#This Row],[Meat Spending]]+Table1[[#This Row],[Fruits Spending]]+Table1[[#This Row],[Wine Spending ]])</f>
        <v>23</v>
      </c>
      <c r="Q1470">
        <v>1</v>
      </c>
      <c r="R1470">
        <v>1</v>
      </c>
      <c r="S1470">
        <v>0</v>
      </c>
      <c r="T1470">
        <v>2</v>
      </c>
      <c r="U1470">
        <f>SUM(Table1[[#This Row],[Store_Purchases]]+Table1[[#This Row],[Catalog_Purchases]]+Table1[[#This Row],[Web_Purchases]]+Table1[[#This Row],[Deal_Purchases]])</f>
        <v>4</v>
      </c>
      <c r="V1470">
        <v>6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f>SUM(Table1[[#This Row],[Accepted_Campaign_2]]+Table1[[#This Row],[Accepted_Campaign_1]]+Table1[[#This Row],[Accepted_Campaign_5]]+Table1[[#This Row],[Accepted_Campaign_4]]+Table1[[#This Row],[Accepted_Campaign_3]])</f>
        <v>0</v>
      </c>
      <c r="AC1470">
        <v>0</v>
      </c>
      <c r="AD1470">
        <v>0</v>
      </c>
    </row>
    <row r="1471" spans="1:30" x14ac:dyDescent="0.25">
      <c r="A1471">
        <v>41718</v>
      </c>
      <c r="B1471">
        <v>3643</v>
      </c>
      <c r="C1471">
        <v>1974</v>
      </c>
      <c r="D1471" t="s">
        <v>10</v>
      </c>
      <c r="E1471" t="s">
        <v>18</v>
      </c>
      <c r="F1471" t="s">
        <v>11</v>
      </c>
      <c r="G1471">
        <v>63206</v>
      </c>
      <c r="H1471">
        <v>0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f>SUM(Table1[[#This Row],[Gold Spending]]+Table1[[#This Row],[Sweet Spending]]+Table1[[#This Row],[Fish Spending]]+Table1[[#This Row],[Meat Spending]]+Table1[[#This Row],[Fruits Spending]]+Table1[[#This Row],[Wine Spending ]])</f>
        <v>928</v>
      </c>
      <c r="Q1471">
        <v>1</v>
      </c>
      <c r="R1471">
        <v>4</v>
      </c>
      <c r="S1471">
        <v>3</v>
      </c>
      <c r="T1471">
        <v>6</v>
      </c>
      <c r="U1471">
        <f>SUM(Table1[[#This Row],[Store_Purchases]]+Table1[[#This Row],[Catalog_Purchases]]+Table1[[#This Row],[Web_Purchases]]+Table1[[#This Row],[Deal_Purchases]])</f>
        <v>14</v>
      </c>
      <c r="V1471">
        <v>2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f>SUM(Table1[[#This Row],[Accepted_Campaign_2]]+Table1[[#This Row],[Accepted_Campaign_1]]+Table1[[#This Row],[Accepted_Campaign_5]]+Table1[[#This Row],[Accepted_Campaign_4]]+Table1[[#This Row],[Accepted_Campaign_3]])</f>
        <v>1</v>
      </c>
      <c r="AC1471">
        <v>0</v>
      </c>
      <c r="AD1471">
        <v>0</v>
      </c>
    </row>
    <row r="1472" spans="1:30" x14ac:dyDescent="0.25">
      <c r="A1472">
        <v>41677</v>
      </c>
      <c r="B1472">
        <v>2589</v>
      </c>
      <c r="C1472">
        <v>1972</v>
      </c>
      <c r="D1472" t="s">
        <v>13</v>
      </c>
      <c r="E1472" t="s">
        <v>6</v>
      </c>
      <c r="F1472" t="s">
        <v>7</v>
      </c>
      <c r="G1472">
        <v>26759</v>
      </c>
      <c r="H1472">
        <v>1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f>SUM(Table1[[#This Row],[Gold Spending]]+Table1[[#This Row],[Sweet Spending]]+Table1[[#This Row],[Fish Spending]]+Table1[[#This Row],[Meat Spending]]+Table1[[#This Row],[Fruits Spending]]+Table1[[#This Row],[Wine Spending ]])</f>
        <v>59</v>
      </c>
      <c r="Q1472">
        <v>2</v>
      </c>
      <c r="R1472">
        <v>2</v>
      </c>
      <c r="S1472">
        <v>1</v>
      </c>
      <c r="T1472">
        <v>3</v>
      </c>
      <c r="U1472">
        <f>SUM(Table1[[#This Row],[Store_Purchases]]+Table1[[#This Row],[Catalog_Purchases]]+Table1[[#This Row],[Web_Purchases]]+Table1[[#This Row],[Deal_Purchases]])</f>
        <v>8</v>
      </c>
      <c r="V1472">
        <v>6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f>SUM(Table1[[#This Row],[Accepted_Campaign_2]]+Table1[[#This Row],[Accepted_Campaign_1]]+Table1[[#This Row],[Accepted_Campaign_5]]+Table1[[#This Row],[Accepted_Campaign_4]]+Table1[[#This Row],[Accepted_Campaign_3]])</f>
        <v>0</v>
      </c>
      <c r="AC1472">
        <v>0</v>
      </c>
      <c r="AD1472">
        <v>0</v>
      </c>
    </row>
    <row r="1473" spans="1:30" x14ac:dyDescent="0.25">
      <c r="A1473">
        <v>41600</v>
      </c>
      <c r="B1473">
        <v>4887</v>
      </c>
      <c r="C1473">
        <v>1976</v>
      </c>
      <c r="D1473" t="s">
        <v>10</v>
      </c>
      <c r="E1473" t="s">
        <v>14</v>
      </c>
      <c r="F1473" t="s">
        <v>7</v>
      </c>
      <c r="G1473">
        <v>55412</v>
      </c>
      <c r="H1473">
        <v>2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f>SUM(Table1[[#This Row],[Gold Spending]]+Table1[[#This Row],[Sweet Spending]]+Table1[[#This Row],[Fish Spending]]+Table1[[#This Row],[Meat Spending]]+Table1[[#This Row],[Fruits Spending]]+Table1[[#This Row],[Wine Spending ]])</f>
        <v>63</v>
      </c>
      <c r="Q1473">
        <v>1</v>
      </c>
      <c r="R1473">
        <v>2</v>
      </c>
      <c r="S1473">
        <v>0</v>
      </c>
      <c r="T1473">
        <v>3</v>
      </c>
      <c r="U1473">
        <f>SUM(Table1[[#This Row],[Store_Purchases]]+Table1[[#This Row],[Catalog_Purchases]]+Table1[[#This Row],[Web_Purchases]]+Table1[[#This Row],[Deal_Purchases]])</f>
        <v>6</v>
      </c>
      <c r="V1473">
        <v>5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f>SUM(Table1[[#This Row],[Accepted_Campaign_2]]+Table1[[#This Row],[Accepted_Campaign_1]]+Table1[[#This Row],[Accepted_Campaign_5]]+Table1[[#This Row],[Accepted_Campaign_4]]+Table1[[#This Row],[Accepted_Campaign_3]])</f>
        <v>0</v>
      </c>
      <c r="AC1473">
        <v>0</v>
      </c>
      <c r="AD1473">
        <v>0</v>
      </c>
    </row>
    <row r="1474" spans="1:30" x14ac:dyDescent="0.25">
      <c r="A1474">
        <v>41581</v>
      </c>
      <c r="B1474">
        <v>10104</v>
      </c>
      <c r="C1474">
        <v>1974</v>
      </c>
      <c r="D1474" t="s">
        <v>10</v>
      </c>
      <c r="E1474" t="s">
        <v>6</v>
      </c>
      <c r="F1474" t="s">
        <v>12</v>
      </c>
      <c r="G1474">
        <v>33590</v>
      </c>
      <c r="H1474">
        <v>3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f>SUM(Table1[[#This Row],[Gold Spending]]+Table1[[#This Row],[Sweet Spending]]+Table1[[#This Row],[Fish Spending]]+Table1[[#This Row],[Meat Spending]]+Table1[[#This Row],[Fruits Spending]]+Table1[[#This Row],[Wine Spending ]])</f>
        <v>8</v>
      </c>
      <c r="Q1474">
        <v>1</v>
      </c>
      <c r="R1474">
        <v>1</v>
      </c>
      <c r="S1474">
        <v>0</v>
      </c>
      <c r="T1474">
        <v>2</v>
      </c>
      <c r="U1474">
        <f>SUM(Table1[[#This Row],[Store_Purchases]]+Table1[[#This Row],[Catalog_Purchases]]+Table1[[#This Row],[Web_Purchases]]+Table1[[#This Row],[Deal_Purchases]])</f>
        <v>4</v>
      </c>
      <c r="V1474">
        <v>7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f>SUM(Table1[[#This Row],[Accepted_Campaign_2]]+Table1[[#This Row],[Accepted_Campaign_1]]+Table1[[#This Row],[Accepted_Campaign_5]]+Table1[[#This Row],[Accepted_Campaign_4]]+Table1[[#This Row],[Accepted_Campaign_3]])</f>
        <v>0</v>
      </c>
      <c r="AC1474">
        <v>0</v>
      </c>
      <c r="AD1474">
        <v>0</v>
      </c>
    </row>
    <row r="1475" spans="1:30" x14ac:dyDescent="0.25">
      <c r="A1475">
        <v>41561</v>
      </c>
      <c r="B1475">
        <v>3254</v>
      </c>
      <c r="C1475">
        <v>1971</v>
      </c>
      <c r="D1475" t="s">
        <v>8</v>
      </c>
      <c r="E1475" t="s">
        <v>6</v>
      </c>
      <c r="F1475" t="s">
        <v>11</v>
      </c>
      <c r="G1475">
        <v>70886</v>
      </c>
      <c r="H1475">
        <v>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f>SUM(Table1[[#This Row],[Gold Spending]]+Table1[[#This Row],[Sweet Spending]]+Table1[[#This Row],[Fish Spending]]+Table1[[#This Row],[Meat Spending]]+Table1[[#This Row],[Fruits Spending]]+Table1[[#This Row],[Wine Spending ]])</f>
        <v>960</v>
      </c>
      <c r="Q1475">
        <v>1</v>
      </c>
      <c r="R1475">
        <v>5</v>
      </c>
      <c r="S1475">
        <v>4</v>
      </c>
      <c r="T1475">
        <v>4</v>
      </c>
      <c r="U1475">
        <f>SUM(Table1[[#This Row],[Store_Purchases]]+Table1[[#This Row],[Catalog_Purchases]]+Table1[[#This Row],[Web_Purchases]]+Table1[[#This Row],[Deal_Purchases]])</f>
        <v>14</v>
      </c>
      <c r="V1475">
        <v>2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f>SUM(Table1[[#This Row],[Accepted_Campaign_2]]+Table1[[#This Row],[Accepted_Campaign_1]]+Table1[[#This Row],[Accepted_Campaign_5]]+Table1[[#This Row],[Accepted_Campaign_4]]+Table1[[#This Row],[Accepted_Campaign_3]])</f>
        <v>0</v>
      </c>
      <c r="AC1475">
        <v>0</v>
      </c>
      <c r="AD1475">
        <v>0</v>
      </c>
    </row>
    <row r="1476" spans="1:30" x14ac:dyDescent="0.25">
      <c r="A1476">
        <v>41535</v>
      </c>
      <c r="B1476">
        <v>2004</v>
      </c>
      <c r="C1476">
        <v>1969</v>
      </c>
      <c r="D1476" t="s">
        <v>8</v>
      </c>
      <c r="E1476" t="s">
        <v>6</v>
      </c>
      <c r="F1476" t="s">
        <v>9</v>
      </c>
      <c r="G1476">
        <v>72679</v>
      </c>
      <c r="H1476">
        <v>1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f>SUM(Table1[[#This Row],[Gold Spending]]+Table1[[#This Row],[Sweet Spending]]+Table1[[#This Row],[Fish Spending]]+Table1[[#This Row],[Meat Spending]]+Table1[[#This Row],[Fruits Spending]]+Table1[[#This Row],[Wine Spending ]])</f>
        <v>1168</v>
      </c>
      <c r="Q1476">
        <v>1</v>
      </c>
      <c r="R1476">
        <v>4</v>
      </c>
      <c r="S1476">
        <v>7</v>
      </c>
      <c r="T1476">
        <v>5</v>
      </c>
      <c r="U1476">
        <f>SUM(Table1[[#This Row],[Store_Purchases]]+Table1[[#This Row],[Catalog_Purchases]]+Table1[[#This Row],[Web_Purchases]]+Table1[[#This Row],[Deal_Purchases]])</f>
        <v>17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f>SUM(Table1[[#This Row],[Accepted_Campaign_2]]+Table1[[#This Row],[Accepted_Campaign_1]]+Table1[[#This Row],[Accepted_Campaign_5]]+Table1[[#This Row],[Accepted_Campaign_4]]+Table1[[#This Row],[Accepted_Campaign_3]])</f>
        <v>0</v>
      </c>
      <c r="AC1476">
        <v>0</v>
      </c>
      <c r="AD1476">
        <v>0</v>
      </c>
    </row>
    <row r="1477" spans="1:30" x14ac:dyDescent="0.25">
      <c r="A1477">
        <v>41506</v>
      </c>
      <c r="B1477">
        <v>6142</v>
      </c>
      <c r="C1477">
        <v>1943</v>
      </c>
      <c r="D1477" t="s">
        <v>8</v>
      </c>
      <c r="E1477" t="s">
        <v>18</v>
      </c>
      <c r="F1477" t="s">
        <v>11</v>
      </c>
      <c r="G1477">
        <v>65073</v>
      </c>
      <c r="H1477">
        <v>0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f>SUM(Table1[[#This Row],[Gold Spending]]+Table1[[#This Row],[Sweet Spending]]+Table1[[#This Row],[Fish Spending]]+Table1[[#This Row],[Meat Spending]]+Table1[[#This Row],[Fruits Spending]]+Table1[[#This Row],[Wine Spending ]])</f>
        <v>900</v>
      </c>
      <c r="Q1477">
        <v>1</v>
      </c>
      <c r="R1477">
        <v>5</v>
      </c>
      <c r="S1477">
        <v>3</v>
      </c>
      <c r="T1477">
        <v>5</v>
      </c>
      <c r="U1477">
        <f>SUM(Table1[[#This Row],[Store_Purchases]]+Table1[[#This Row],[Catalog_Purchases]]+Table1[[#This Row],[Web_Purchases]]+Table1[[#This Row],[Deal_Purchases]])</f>
        <v>14</v>
      </c>
      <c r="V1477">
        <v>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f>SUM(Table1[[#This Row],[Accepted_Campaign_2]]+Table1[[#This Row],[Accepted_Campaign_1]]+Table1[[#This Row],[Accepted_Campaign_5]]+Table1[[#This Row],[Accepted_Campaign_4]]+Table1[[#This Row],[Accepted_Campaign_3]])</f>
        <v>0</v>
      </c>
      <c r="AC1477">
        <v>0</v>
      </c>
      <c r="AD1477">
        <v>1</v>
      </c>
    </row>
    <row r="1478" spans="1:30" x14ac:dyDescent="0.25">
      <c r="A1478">
        <v>41448</v>
      </c>
      <c r="B1478">
        <v>8553</v>
      </c>
      <c r="C1478">
        <v>1965</v>
      </c>
      <c r="D1478" t="s">
        <v>8</v>
      </c>
      <c r="E1478" t="s">
        <v>6</v>
      </c>
      <c r="F1478" t="s">
        <v>11</v>
      </c>
      <c r="G1478">
        <v>44300</v>
      </c>
      <c r="H1478">
        <v>2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f>SUM(Table1[[#This Row],[Gold Spending]]+Table1[[#This Row],[Sweet Spending]]+Table1[[#This Row],[Fish Spending]]+Table1[[#This Row],[Meat Spending]]+Table1[[#This Row],[Fruits Spending]]+Table1[[#This Row],[Wine Spending ]])</f>
        <v>42</v>
      </c>
      <c r="Q1478">
        <v>2</v>
      </c>
      <c r="R1478">
        <v>1</v>
      </c>
      <c r="S1478">
        <v>0</v>
      </c>
      <c r="T1478">
        <v>3</v>
      </c>
      <c r="U1478">
        <f>SUM(Table1[[#This Row],[Store_Purchases]]+Table1[[#This Row],[Catalog_Purchases]]+Table1[[#This Row],[Web_Purchases]]+Table1[[#This Row],[Deal_Purchases]])</f>
        <v>6</v>
      </c>
      <c r="V1478">
        <v>6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f>SUM(Table1[[#This Row],[Accepted_Campaign_2]]+Table1[[#This Row],[Accepted_Campaign_1]]+Table1[[#This Row],[Accepted_Campaign_5]]+Table1[[#This Row],[Accepted_Campaign_4]]+Table1[[#This Row],[Accepted_Campaign_3]])</f>
        <v>0</v>
      </c>
      <c r="AC1478">
        <v>0</v>
      </c>
      <c r="AD1478">
        <v>0</v>
      </c>
    </row>
    <row r="1479" spans="1:30" x14ac:dyDescent="0.25">
      <c r="A1479">
        <v>41445</v>
      </c>
      <c r="B1479">
        <v>9805</v>
      </c>
      <c r="C1479">
        <v>1953</v>
      </c>
      <c r="D1479" t="s">
        <v>10</v>
      </c>
      <c r="E1479" t="s">
        <v>18</v>
      </c>
      <c r="F1479" t="s">
        <v>12</v>
      </c>
      <c r="G1479">
        <v>56129</v>
      </c>
      <c r="H1479">
        <v>1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f>SUM(Table1[[#This Row],[Gold Spending]]+Table1[[#This Row],[Sweet Spending]]+Table1[[#This Row],[Fish Spending]]+Table1[[#This Row],[Meat Spending]]+Table1[[#This Row],[Fruits Spending]]+Table1[[#This Row],[Wine Spending ]])</f>
        <v>660</v>
      </c>
      <c r="Q1479">
        <v>4</v>
      </c>
      <c r="R1479">
        <v>6</v>
      </c>
      <c r="S1479">
        <v>2</v>
      </c>
      <c r="T1479">
        <v>10</v>
      </c>
      <c r="U1479">
        <f>SUM(Table1[[#This Row],[Store_Purchases]]+Table1[[#This Row],[Catalog_Purchases]]+Table1[[#This Row],[Web_Purchases]]+Table1[[#This Row],[Deal_Purchases]])</f>
        <v>22</v>
      </c>
      <c r="V1479">
        <v>4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f>SUM(Table1[[#This Row],[Accepted_Campaign_2]]+Table1[[#This Row],[Accepted_Campaign_1]]+Table1[[#This Row],[Accepted_Campaign_5]]+Table1[[#This Row],[Accepted_Campaign_4]]+Table1[[#This Row],[Accepted_Campaign_3]])</f>
        <v>0</v>
      </c>
      <c r="AC1479">
        <v>0</v>
      </c>
      <c r="AD1479">
        <v>0</v>
      </c>
    </row>
    <row r="1480" spans="1:30" x14ac:dyDescent="0.25">
      <c r="A1480">
        <v>41445</v>
      </c>
      <c r="B1480">
        <v>849</v>
      </c>
      <c r="C1480">
        <v>1953</v>
      </c>
      <c r="D1480" t="s">
        <v>8</v>
      </c>
      <c r="E1480" t="s">
        <v>18</v>
      </c>
      <c r="F1480" t="s">
        <v>12</v>
      </c>
      <c r="G1480">
        <v>56129</v>
      </c>
      <c r="H1480">
        <v>1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f>SUM(Table1[[#This Row],[Gold Spending]]+Table1[[#This Row],[Sweet Spending]]+Table1[[#This Row],[Fish Spending]]+Table1[[#This Row],[Meat Spending]]+Table1[[#This Row],[Fruits Spending]]+Table1[[#This Row],[Wine Spending ]])</f>
        <v>660</v>
      </c>
      <c r="Q1480">
        <v>4</v>
      </c>
      <c r="R1480">
        <v>6</v>
      </c>
      <c r="S1480">
        <v>2</v>
      </c>
      <c r="T1480">
        <v>10</v>
      </c>
      <c r="U1480">
        <f>SUM(Table1[[#This Row],[Store_Purchases]]+Table1[[#This Row],[Catalog_Purchases]]+Table1[[#This Row],[Web_Purchases]]+Table1[[#This Row],[Deal_Purchases]])</f>
        <v>22</v>
      </c>
      <c r="V1480">
        <v>4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f>SUM(Table1[[#This Row],[Accepted_Campaign_2]]+Table1[[#This Row],[Accepted_Campaign_1]]+Table1[[#This Row],[Accepted_Campaign_5]]+Table1[[#This Row],[Accepted_Campaign_4]]+Table1[[#This Row],[Accepted_Campaign_3]])</f>
        <v>0</v>
      </c>
      <c r="AC1480">
        <v>0</v>
      </c>
      <c r="AD1480">
        <v>0</v>
      </c>
    </row>
    <row r="1481" spans="1:30" x14ac:dyDescent="0.25">
      <c r="A1481">
        <v>41409</v>
      </c>
      <c r="B1481">
        <v>1606</v>
      </c>
      <c r="C1481">
        <v>1971</v>
      </c>
      <c r="D1481" t="s">
        <v>20</v>
      </c>
      <c r="E1481" t="s">
        <v>6</v>
      </c>
      <c r="F1481" t="s">
        <v>12</v>
      </c>
      <c r="G1481">
        <v>38590</v>
      </c>
      <c r="H1481">
        <v>1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1481">
        <v>1</v>
      </c>
      <c r="R1481">
        <v>1</v>
      </c>
      <c r="S1481">
        <v>0</v>
      </c>
      <c r="T1481">
        <v>2</v>
      </c>
      <c r="U1481">
        <f>SUM(Table1[[#This Row],[Store_Purchases]]+Table1[[#This Row],[Catalog_Purchases]]+Table1[[#This Row],[Web_Purchases]]+Table1[[#This Row],[Deal_Purchases]])</f>
        <v>4</v>
      </c>
      <c r="V1481">
        <v>8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f>SUM(Table1[[#This Row],[Accepted_Campaign_2]]+Table1[[#This Row],[Accepted_Campaign_1]]+Table1[[#This Row],[Accepted_Campaign_5]]+Table1[[#This Row],[Accepted_Campaign_4]]+Table1[[#This Row],[Accepted_Campaign_3]])</f>
        <v>0</v>
      </c>
      <c r="AC1481">
        <v>0</v>
      </c>
      <c r="AD1481">
        <v>0</v>
      </c>
    </row>
    <row r="1482" spans="1:30" x14ac:dyDescent="0.25">
      <c r="A1482">
        <v>41409</v>
      </c>
      <c r="B1482">
        <v>125</v>
      </c>
      <c r="C1482">
        <v>1958</v>
      </c>
      <c r="D1482" t="s">
        <v>17</v>
      </c>
      <c r="E1482" t="s">
        <v>15</v>
      </c>
      <c r="F1482" t="s">
        <v>12</v>
      </c>
      <c r="G1482">
        <v>53083</v>
      </c>
      <c r="H1482">
        <v>2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f>SUM(Table1[[#This Row],[Gold Spending]]+Table1[[#This Row],[Sweet Spending]]+Table1[[#This Row],[Fish Spending]]+Table1[[#This Row],[Meat Spending]]+Table1[[#This Row],[Fruits Spending]]+Table1[[#This Row],[Wine Spending ]])</f>
        <v>271</v>
      </c>
      <c r="Q1482">
        <v>6</v>
      </c>
      <c r="R1482">
        <v>5</v>
      </c>
      <c r="S1482">
        <v>1</v>
      </c>
      <c r="T1482">
        <v>5</v>
      </c>
      <c r="U1482">
        <f>SUM(Table1[[#This Row],[Store_Purchases]]+Table1[[#This Row],[Catalog_Purchases]]+Table1[[#This Row],[Web_Purchases]]+Table1[[#This Row],[Deal_Purchases]])</f>
        <v>17</v>
      </c>
      <c r="V1482">
        <v>7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f>SUM(Table1[[#This Row],[Accepted_Campaign_2]]+Table1[[#This Row],[Accepted_Campaign_1]]+Table1[[#This Row],[Accepted_Campaign_5]]+Table1[[#This Row],[Accepted_Campaign_4]]+Table1[[#This Row],[Accepted_Campaign_3]])</f>
        <v>1</v>
      </c>
      <c r="AC1482">
        <v>0</v>
      </c>
      <c r="AD1482">
        <v>0</v>
      </c>
    </row>
    <row r="1483" spans="1:30" x14ac:dyDescent="0.25">
      <c r="A1483">
        <v>41406</v>
      </c>
      <c r="B1483">
        <v>9305</v>
      </c>
      <c r="C1483">
        <v>1976</v>
      </c>
      <c r="D1483" t="s">
        <v>8</v>
      </c>
      <c r="E1483" t="s">
        <v>15</v>
      </c>
      <c r="F1483" t="s">
        <v>9</v>
      </c>
      <c r="G1483">
        <v>79689</v>
      </c>
      <c r="H1483">
        <v>0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f>SUM(Table1[[#This Row],[Gold Spending]]+Table1[[#This Row],[Sweet Spending]]+Table1[[#This Row],[Fish Spending]]+Table1[[#This Row],[Meat Spending]]+Table1[[#This Row],[Fruits Spending]]+Table1[[#This Row],[Wine Spending ]])</f>
        <v>1315</v>
      </c>
      <c r="Q1483">
        <v>1</v>
      </c>
      <c r="R1483">
        <v>4</v>
      </c>
      <c r="S1483">
        <v>9</v>
      </c>
      <c r="T1483">
        <v>13</v>
      </c>
      <c r="U1483">
        <f>SUM(Table1[[#This Row],[Store_Purchases]]+Table1[[#This Row],[Catalog_Purchases]]+Table1[[#This Row],[Web_Purchases]]+Table1[[#This Row],[Deal_Purchases]])</f>
        <v>27</v>
      </c>
      <c r="V1483">
        <v>2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f>SUM(Table1[[#This Row],[Accepted_Campaign_2]]+Table1[[#This Row],[Accepted_Campaign_1]]+Table1[[#This Row],[Accepted_Campaign_5]]+Table1[[#This Row],[Accepted_Campaign_4]]+Table1[[#This Row],[Accepted_Campaign_3]])</f>
        <v>0</v>
      </c>
      <c r="AC1483">
        <v>0</v>
      </c>
      <c r="AD1483">
        <v>0</v>
      </c>
    </row>
    <row r="1484" spans="1:30" x14ac:dyDescent="0.25">
      <c r="A1484">
        <v>41391</v>
      </c>
      <c r="B1484">
        <v>4706</v>
      </c>
      <c r="C1484">
        <v>1966</v>
      </c>
      <c r="D1484" t="s">
        <v>10</v>
      </c>
      <c r="E1484" t="s">
        <v>6</v>
      </c>
      <c r="F1484" t="s">
        <v>9</v>
      </c>
      <c r="G1484">
        <v>34704</v>
      </c>
      <c r="H1484">
        <v>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f>SUM(Table1[[#This Row],[Gold Spending]]+Table1[[#This Row],[Sweet Spending]]+Table1[[#This Row],[Fish Spending]]+Table1[[#This Row],[Meat Spending]]+Table1[[#This Row],[Fruits Spending]]+Table1[[#This Row],[Wine Spending ]])</f>
        <v>40</v>
      </c>
      <c r="Q1484">
        <v>1</v>
      </c>
      <c r="R1484">
        <v>1</v>
      </c>
      <c r="S1484">
        <v>0</v>
      </c>
      <c r="T1484">
        <v>3</v>
      </c>
      <c r="U1484">
        <f>SUM(Table1[[#This Row],[Store_Purchases]]+Table1[[#This Row],[Catalog_Purchases]]+Table1[[#This Row],[Web_Purchases]]+Table1[[#This Row],[Deal_Purchases]])</f>
        <v>5</v>
      </c>
      <c r="V1484">
        <v>5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f>SUM(Table1[[#This Row],[Accepted_Campaign_2]]+Table1[[#This Row],[Accepted_Campaign_1]]+Table1[[#This Row],[Accepted_Campaign_5]]+Table1[[#This Row],[Accepted_Campaign_4]]+Table1[[#This Row],[Accepted_Campaign_3]])</f>
        <v>0</v>
      </c>
      <c r="AC1484">
        <v>0</v>
      </c>
      <c r="AD1484">
        <v>0</v>
      </c>
    </row>
    <row r="1485" spans="1:30" x14ac:dyDescent="0.25">
      <c r="A1485">
        <v>41388</v>
      </c>
      <c r="B1485">
        <v>4437</v>
      </c>
      <c r="C1485">
        <v>1962</v>
      </c>
      <c r="D1485" t="s">
        <v>8</v>
      </c>
      <c r="E1485" t="s">
        <v>6</v>
      </c>
      <c r="F1485" t="s">
        <v>11</v>
      </c>
      <c r="G1485">
        <v>65316</v>
      </c>
      <c r="H1485">
        <v>2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f>SUM(Table1[[#This Row],[Gold Spending]]+Table1[[#This Row],[Sweet Spending]]+Table1[[#This Row],[Fish Spending]]+Table1[[#This Row],[Meat Spending]]+Table1[[#This Row],[Fruits Spending]]+Table1[[#This Row],[Wine Spending ]])</f>
        <v>260</v>
      </c>
      <c r="Q1485">
        <v>2</v>
      </c>
      <c r="R1485">
        <v>3</v>
      </c>
      <c r="S1485">
        <v>2</v>
      </c>
      <c r="T1485">
        <v>5</v>
      </c>
      <c r="U1485">
        <f>SUM(Table1[[#This Row],[Store_Purchases]]+Table1[[#This Row],[Catalog_Purchases]]+Table1[[#This Row],[Web_Purchases]]+Table1[[#This Row],[Deal_Purchases]])</f>
        <v>12</v>
      </c>
      <c r="V1485">
        <v>4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f>SUM(Table1[[#This Row],[Accepted_Campaign_2]]+Table1[[#This Row],[Accepted_Campaign_1]]+Table1[[#This Row],[Accepted_Campaign_5]]+Table1[[#This Row],[Accepted_Campaign_4]]+Table1[[#This Row],[Accepted_Campaign_3]])</f>
        <v>0</v>
      </c>
      <c r="AC1485">
        <v>0</v>
      </c>
      <c r="AD1485">
        <v>0</v>
      </c>
    </row>
    <row r="1486" spans="1:30" x14ac:dyDescent="0.25">
      <c r="A1486">
        <v>41386</v>
      </c>
      <c r="B1486">
        <v>3081</v>
      </c>
      <c r="C1486">
        <v>1978</v>
      </c>
      <c r="D1486" t="s">
        <v>8</v>
      </c>
      <c r="E1486" t="s">
        <v>14</v>
      </c>
      <c r="F1486" t="s">
        <v>11</v>
      </c>
      <c r="G1486">
        <v>41014</v>
      </c>
      <c r="H1486">
        <v>1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f>SUM(Table1[[#This Row],[Gold Spending]]+Table1[[#This Row],[Sweet Spending]]+Table1[[#This Row],[Fish Spending]]+Table1[[#This Row],[Meat Spending]]+Table1[[#This Row],[Fruits Spending]]+Table1[[#This Row],[Wine Spending ]])</f>
        <v>20</v>
      </c>
      <c r="Q1486">
        <v>1</v>
      </c>
      <c r="R1486">
        <v>1</v>
      </c>
      <c r="S1486">
        <v>0</v>
      </c>
      <c r="T1486">
        <v>2</v>
      </c>
      <c r="U1486">
        <f>SUM(Table1[[#This Row],[Store_Purchases]]+Table1[[#This Row],[Catalog_Purchases]]+Table1[[#This Row],[Web_Purchases]]+Table1[[#This Row],[Deal_Purchases]])</f>
        <v>4</v>
      </c>
      <c r="V1486">
        <v>7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f>SUM(Table1[[#This Row],[Accepted_Campaign_2]]+Table1[[#This Row],[Accepted_Campaign_1]]+Table1[[#This Row],[Accepted_Campaign_5]]+Table1[[#This Row],[Accepted_Campaign_4]]+Table1[[#This Row],[Accepted_Campaign_3]])</f>
        <v>0</v>
      </c>
      <c r="AC1486">
        <v>0</v>
      </c>
      <c r="AD1486">
        <v>0</v>
      </c>
    </row>
    <row r="1487" spans="1:30" x14ac:dyDescent="0.25">
      <c r="A1487">
        <v>41357</v>
      </c>
      <c r="B1487">
        <v>3536</v>
      </c>
      <c r="C1487">
        <v>1960</v>
      </c>
      <c r="D1487" t="s">
        <v>17</v>
      </c>
      <c r="E1487" t="s">
        <v>6</v>
      </c>
      <c r="F1487" t="s">
        <v>12</v>
      </c>
      <c r="G1487">
        <v>19740</v>
      </c>
      <c r="H1487">
        <v>1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1487">
        <v>2</v>
      </c>
      <c r="R1487">
        <v>1</v>
      </c>
      <c r="S1487">
        <v>1</v>
      </c>
      <c r="T1487">
        <v>3</v>
      </c>
      <c r="U1487">
        <f>SUM(Table1[[#This Row],[Store_Purchases]]+Table1[[#This Row],[Catalog_Purchases]]+Table1[[#This Row],[Web_Purchases]]+Table1[[#This Row],[Deal_Purchases]])</f>
        <v>7</v>
      </c>
      <c r="V1487">
        <v>5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f>SUM(Table1[[#This Row],[Accepted_Campaign_2]]+Table1[[#This Row],[Accepted_Campaign_1]]+Table1[[#This Row],[Accepted_Campaign_5]]+Table1[[#This Row],[Accepted_Campaign_4]]+Table1[[#This Row],[Accepted_Campaign_3]])</f>
        <v>0</v>
      </c>
      <c r="AC1487">
        <v>0</v>
      </c>
      <c r="AD1487">
        <v>0</v>
      </c>
    </row>
    <row r="1488" spans="1:30" x14ac:dyDescent="0.25">
      <c r="A1488">
        <v>41282</v>
      </c>
      <c r="B1488">
        <v>8686</v>
      </c>
      <c r="C1488">
        <v>1979</v>
      </c>
      <c r="D1488" t="s">
        <v>8</v>
      </c>
      <c r="E1488" t="s">
        <v>21</v>
      </c>
      <c r="F1488" t="s">
        <v>12</v>
      </c>
      <c r="G1488">
        <v>23724</v>
      </c>
      <c r="H1488">
        <v>1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f>SUM(Table1[[#This Row],[Gold Spending]]+Table1[[#This Row],[Sweet Spending]]+Table1[[#This Row],[Fish Spending]]+Table1[[#This Row],[Meat Spending]]+Table1[[#This Row],[Fruits Spending]]+Table1[[#This Row],[Wine Spending ]])</f>
        <v>75</v>
      </c>
      <c r="Q1488">
        <v>2</v>
      </c>
      <c r="R1488">
        <v>2</v>
      </c>
      <c r="S1488">
        <v>0</v>
      </c>
      <c r="T1488">
        <v>3</v>
      </c>
      <c r="U1488">
        <f>SUM(Table1[[#This Row],[Store_Purchases]]+Table1[[#This Row],[Catalog_Purchases]]+Table1[[#This Row],[Web_Purchases]]+Table1[[#This Row],[Deal_Purchases]])</f>
        <v>7</v>
      </c>
      <c r="V1488">
        <v>8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f>SUM(Table1[[#This Row],[Accepted_Campaign_2]]+Table1[[#This Row],[Accepted_Campaign_1]]+Table1[[#This Row],[Accepted_Campaign_5]]+Table1[[#This Row],[Accepted_Campaign_4]]+Table1[[#This Row],[Accepted_Campaign_3]])</f>
        <v>0</v>
      </c>
      <c r="AC1488">
        <v>0</v>
      </c>
      <c r="AD1488">
        <v>0</v>
      </c>
    </row>
    <row r="1489" spans="1:30" x14ac:dyDescent="0.25">
      <c r="A1489">
        <v>41236</v>
      </c>
      <c r="B1489">
        <v>9707</v>
      </c>
      <c r="C1489">
        <v>1969</v>
      </c>
      <c r="D1489" t="s">
        <v>8</v>
      </c>
      <c r="E1489" t="s">
        <v>14</v>
      </c>
      <c r="F1489" t="s">
        <v>11</v>
      </c>
      <c r="G1489">
        <v>55212</v>
      </c>
      <c r="H1489">
        <v>1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f>SUM(Table1[[#This Row],[Gold Spending]]+Table1[[#This Row],[Sweet Spending]]+Table1[[#This Row],[Fish Spending]]+Table1[[#This Row],[Meat Spending]]+Table1[[#This Row],[Fruits Spending]]+Table1[[#This Row],[Wine Spending ]])</f>
        <v>1182</v>
      </c>
      <c r="Q1489">
        <v>3</v>
      </c>
      <c r="R1489">
        <v>4</v>
      </c>
      <c r="S1489">
        <v>2</v>
      </c>
      <c r="T1489">
        <v>11</v>
      </c>
      <c r="U1489">
        <f>SUM(Table1[[#This Row],[Store_Purchases]]+Table1[[#This Row],[Catalog_Purchases]]+Table1[[#This Row],[Web_Purchases]]+Table1[[#This Row],[Deal_Purchases]])</f>
        <v>20</v>
      </c>
      <c r="V1489">
        <v>8</v>
      </c>
      <c r="W1489">
        <v>0</v>
      </c>
      <c r="X1489">
        <v>1</v>
      </c>
      <c r="Y1489">
        <v>0</v>
      </c>
      <c r="Z1489">
        <v>0</v>
      </c>
      <c r="AA1489">
        <v>1</v>
      </c>
      <c r="AB1489">
        <f>SUM(Table1[[#This Row],[Accepted_Campaign_2]]+Table1[[#This Row],[Accepted_Campaign_1]]+Table1[[#This Row],[Accepted_Campaign_5]]+Table1[[#This Row],[Accepted_Campaign_4]]+Table1[[#This Row],[Accepted_Campaign_3]])</f>
        <v>2</v>
      </c>
      <c r="AC1489">
        <v>0</v>
      </c>
      <c r="AD1489">
        <v>0</v>
      </c>
    </row>
    <row r="1490" spans="1:30" x14ac:dyDescent="0.25">
      <c r="A1490">
        <v>41236</v>
      </c>
      <c r="B1490">
        <v>10872</v>
      </c>
      <c r="C1490">
        <v>1969</v>
      </c>
      <c r="D1490" t="s">
        <v>8</v>
      </c>
      <c r="E1490" t="s">
        <v>14</v>
      </c>
      <c r="F1490" t="s">
        <v>11</v>
      </c>
      <c r="G1490">
        <v>55212</v>
      </c>
      <c r="H1490">
        <v>1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f>SUM(Table1[[#This Row],[Gold Spending]]+Table1[[#This Row],[Sweet Spending]]+Table1[[#This Row],[Fish Spending]]+Table1[[#This Row],[Meat Spending]]+Table1[[#This Row],[Fruits Spending]]+Table1[[#This Row],[Wine Spending ]])</f>
        <v>1182</v>
      </c>
      <c r="Q1490">
        <v>3</v>
      </c>
      <c r="R1490">
        <v>4</v>
      </c>
      <c r="S1490">
        <v>2</v>
      </c>
      <c r="T1490">
        <v>11</v>
      </c>
      <c r="U1490">
        <f>SUM(Table1[[#This Row],[Store_Purchases]]+Table1[[#This Row],[Catalog_Purchases]]+Table1[[#This Row],[Web_Purchases]]+Table1[[#This Row],[Deal_Purchases]])</f>
        <v>20</v>
      </c>
      <c r="V1490">
        <v>8</v>
      </c>
      <c r="W1490">
        <v>0</v>
      </c>
      <c r="X1490">
        <v>1</v>
      </c>
      <c r="Y1490">
        <v>0</v>
      </c>
      <c r="Z1490">
        <v>0</v>
      </c>
      <c r="AA1490">
        <v>1</v>
      </c>
      <c r="AB1490">
        <f>SUM(Table1[[#This Row],[Accepted_Campaign_2]]+Table1[[#This Row],[Accepted_Campaign_1]]+Table1[[#This Row],[Accepted_Campaign_5]]+Table1[[#This Row],[Accepted_Campaign_4]]+Table1[[#This Row],[Accepted_Campaign_3]])</f>
        <v>2</v>
      </c>
      <c r="AC1490">
        <v>0</v>
      </c>
      <c r="AD1490">
        <v>0</v>
      </c>
    </row>
    <row r="1491" spans="1:30" x14ac:dyDescent="0.25">
      <c r="A1491">
        <v>41175</v>
      </c>
      <c r="B1491">
        <v>9058</v>
      </c>
      <c r="C1491">
        <v>1955</v>
      </c>
      <c r="D1491" t="s">
        <v>8</v>
      </c>
      <c r="E1491" t="s">
        <v>6</v>
      </c>
      <c r="F1491" t="s">
        <v>19</v>
      </c>
      <c r="G1491">
        <v>79800</v>
      </c>
      <c r="H1491">
        <v>0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f>SUM(Table1[[#This Row],[Gold Spending]]+Table1[[#This Row],[Sweet Spending]]+Table1[[#This Row],[Fish Spending]]+Table1[[#This Row],[Meat Spending]]+Table1[[#This Row],[Fruits Spending]]+Table1[[#This Row],[Wine Spending ]])</f>
        <v>1867</v>
      </c>
      <c r="Q1491">
        <v>1</v>
      </c>
      <c r="R1491">
        <v>5</v>
      </c>
      <c r="S1491">
        <v>11</v>
      </c>
      <c r="T1491">
        <v>5</v>
      </c>
      <c r="U1491">
        <f>SUM(Table1[[#This Row],[Store_Purchases]]+Table1[[#This Row],[Catalog_Purchases]]+Table1[[#This Row],[Web_Purchases]]+Table1[[#This Row],[Deal_Purchases]])</f>
        <v>22</v>
      </c>
      <c r="V1491">
        <v>3</v>
      </c>
      <c r="W1491">
        <v>1</v>
      </c>
      <c r="X1491">
        <v>0</v>
      </c>
      <c r="Y1491">
        <v>1</v>
      </c>
      <c r="Z1491">
        <v>1</v>
      </c>
      <c r="AA1491">
        <v>0</v>
      </c>
      <c r="AB1491">
        <f>SUM(Table1[[#This Row],[Accepted_Campaign_2]]+Table1[[#This Row],[Accepted_Campaign_1]]+Table1[[#This Row],[Accepted_Campaign_5]]+Table1[[#This Row],[Accepted_Campaign_4]]+Table1[[#This Row],[Accepted_Campaign_3]])</f>
        <v>3</v>
      </c>
      <c r="AC1491">
        <v>1</v>
      </c>
      <c r="AD1491">
        <v>0</v>
      </c>
    </row>
    <row r="1492" spans="1:30" x14ac:dyDescent="0.25">
      <c r="A1492">
        <v>41173</v>
      </c>
      <c r="B1492">
        <v>4640</v>
      </c>
      <c r="C1492">
        <v>1967</v>
      </c>
      <c r="D1492" t="s">
        <v>20</v>
      </c>
      <c r="E1492" t="s">
        <v>6</v>
      </c>
      <c r="F1492" t="s">
        <v>7</v>
      </c>
      <c r="G1492">
        <v>70647</v>
      </c>
      <c r="H1492">
        <v>1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f>SUM(Table1[[#This Row],[Gold Spending]]+Table1[[#This Row],[Sweet Spending]]+Table1[[#This Row],[Fish Spending]]+Table1[[#This Row],[Meat Spending]]+Table1[[#This Row],[Fruits Spending]]+Table1[[#This Row],[Wine Spending ]])</f>
        <v>1079</v>
      </c>
      <c r="Q1492">
        <v>2</v>
      </c>
      <c r="R1492">
        <v>4</v>
      </c>
      <c r="S1492">
        <v>7</v>
      </c>
      <c r="T1492">
        <v>13</v>
      </c>
      <c r="U1492">
        <f>SUM(Table1[[#This Row],[Store_Purchases]]+Table1[[#This Row],[Catalog_Purchases]]+Table1[[#This Row],[Web_Purchases]]+Table1[[#This Row],[Deal_Purchases]])</f>
        <v>26</v>
      </c>
      <c r="V1492">
        <v>2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f>SUM(Table1[[#This Row],[Accepted_Campaign_2]]+Table1[[#This Row],[Accepted_Campaign_1]]+Table1[[#This Row],[Accepted_Campaign_5]]+Table1[[#This Row],[Accepted_Campaign_4]]+Table1[[#This Row],[Accepted_Campaign_3]])</f>
        <v>0</v>
      </c>
      <c r="AC1492">
        <v>0</v>
      </c>
      <c r="AD1492">
        <v>0</v>
      </c>
    </row>
    <row r="1493" spans="1:30" x14ac:dyDescent="0.25">
      <c r="A1493">
        <v>41166</v>
      </c>
      <c r="B1493">
        <v>2525</v>
      </c>
      <c r="C1493">
        <v>1974</v>
      </c>
      <c r="D1493" t="s">
        <v>10</v>
      </c>
      <c r="E1493" t="s">
        <v>14</v>
      </c>
      <c r="F1493" t="s">
        <v>11</v>
      </c>
      <c r="G1493">
        <v>38410</v>
      </c>
      <c r="H1493">
        <v>0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f>SUM(Table1[[#This Row],[Gold Spending]]+Table1[[#This Row],[Sweet Spending]]+Table1[[#This Row],[Fish Spending]]+Table1[[#This Row],[Meat Spending]]+Table1[[#This Row],[Fruits Spending]]+Table1[[#This Row],[Wine Spending ]])</f>
        <v>534</v>
      </c>
      <c r="Q1493">
        <v>2</v>
      </c>
      <c r="R1493">
        <v>5</v>
      </c>
      <c r="S1493">
        <v>2</v>
      </c>
      <c r="T1493">
        <v>9</v>
      </c>
      <c r="U1493">
        <f>SUM(Table1[[#This Row],[Store_Purchases]]+Table1[[#This Row],[Catalog_Purchases]]+Table1[[#This Row],[Web_Purchases]]+Table1[[#This Row],[Deal_Purchases]])</f>
        <v>18</v>
      </c>
      <c r="V1493">
        <v>6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f>SUM(Table1[[#This Row],[Accepted_Campaign_2]]+Table1[[#This Row],[Accepted_Campaign_1]]+Table1[[#This Row],[Accepted_Campaign_5]]+Table1[[#This Row],[Accepted_Campaign_4]]+Table1[[#This Row],[Accepted_Campaign_3]])</f>
        <v>0</v>
      </c>
      <c r="AC1493">
        <v>1</v>
      </c>
      <c r="AD1493">
        <v>0</v>
      </c>
    </row>
    <row r="1494" spans="1:30" x14ac:dyDescent="0.25">
      <c r="A1494">
        <v>41150</v>
      </c>
      <c r="B1494">
        <v>9503</v>
      </c>
      <c r="C1494">
        <v>1980</v>
      </c>
      <c r="D1494" t="s">
        <v>8</v>
      </c>
      <c r="E1494" t="s">
        <v>6</v>
      </c>
      <c r="F1494" t="s">
        <v>9</v>
      </c>
      <c r="G1494">
        <v>28071</v>
      </c>
      <c r="H1494">
        <v>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f>SUM(Table1[[#This Row],[Gold Spending]]+Table1[[#This Row],[Sweet Spending]]+Table1[[#This Row],[Fish Spending]]+Table1[[#This Row],[Meat Spending]]+Table1[[#This Row],[Fruits Spending]]+Table1[[#This Row],[Wine Spending ]])</f>
        <v>313</v>
      </c>
      <c r="Q1494">
        <v>2</v>
      </c>
      <c r="R1494">
        <v>5</v>
      </c>
      <c r="S1494">
        <v>1</v>
      </c>
      <c r="T1494">
        <v>5</v>
      </c>
      <c r="U1494">
        <f>SUM(Table1[[#This Row],[Store_Purchases]]+Table1[[#This Row],[Catalog_Purchases]]+Table1[[#This Row],[Web_Purchases]]+Table1[[#This Row],[Deal_Purchases]])</f>
        <v>13</v>
      </c>
      <c r="V1494">
        <v>8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f>SUM(Table1[[#This Row],[Accepted_Campaign_2]]+Table1[[#This Row],[Accepted_Campaign_1]]+Table1[[#This Row],[Accepted_Campaign_5]]+Table1[[#This Row],[Accepted_Campaign_4]]+Table1[[#This Row],[Accepted_Campaign_3]])</f>
        <v>0</v>
      </c>
      <c r="AC1494">
        <v>0</v>
      </c>
      <c r="AD1494">
        <v>0</v>
      </c>
    </row>
    <row r="1495" spans="1:30" x14ac:dyDescent="0.25">
      <c r="A1495">
        <v>41142</v>
      </c>
      <c r="B1495">
        <v>10704</v>
      </c>
      <c r="C1495">
        <v>1969</v>
      </c>
      <c r="D1495" t="s">
        <v>8</v>
      </c>
      <c r="E1495" t="s">
        <v>6</v>
      </c>
      <c r="F1495" t="s">
        <v>9</v>
      </c>
      <c r="G1495">
        <v>54803</v>
      </c>
      <c r="H1495">
        <v>1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f>SUM(Table1[[#This Row],[Gold Spending]]+Table1[[#This Row],[Sweet Spending]]+Table1[[#This Row],[Fish Spending]]+Table1[[#This Row],[Meat Spending]]+Table1[[#This Row],[Fruits Spending]]+Table1[[#This Row],[Wine Spending ]])</f>
        <v>693</v>
      </c>
      <c r="Q1495">
        <v>2</v>
      </c>
      <c r="R1495">
        <v>6</v>
      </c>
      <c r="S1495">
        <v>2</v>
      </c>
      <c r="T1495">
        <v>9</v>
      </c>
      <c r="U1495">
        <f>SUM(Table1[[#This Row],[Store_Purchases]]+Table1[[#This Row],[Catalog_Purchases]]+Table1[[#This Row],[Web_Purchases]]+Table1[[#This Row],[Deal_Purchases]])</f>
        <v>19</v>
      </c>
      <c r="V1495">
        <v>4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f>SUM(Table1[[#This Row],[Accepted_Campaign_2]]+Table1[[#This Row],[Accepted_Campaign_1]]+Table1[[#This Row],[Accepted_Campaign_5]]+Table1[[#This Row],[Accepted_Campaign_4]]+Table1[[#This Row],[Accepted_Campaign_3]])</f>
        <v>0</v>
      </c>
      <c r="AC1495">
        <v>0</v>
      </c>
      <c r="AD1495">
        <v>0</v>
      </c>
    </row>
    <row r="1496" spans="1:30" x14ac:dyDescent="0.25">
      <c r="A1496">
        <v>41763</v>
      </c>
      <c r="B1496">
        <v>2669</v>
      </c>
      <c r="C1496">
        <v>1993</v>
      </c>
      <c r="D1496" t="s">
        <v>8</v>
      </c>
      <c r="E1496" t="s">
        <v>6</v>
      </c>
      <c r="F1496" t="s">
        <v>9</v>
      </c>
      <c r="G1496">
        <v>74293</v>
      </c>
      <c r="H1496">
        <v>0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f>SUM(Table1[[#This Row],[Gold Spending]]+Table1[[#This Row],[Sweet Spending]]+Table1[[#This Row],[Fish Spending]]+Table1[[#This Row],[Meat Spending]]+Table1[[#This Row],[Fruits Spending]]+Table1[[#This Row],[Wine Spending ]])</f>
        <v>1127</v>
      </c>
      <c r="Q1496">
        <v>1</v>
      </c>
      <c r="R1496">
        <v>5</v>
      </c>
      <c r="S1496">
        <v>4</v>
      </c>
      <c r="T1496">
        <v>6</v>
      </c>
      <c r="U1496">
        <f>SUM(Table1[[#This Row],[Store_Purchases]]+Table1[[#This Row],[Catalog_Purchases]]+Table1[[#This Row],[Web_Purchases]]+Table1[[#This Row],[Deal_Purchases]])</f>
        <v>16</v>
      </c>
      <c r="V1496">
        <v>2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f>SUM(Table1[[#This Row],[Accepted_Campaign_2]]+Table1[[#This Row],[Accepted_Campaign_1]]+Table1[[#This Row],[Accepted_Campaign_5]]+Table1[[#This Row],[Accepted_Campaign_4]]+Table1[[#This Row],[Accepted_Campaign_3]])</f>
        <v>0</v>
      </c>
      <c r="AC1496">
        <v>0</v>
      </c>
      <c r="AD1496">
        <v>0</v>
      </c>
    </row>
    <row r="1497" spans="1:30" x14ac:dyDescent="0.25">
      <c r="A1497">
        <v>41763</v>
      </c>
      <c r="B1497">
        <v>10037</v>
      </c>
      <c r="C1497">
        <v>1993</v>
      </c>
      <c r="D1497" t="s">
        <v>20</v>
      </c>
      <c r="E1497" t="s">
        <v>6</v>
      </c>
      <c r="F1497" t="s">
        <v>9</v>
      </c>
      <c r="G1497">
        <v>74293</v>
      </c>
      <c r="H1497">
        <v>0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f>SUM(Table1[[#This Row],[Gold Spending]]+Table1[[#This Row],[Sweet Spending]]+Table1[[#This Row],[Fish Spending]]+Table1[[#This Row],[Meat Spending]]+Table1[[#This Row],[Fruits Spending]]+Table1[[#This Row],[Wine Spending ]])</f>
        <v>1127</v>
      </c>
      <c r="Q1497">
        <v>1</v>
      </c>
      <c r="R1497">
        <v>5</v>
      </c>
      <c r="S1497">
        <v>4</v>
      </c>
      <c r="T1497">
        <v>6</v>
      </c>
      <c r="U1497">
        <f>SUM(Table1[[#This Row],[Store_Purchases]]+Table1[[#This Row],[Catalog_Purchases]]+Table1[[#This Row],[Web_Purchases]]+Table1[[#This Row],[Deal_Purchases]])</f>
        <v>16</v>
      </c>
      <c r="V1497">
        <v>2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f>SUM(Table1[[#This Row],[Accepted_Campaign_2]]+Table1[[#This Row],[Accepted_Campaign_1]]+Table1[[#This Row],[Accepted_Campaign_5]]+Table1[[#This Row],[Accepted_Campaign_4]]+Table1[[#This Row],[Accepted_Campaign_3]])</f>
        <v>0</v>
      </c>
      <c r="AC1497">
        <v>0</v>
      </c>
      <c r="AD1497">
        <v>0</v>
      </c>
    </row>
    <row r="1498" spans="1:30" x14ac:dyDescent="0.25">
      <c r="A1498">
        <v>41751</v>
      </c>
      <c r="B1498">
        <v>5680</v>
      </c>
      <c r="C1498">
        <v>1984</v>
      </c>
      <c r="D1498" t="s">
        <v>8</v>
      </c>
      <c r="E1498" t="s">
        <v>15</v>
      </c>
      <c r="F1498" t="s">
        <v>11</v>
      </c>
      <c r="G1498">
        <v>35684</v>
      </c>
      <c r="H1498">
        <v>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f>SUM(Table1[[#This Row],[Gold Spending]]+Table1[[#This Row],[Sweet Spending]]+Table1[[#This Row],[Fish Spending]]+Table1[[#This Row],[Meat Spending]]+Table1[[#This Row],[Fruits Spending]]+Table1[[#This Row],[Wine Spending ]])</f>
        <v>30</v>
      </c>
      <c r="Q1498">
        <v>1</v>
      </c>
      <c r="R1498">
        <v>1</v>
      </c>
      <c r="S1498">
        <v>0</v>
      </c>
      <c r="T1498">
        <v>3</v>
      </c>
      <c r="U1498">
        <f>SUM(Table1[[#This Row],[Store_Purchases]]+Table1[[#This Row],[Catalog_Purchases]]+Table1[[#This Row],[Web_Purchases]]+Table1[[#This Row],[Deal_Purchases]])</f>
        <v>5</v>
      </c>
      <c r="V1498">
        <v>6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f>SUM(Table1[[#This Row],[Accepted_Campaign_2]]+Table1[[#This Row],[Accepted_Campaign_1]]+Table1[[#This Row],[Accepted_Campaign_5]]+Table1[[#This Row],[Accepted_Campaign_4]]+Table1[[#This Row],[Accepted_Campaign_3]])</f>
        <v>0</v>
      </c>
      <c r="AC1498">
        <v>0</v>
      </c>
      <c r="AD1498">
        <v>0</v>
      </c>
    </row>
    <row r="1499" spans="1:30" x14ac:dyDescent="0.25">
      <c r="A1499">
        <v>41686</v>
      </c>
      <c r="B1499">
        <v>3726</v>
      </c>
      <c r="C1499">
        <v>1986</v>
      </c>
      <c r="D1499" t="s">
        <v>20</v>
      </c>
      <c r="E1499" t="s">
        <v>14</v>
      </c>
      <c r="F1499" t="s">
        <v>12</v>
      </c>
      <c r="G1499">
        <v>34320</v>
      </c>
      <c r="H1499">
        <v>1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f>SUM(Table1[[#This Row],[Gold Spending]]+Table1[[#This Row],[Sweet Spending]]+Table1[[#This Row],[Fish Spending]]+Table1[[#This Row],[Meat Spending]]+Table1[[#This Row],[Fruits Spending]]+Table1[[#This Row],[Wine Spending ]])</f>
        <v>17</v>
      </c>
      <c r="Q1499">
        <v>1</v>
      </c>
      <c r="R1499">
        <v>1</v>
      </c>
      <c r="S1499">
        <v>0</v>
      </c>
      <c r="T1499">
        <v>2</v>
      </c>
      <c r="U1499">
        <f>SUM(Table1[[#This Row],[Store_Purchases]]+Table1[[#This Row],[Catalog_Purchases]]+Table1[[#This Row],[Web_Purchases]]+Table1[[#This Row],[Deal_Purchases]])</f>
        <v>4</v>
      </c>
      <c r="V1499">
        <v>8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f>SUM(Table1[[#This Row],[Accepted_Campaign_2]]+Table1[[#This Row],[Accepted_Campaign_1]]+Table1[[#This Row],[Accepted_Campaign_5]]+Table1[[#This Row],[Accepted_Campaign_4]]+Table1[[#This Row],[Accepted_Campaign_3]])</f>
        <v>0</v>
      </c>
      <c r="AC1499">
        <v>0</v>
      </c>
      <c r="AD1499">
        <v>0</v>
      </c>
    </row>
    <row r="1500" spans="1:30" x14ac:dyDescent="0.25">
      <c r="A1500">
        <v>41601</v>
      </c>
      <c r="B1500">
        <v>4548</v>
      </c>
      <c r="C1500">
        <v>1981</v>
      </c>
      <c r="D1500" t="s">
        <v>10</v>
      </c>
      <c r="E1500" t="s">
        <v>6</v>
      </c>
      <c r="F1500" t="s">
        <v>9</v>
      </c>
      <c r="G1500">
        <v>41967</v>
      </c>
      <c r="H1500">
        <v>2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f>SUM(Table1[[#This Row],[Gold Spending]]+Table1[[#This Row],[Sweet Spending]]+Table1[[#This Row],[Fish Spending]]+Table1[[#This Row],[Meat Spending]]+Table1[[#This Row],[Fruits Spending]]+Table1[[#This Row],[Wine Spending ]])</f>
        <v>54</v>
      </c>
      <c r="Q1500">
        <v>1</v>
      </c>
      <c r="R1500">
        <v>1</v>
      </c>
      <c r="S1500">
        <v>0</v>
      </c>
      <c r="T1500">
        <v>3</v>
      </c>
      <c r="U1500">
        <f>SUM(Table1[[#This Row],[Store_Purchases]]+Table1[[#This Row],[Catalog_Purchases]]+Table1[[#This Row],[Web_Purchases]]+Table1[[#This Row],[Deal_Purchases]])</f>
        <v>5</v>
      </c>
      <c r="V1500">
        <v>4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f>SUM(Table1[[#This Row],[Accepted_Campaign_2]]+Table1[[#This Row],[Accepted_Campaign_1]]+Table1[[#This Row],[Accepted_Campaign_5]]+Table1[[#This Row],[Accepted_Campaign_4]]+Table1[[#This Row],[Accepted_Campaign_3]])</f>
        <v>0</v>
      </c>
      <c r="AC1500">
        <v>0</v>
      </c>
      <c r="AD1500">
        <v>0</v>
      </c>
    </row>
    <row r="1501" spans="1:30" x14ac:dyDescent="0.25">
      <c r="A1501">
        <v>41582</v>
      </c>
      <c r="B1501">
        <v>4599</v>
      </c>
      <c r="C1501">
        <v>1976</v>
      </c>
      <c r="D1501" t="s">
        <v>10</v>
      </c>
      <c r="E1501" t="s">
        <v>18</v>
      </c>
      <c r="F1501" t="s">
        <v>11</v>
      </c>
      <c r="G1501">
        <v>49681</v>
      </c>
      <c r="H1501">
        <v>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f>SUM(Table1[[#This Row],[Gold Spending]]+Table1[[#This Row],[Sweet Spending]]+Table1[[#This Row],[Fish Spending]]+Table1[[#This Row],[Meat Spending]]+Table1[[#This Row],[Fruits Spending]]+Table1[[#This Row],[Wine Spending ]])</f>
        <v>458</v>
      </c>
      <c r="Q1501">
        <v>6</v>
      </c>
      <c r="R1501">
        <v>7</v>
      </c>
      <c r="S1501">
        <v>1</v>
      </c>
      <c r="T1501">
        <v>7</v>
      </c>
      <c r="U1501">
        <f>SUM(Table1[[#This Row],[Store_Purchases]]+Table1[[#This Row],[Catalog_Purchases]]+Table1[[#This Row],[Web_Purchases]]+Table1[[#This Row],[Deal_Purchases]])</f>
        <v>21</v>
      </c>
      <c r="V1501">
        <v>7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f>SUM(Table1[[#This Row],[Accepted_Campaign_2]]+Table1[[#This Row],[Accepted_Campaign_1]]+Table1[[#This Row],[Accepted_Campaign_5]]+Table1[[#This Row],[Accepted_Campaign_4]]+Table1[[#This Row],[Accepted_Campaign_3]])</f>
        <v>0</v>
      </c>
      <c r="AC1501">
        <v>0</v>
      </c>
      <c r="AD1501">
        <v>0</v>
      </c>
    </row>
    <row r="1502" spans="1:30" x14ac:dyDescent="0.25">
      <c r="A1502">
        <v>41582</v>
      </c>
      <c r="B1502">
        <v>879</v>
      </c>
      <c r="C1502">
        <v>1976</v>
      </c>
      <c r="D1502" t="s">
        <v>20</v>
      </c>
      <c r="E1502" t="s">
        <v>18</v>
      </c>
      <c r="F1502" t="s">
        <v>11</v>
      </c>
      <c r="G1502">
        <v>49681</v>
      </c>
      <c r="H1502">
        <v>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f>SUM(Table1[[#This Row],[Gold Spending]]+Table1[[#This Row],[Sweet Spending]]+Table1[[#This Row],[Fish Spending]]+Table1[[#This Row],[Meat Spending]]+Table1[[#This Row],[Fruits Spending]]+Table1[[#This Row],[Wine Spending ]])</f>
        <v>458</v>
      </c>
      <c r="Q1502">
        <v>6</v>
      </c>
      <c r="R1502">
        <v>7</v>
      </c>
      <c r="S1502">
        <v>1</v>
      </c>
      <c r="T1502">
        <v>7</v>
      </c>
      <c r="U1502">
        <f>SUM(Table1[[#This Row],[Store_Purchases]]+Table1[[#This Row],[Catalog_Purchases]]+Table1[[#This Row],[Web_Purchases]]+Table1[[#This Row],[Deal_Purchases]])</f>
        <v>21</v>
      </c>
      <c r="V1502">
        <v>7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f>SUM(Table1[[#This Row],[Accepted_Campaign_2]]+Table1[[#This Row],[Accepted_Campaign_1]]+Table1[[#This Row],[Accepted_Campaign_5]]+Table1[[#This Row],[Accepted_Campaign_4]]+Table1[[#This Row],[Accepted_Campaign_3]])</f>
        <v>0</v>
      </c>
      <c r="AC1502">
        <v>0</v>
      </c>
      <c r="AD1502">
        <v>0</v>
      </c>
    </row>
    <row r="1503" spans="1:30" x14ac:dyDescent="0.25">
      <c r="A1503">
        <v>41573</v>
      </c>
      <c r="B1503">
        <v>7409</v>
      </c>
      <c r="C1503">
        <v>1970</v>
      </c>
      <c r="D1503" t="s">
        <v>8</v>
      </c>
      <c r="E1503" t="s">
        <v>6</v>
      </c>
      <c r="F1503" t="s">
        <v>12</v>
      </c>
      <c r="G1503">
        <v>53187</v>
      </c>
      <c r="H1503">
        <v>1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f>SUM(Table1[[#This Row],[Gold Spending]]+Table1[[#This Row],[Sweet Spending]]+Table1[[#This Row],[Fish Spending]]+Table1[[#This Row],[Meat Spending]]+Table1[[#This Row],[Fruits Spending]]+Table1[[#This Row],[Wine Spending ]])</f>
        <v>267</v>
      </c>
      <c r="Q1503">
        <v>2</v>
      </c>
      <c r="R1503">
        <v>4</v>
      </c>
      <c r="S1503">
        <v>1</v>
      </c>
      <c r="T1503">
        <v>6</v>
      </c>
      <c r="U1503">
        <f>SUM(Table1[[#This Row],[Store_Purchases]]+Table1[[#This Row],[Catalog_Purchases]]+Table1[[#This Row],[Web_Purchases]]+Table1[[#This Row],[Deal_Purchases]])</f>
        <v>13</v>
      </c>
      <c r="V1503">
        <v>5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f>SUM(Table1[[#This Row],[Accepted_Campaign_2]]+Table1[[#This Row],[Accepted_Campaign_1]]+Table1[[#This Row],[Accepted_Campaign_5]]+Table1[[#This Row],[Accepted_Campaign_4]]+Table1[[#This Row],[Accepted_Campaign_3]])</f>
        <v>0</v>
      </c>
      <c r="AC1503">
        <v>0</v>
      </c>
      <c r="AD1503">
        <v>0</v>
      </c>
    </row>
    <row r="1504" spans="1:30" x14ac:dyDescent="0.25">
      <c r="A1504">
        <v>41522</v>
      </c>
      <c r="B1504">
        <v>1964</v>
      </c>
      <c r="C1504">
        <v>1951</v>
      </c>
      <c r="D1504" t="s">
        <v>8</v>
      </c>
      <c r="E1504" t="s">
        <v>6</v>
      </c>
      <c r="F1504" t="s">
        <v>12</v>
      </c>
      <c r="G1504">
        <v>86610</v>
      </c>
      <c r="H1504">
        <v>0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f>SUM(Table1[[#This Row],[Gold Spending]]+Table1[[#This Row],[Sweet Spending]]+Table1[[#This Row],[Fish Spending]]+Table1[[#This Row],[Meat Spending]]+Table1[[#This Row],[Fruits Spending]]+Table1[[#This Row],[Wine Spending ]])</f>
        <v>1603</v>
      </c>
      <c r="Q1504">
        <v>1</v>
      </c>
      <c r="R1504">
        <v>5</v>
      </c>
      <c r="S1504">
        <v>6</v>
      </c>
      <c r="T1504">
        <v>6</v>
      </c>
      <c r="U1504">
        <f>SUM(Table1[[#This Row],[Store_Purchases]]+Table1[[#This Row],[Catalog_Purchases]]+Table1[[#This Row],[Web_Purchases]]+Table1[[#This Row],[Deal_Purchases]])</f>
        <v>18</v>
      </c>
      <c r="V1504">
        <v>2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f>SUM(Table1[[#This Row],[Accepted_Campaign_2]]+Table1[[#This Row],[Accepted_Campaign_1]]+Table1[[#This Row],[Accepted_Campaign_5]]+Table1[[#This Row],[Accepted_Campaign_4]]+Table1[[#This Row],[Accepted_Campaign_3]])</f>
        <v>0</v>
      </c>
      <c r="AC1504">
        <v>0</v>
      </c>
      <c r="AD1504">
        <v>0</v>
      </c>
    </row>
    <row r="1505" spans="1:30" x14ac:dyDescent="0.25">
      <c r="A1505">
        <v>41398</v>
      </c>
      <c r="B1505">
        <v>0</v>
      </c>
      <c r="C1505">
        <v>1985</v>
      </c>
      <c r="D1505" t="s">
        <v>20</v>
      </c>
      <c r="E1505" t="s">
        <v>6</v>
      </c>
      <c r="F1505" t="s">
        <v>11</v>
      </c>
      <c r="G1505">
        <v>70951</v>
      </c>
      <c r="H1505">
        <v>0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f>SUM(Table1[[#This Row],[Gold Spending]]+Table1[[#This Row],[Sweet Spending]]+Table1[[#This Row],[Fish Spending]]+Table1[[#This Row],[Meat Spending]]+Table1[[#This Row],[Fruits Spending]]+Table1[[#This Row],[Wine Spending ]])</f>
        <v>1198</v>
      </c>
      <c r="Q1505">
        <v>1</v>
      </c>
      <c r="R1505">
        <v>3</v>
      </c>
      <c r="S1505">
        <v>4</v>
      </c>
      <c r="T1505">
        <v>9</v>
      </c>
      <c r="U1505">
        <f>SUM(Table1[[#This Row],[Store_Purchases]]+Table1[[#This Row],[Catalog_Purchases]]+Table1[[#This Row],[Web_Purchases]]+Table1[[#This Row],[Deal_Purchases]])</f>
        <v>17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f>SUM(Table1[[#This Row],[Accepted_Campaign_2]]+Table1[[#This Row],[Accepted_Campaign_1]]+Table1[[#This Row],[Accepted_Campaign_5]]+Table1[[#This Row],[Accepted_Campaign_4]]+Table1[[#This Row],[Accepted_Campaign_3]])</f>
        <v>0</v>
      </c>
      <c r="AC1505">
        <v>0</v>
      </c>
      <c r="AD1505">
        <v>0</v>
      </c>
    </row>
    <row r="1506" spans="1:30" x14ac:dyDescent="0.25">
      <c r="A1506">
        <v>41341</v>
      </c>
      <c r="B1506">
        <v>4860</v>
      </c>
      <c r="C1506">
        <v>1970</v>
      </c>
      <c r="D1506" t="s">
        <v>8</v>
      </c>
      <c r="E1506" t="s">
        <v>6</v>
      </c>
      <c r="F1506" t="s">
        <v>9</v>
      </c>
      <c r="G1506">
        <v>24206</v>
      </c>
      <c r="H1506">
        <v>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f>SUM(Table1[[#This Row],[Gold Spending]]+Table1[[#This Row],[Sweet Spending]]+Table1[[#This Row],[Fish Spending]]+Table1[[#This Row],[Meat Spending]]+Table1[[#This Row],[Fruits Spending]]+Table1[[#This Row],[Wine Spending ]])</f>
        <v>25</v>
      </c>
      <c r="Q1506">
        <v>1</v>
      </c>
      <c r="R1506">
        <v>1</v>
      </c>
      <c r="S1506">
        <v>0</v>
      </c>
      <c r="T1506">
        <v>3</v>
      </c>
      <c r="U1506">
        <f>SUM(Table1[[#This Row],[Store_Purchases]]+Table1[[#This Row],[Catalog_Purchases]]+Table1[[#This Row],[Web_Purchases]]+Table1[[#This Row],[Deal_Purchases]])</f>
        <v>5</v>
      </c>
      <c r="V1506">
        <v>6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f>SUM(Table1[[#This Row],[Accepted_Campaign_2]]+Table1[[#This Row],[Accepted_Campaign_1]]+Table1[[#This Row],[Accepted_Campaign_5]]+Table1[[#This Row],[Accepted_Campaign_4]]+Table1[[#This Row],[Accepted_Campaign_3]])</f>
        <v>0</v>
      </c>
      <c r="AC1506">
        <v>0</v>
      </c>
      <c r="AD1506">
        <v>0</v>
      </c>
    </row>
    <row r="1507" spans="1:30" x14ac:dyDescent="0.25">
      <c r="A1507">
        <v>41324</v>
      </c>
      <c r="B1507">
        <v>425</v>
      </c>
      <c r="C1507">
        <v>1985</v>
      </c>
      <c r="D1507" t="s">
        <v>17</v>
      </c>
      <c r="E1507" t="s">
        <v>6</v>
      </c>
      <c r="F1507" t="s">
        <v>11</v>
      </c>
      <c r="G1507">
        <v>55357</v>
      </c>
      <c r="H1507">
        <v>2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f>SUM(Table1[[#This Row],[Gold Spending]]+Table1[[#This Row],[Sweet Spending]]+Table1[[#This Row],[Fish Spending]]+Table1[[#This Row],[Meat Spending]]+Table1[[#This Row],[Fruits Spending]]+Table1[[#This Row],[Wine Spending ]])</f>
        <v>727</v>
      </c>
      <c r="Q1507">
        <v>3</v>
      </c>
      <c r="R1507">
        <v>6</v>
      </c>
      <c r="S1507">
        <v>2</v>
      </c>
      <c r="T1507">
        <v>11</v>
      </c>
      <c r="U1507">
        <f>SUM(Table1[[#This Row],[Store_Purchases]]+Table1[[#This Row],[Catalog_Purchases]]+Table1[[#This Row],[Web_Purchases]]+Table1[[#This Row],[Deal_Purchases]])</f>
        <v>22</v>
      </c>
      <c r="V1507">
        <v>5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f>SUM(Table1[[#This Row],[Accepted_Campaign_2]]+Table1[[#This Row],[Accepted_Campaign_1]]+Table1[[#This Row],[Accepted_Campaign_5]]+Table1[[#This Row],[Accepted_Campaign_4]]+Table1[[#This Row],[Accepted_Campaign_3]])</f>
        <v>0</v>
      </c>
      <c r="AC1507">
        <v>0</v>
      </c>
      <c r="AD1507">
        <v>0</v>
      </c>
    </row>
    <row r="1508" spans="1:30" x14ac:dyDescent="0.25">
      <c r="A1508">
        <v>41299</v>
      </c>
      <c r="B1508">
        <v>9500</v>
      </c>
      <c r="C1508">
        <v>1959</v>
      </c>
      <c r="D1508" t="s">
        <v>8</v>
      </c>
      <c r="E1508" t="s">
        <v>6</v>
      </c>
      <c r="F1508" t="s">
        <v>11</v>
      </c>
      <c r="G1508">
        <v>58113</v>
      </c>
      <c r="H1508">
        <v>1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f>SUM(Table1[[#This Row],[Gold Spending]]+Table1[[#This Row],[Sweet Spending]]+Table1[[#This Row],[Fish Spending]]+Table1[[#This Row],[Meat Spending]]+Table1[[#This Row],[Fruits Spending]]+Table1[[#This Row],[Wine Spending ]])</f>
        <v>758</v>
      </c>
      <c r="Q1508">
        <v>3</v>
      </c>
      <c r="R1508">
        <v>9</v>
      </c>
      <c r="S1508">
        <v>2</v>
      </c>
      <c r="T1508">
        <v>8</v>
      </c>
      <c r="U1508">
        <f>SUM(Table1[[#This Row],[Store_Purchases]]+Table1[[#This Row],[Catalog_Purchases]]+Table1[[#This Row],[Web_Purchases]]+Table1[[#This Row],[Deal_Purchases]])</f>
        <v>22</v>
      </c>
      <c r="V1508">
        <v>7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f>SUM(Table1[[#This Row],[Accepted_Campaign_2]]+Table1[[#This Row],[Accepted_Campaign_1]]+Table1[[#This Row],[Accepted_Campaign_5]]+Table1[[#This Row],[Accepted_Campaign_4]]+Table1[[#This Row],[Accepted_Campaign_3]])</f>
        <v>0</v>
      </c>
      <c r="AC1508">
        <v>0</v>
      </c>
      <c r="AD1508">
        <v>1</v>
      </c>
    </row>
    <row r="1509" spans="1:30" x14ac:dyDescent="0.25">
      <c r="A1509">
        <v>41197</v>
      </c>
      <c r="B1509">
        <v>3074</v>
      </c>
      <c r="C1509">
        <v>1984</v>
      </c>
      <c r="D1509" t="s">
        <v>8</v>
      </c>
      <c r="E1509" t="s">
        <v>14</v>
      </c>
      <c r="F1509" t="s">
        <v>11</v>
      </c>
      <c r="G1509">
        <v>70643</v>
      </c>
      <c r="H1509">
        <v>0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f>SUM(Table1[[#This Row],[Gold Spending]]+Table1[[#This Row],[Sweet Spending]]+Table1[[#This Row],[Fish Spending]]+Table1[[#This Row],[Meat Spending]]+Table1[[#This Row],[Fruits Spending]]+Table1[[#This Row],[Wine Spending ]])</f>
        <v>1828</v>
      </c>
      <c r="Q1509">
        <v>1</v>
      </c>
      <c r="R1509">
        <v>5</v>
      </c>
      <c r="S1509">
        <v>8</v>
      </c>
      <c r="T1509">
        <v>4</v>
      </c>
      <c r="U1509">
        <f>SUM(Table1[[#This Row],[Store_Purchases]]+Table1[[#This Row],[Catalog_Purchases]]+Table1[[#This Row],[Web_Purchases]]+Table1[[#This Row],[Deal_Purchases]])</f>
        <v>18</v>
      </c>
      <c r="V1509">
        <v>6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f>SUM(Table1[[#This Row],[Accepted_Campaign_2]]+Table1[[#This Row],[Accepted_Campaign_1]]+Table1[[#This Row],[Accepted_Campaign_5]]+Table1[[#This Row],[Accepted_Campaign_4]]+Table1[[#This Row],[Accepted_Campaign_3]])</f>
        <v>0</v>
      </c>
      <c r="AC1509">
        <v>1</v>
      </c>
      <c r="AD1509">
        <v>0</v>
      </c>
    </row>
    <row r="1510" spans="1:30" x14ac:dyDescent="0.25">
      <c r="A1510">
        <v>41145</v>
      </c>
      <c r="B1510">
        <v>5140</v>
      </c>
      <c r="C1510">
        <v>1985</v>
      </c>
      <c r="D1510" t="s">
        <v>8</v>
      </c>
      <c r="E1510" t="s">
        <v>14</v>
      </c>
      <c r="F1510" t="s">
        <v>11</v>
      </c>
      <c r="G1510">
        <v>64355</v>
      </c>
      <c r="H1510">
        <v>1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f>SUM(Table1[[#This Row],[Gold Spending]]+Table1[[#This Row],[Sweet Spending]]+Table1[[#This Row],[Fish Spending]]+Table1[[#This Row],[Meat Spending]]+Table1[[#This Row],[Fruits Spending]]+Table1[[#This Row],[Wine Spending ]])</f>
        <v>1445</v>
      </c>
      <c r="Q1510">
        <v>2</v>
      </c>
      <c r="R1510">
        <v>4</v>
      </c>
      <c r="S1510">
        <v>3</v>
      </c>
      <c r="T1510">
        <v>12</v>
      </c>
      <c r="U1510">
        <f>SUM(Table1[[#This Row],[Store_Purchases]]+Table1[[#This Row],[Catalog_Purchases]]+Table1[[#This Row],[Web_Purchases]]+Table1[[#This Row],[Deal_Purchases]])</f>
        <v>21</v>
      </c>
      <c r="V1510">
        <v>8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f>SUM(Table1[[#This Row],[Accepted_Campaign_2]]+Table1[[#This Row],[Accepted_Campaign_1]]+Table1[[#This Row],[Accepted_Campaign_5]]+Table1[[#This Row],[Accepted_Campaign_4]]+Table1[[#This Row],[Accepted_Campaign_3]])</f>
        <v>0</v>
      </c>
      <c r="AC1510">
        <v>0</v>
      </c>
      <c r="AD1510">
        <v>0</v>
      </c>
    </row>
    <row r="1511" spans="1:30" x14ac:dyDescent="0.25">
      <c r="A1511">
        <v>41122</v>
      </c>
      <c r="B1511">
        <v>2611</v>
      </c>
      <c r="C1511">
        <v>1959</v>
      </c>
      <c r="D1511" t="s">
        <v>20</v>
      </c>
      <c r="E1511" t="s">
        <v>18</v>
      </c>
      <c r="F1511" t="s">
        <v>12</v>
      </c>
      <c r="G1511">
        <v>82576</v>
      </c>
      <c r="H1511">
        <v>0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f>SUM(Table1[[#This Row],[Gold Spending]]+Table1[[#This Row],[Sweet Spending]]+Table1[[#This Row],[Fish Spending]]+Table1[[#This Row],[Meat Spending]]+Table1[[#This Row],[Fruits Spending]]+Table1[[#This Row],[Wine Spending ]])</f>
        <v>1910</v>
      </c>
      <c r="Q1511">
        <v>1</v>
      </c>
      <c r="R1511">
        <v>2</v>
      </c>
      <c r="S1511">
        <v>4</v>
      </c>
      <c r="T1511">
        <v>12</v>
      </c>
      <c r="U1511">
        <f>SUM(Table1[[#This Row],[Store_Purchases]]+Table1[[#This Row],[Catalog_Purchases]]+Table1[[#This Row],[Web_Purchases]]+Table1[[#This Row],[Deal_Purchases]])</f>
        <v>19</v>
      </c>
      <c r="V1511">
        <v>1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f>SUM(Table1[[#This Row],[Accepted_Campaign_2]]+Table1[[#This Row],[Accepted_Campaign_1]]+Table1[[#This Row],[Accepted_Campaign_5]]+Table1[[#This Row],[Accepted_Campaign_4]]+Table1[[#This Row],[Accepted_Campaign_3]])</f>
        <v>1</v>
      </c>
      <c r="AC1511">
        <v>0</v>
      </c>
      <c r="AD1511">
        <v>0</v>
      </c>
    </row>
    <row r="1512" spans="1:30" x14ac:dyDescent="0.25">
      <c r="A1512">
        <v>41768</v>
      </c>
      <c r="B1512">
        <v>916</v>
      </c>
      <c r="C1512">
        <v>1972</v>
      </c>
      <c r="D1512" t="s">
        <v>8</v>
      </c>
      <c r="E1512" t="s">
        <v>14</v>
      </c>
      <c r="F1512" t="s">
        <v>9</v>
      </c>
      <c r="G1512">
        <v>41644</v>
      </c>
      <c r="H1512">
        <v>2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f>SUM(Table1[[#This Row],[Gold Spending]]+Table1[[#This Row],[Sweet Spending]]+Table1[[#This Row],[Fish Spending]]+Table1[[#This Row],[Meat Spending]]+Table1[[#This Row],[Fruits Spending]]+Table1[[#This Row],[Wine Spending ]])</f>
        <v>31</v>
      </c>
      <c r="Q1512">
        <v>2</v>
      </c>
      <c r="R1512">
        <v>1</v>
      </c>
      <c r="S1512">
        <v>0</v>
      </c>
      <c r="T1512">
        <v>3</v>
      </c>
      <c r="U1512">
        <f>SUM(Table1[[#This Row],[Store_Purchases]]+Table1[[#This Row],[Catalog_Purchases]]+Table1[[#This Row],[Web_Purchases]]+Table1[[#This Row],[Deal_Purchases]])</f>
        <v>6</v>
      </c>
      <c r="V1512">
        <v>3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f>SUM(Table1[[#This Row],[Accepted_Campaign_2]]+Table1[[#This Row],[Accepted_Campaign_1]]+Table1[[#This Row],[Accepted_Campaign_5]]+Table1[[#This Row],[Accepted_Campaign_4]]+Table1[[#This Row],[Accepted_Campaign_3]])</f>
        <v>0</v>
      </c>
      <c r="AC1512">
        <v>0</v>
      </c>
      <c r="AD1512">
        <v>0</v>
      </c>
    </row>
    <row r="1513" spans="1:30" x14ac:dyDescent="0.25">
      <c r="A1513">
        <v>41754</v>
      </c>
      <c r="B1513">
        <v>10413</v>
      </c>
      <c r="C1513">
        <v>1984</v>
      </c>
      <c r="D1513" t="s">
        <v>8</v>
      </c>
      <c r="E1513" t="s">
        <v>6</v>
      </c>
      <c r="F1513" t="s">
        <v>11</v>
      </c>
      <c r="G1513">
        <v>72570</v>
      </c>
      <c r="H1513">
        <v>0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f>SUM(Table1[[#This Row],[Gold Spending]]+Table1[[#This Row],[Sweet Spending]]+Table1[[#This Row],[Fish Spending]]+Table1[[#This Row],[Meat Spending]]+Table1[[#This Row],[Fruits Spending]]+Table1[[#This Row],[Wine Spending ]])</f>
        <v>1089</v>
      </c>
      <c r="Q1513">
        <v>1</v>
      </c>
      <c r="R1513">
        <v>4</v>
      </c>
      <c r="S1513">
        <v>6</v>
      </c>
      <c r="T1513">
        <v>12</v>
      </c>
      <c r="U1513">
        <f>SUM(Table1[[#This Row],[Store_Purchases]]+Table1[[#This Row],[Catalog_Purchases]]+Table1[[#This Row],[Web_Purchases]]+Table1[[#This Row],[Deal_Purchases]])</f>
        <v>23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f>SUM(Table1[[#This Row],[Accepted_Campaign_2]]+Table1[[#This Row],[Accepted_Campaign_1]]+Table1[[#This Row],[Accepted_Campaign_5]]+Table1[[#This Row],[Accepted_Campaign_4]]+Table1[[#This Row],[Accepted_Campaign_3]])</f>
        <v>0</v>
      </c>
      <c r="AC1513">
        <v>0</v>
      </c>
      <c r="AD1513">
        <v>0</v>
      </c>
    </row>
    <row r="1514" spans="1:30" x14ac:dyDescent="0.25">
      <c r="A1514">
        <v>41666</v>
      </c>
      <c r="B1514">
        <v>3696</v>
      </c>
      <c r="C1514">
        <v>1965</v>
      </c>
      <c r="D1514" t="s">
        <v>8</v>
      </c>
      <c r="E1514" t="s">
        <v>6</v>
      </c>
      <c r="F1514" t="s">
        <v>7</v>
      </c>
      <c r="G1514">
        <v>30630</v>
      </c>
      <c r="H1514">
        <v>2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f>SUM(Table1[[#This Row],[Gold Spending]]+Table1[[#This Row],[Sweet Spending]]+Table1[[#This Row],[Fish Spending]]+Table1[[#This Row],[Meat Spending]]+Table1[[#This Row],[Fruits Spending]]+Table1[[#This Row],[Wine Spending ]])</f>
        <v>52</v>
      </c>
      <c r="Q1514">
        <v>2</v>
      </c>
      <c r="R1514">
        <v>2</v>
      </c>
      <c r="S1514">
        <v>0</v>
      </c>
      <c r="T1514">
        <v>3</v>
      </c>
      <c r="U1514">
        <f>SUM(Table1[[#This Row],[Store_Purchases]]+Table1[[#This Row],[Catalog_Purchases]]+Table1[[#This Row],[Web_Purchases]]+Table1[[#This Row],[Deal_Purchases]])</f>
        <v>7</v>
      </c>
      <c r="V1514">
        <v>7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f>SUM(Table1[[#This Row],[Accepted_Campaign_2]]+Table1[[#This Row],[Accepted_Campaign_1]]+Table1[[#This Row],[Accepted_Campaign_5]]+Table1[[#This Row],[Accepted_Campaign_4]]+Table1[[#This Row],[Accepted_Campaign_3]])</f>
        <v>0</v>
      </c>
      <c r="AC1514">
        <v>0</v>
      </c>
      <c r="AD1514">
        <v>0</v>
      </c>
    </row>
    <row r="1515" spans="1:30" x14ac:dyDescent="0.25">
      <c r="A1515">
        <v>41631</v>
      </c>
      <c r="B1515">
        <v>304</v>
      </c>
      <c r="C1515">
        <v>1981</v>
      </c>
      <c r="D1515" t="s">
        <v>8</v>
      </c>
      <c r="E1515" t="s">
        <v>18</v>
      </c>
      <c r="F1515" t="s">
        <v>9</v>
      </c>
      <c r="G1515">
        <v>22944</v>
      </c>
      <c r="H1515">
        <v>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f>SUM(Table1[[#This Row],[Gold Spending]]+Table1[[#This Row],[Sweet Spending]]+Table1[[#This Row],[Fish Spending]]+Table1[[#This Row],[Meat Spending]]+Table1[[#This Row],[Fruits Spending]]+Table1[[#This Row],[Wine Spending ]])</f>
        <v>76</v>
      </c>
      <c r="Q1515">
        <v>3</v>
      </c>
      <c r="R1515">
        <v>3</v>
      </c>
      <c r="S1515">
        <v>0</v>
      </c>
      <c r="T1515">
        <v>3</v>
      </c>
      <c r="U1515">
        <f>SUM(Table1[[#This Row],[Store_Purchases]]+Table1[[#This Row],[Catalog_Purchases]]+Table1[[#This Row],[Web_Purchases]]+Table1[[#This Row],[Deal_Purchases]])</f>
        <v>9</v>
      </c>
      <c r="V1515">
        <v>7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f>SUM(Table1[[#This Row],[Accepted_Campaign_2]]+Table1[[#This Row],[Accepted_Campaign_1]]+Table1[[#This Row],[Accepted_Campaign_5]]+Table1[[#This Row],[Accepted_Campaign_4]]+Table1[[#This Row],[Accepted_Campaign_3]])</f>
        <v>0</v>
      </c>
      <c r="AC1515">
        <v>0</v>
      </c>
      <c r="AD1515">
        <v>0</v>
      </c>
    </row>
    <row r="1516" spans="1:30" x14ac:dyDescent="0.25">
      <c r="A1516">
        <v>41585</v>
      </c>
      <c r="B1516">
        <v>5113</v>
      </c>
      <c r="C1516">
        <v>1971</v>
      </c>
      <c r="D1516" t="s">
        <v>8</v>
      </c>
      <c r="E1516" t="s">
        <v>14</v>
      </c>
      <c r="F1516" t="s">
        <v>7</v>
      </c>
      <c r="G1516">
        <v>86979</v>
      </c>
      <c r="H1516">
        <v>0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f>SUM(Table1[[#This Row],[Gold Spending]]+Table1[[#This Row],[Sweet Spending]]+Table1[[#This Row],[Fish Spending]]+Table1[[#This Row],[Meat Spending]]+Table1[[#This Row],[Fruits Spending]]+Table1[[#This Row],[Wine Spending ]])</f>
        <v>1702</v>
      </c>
      <c r="Q1516">
        <v>1</v>
      </c>
      <c r="R1516">
        <v>5</v>
      </c>
      <c r="S1516">
        <v>5</v>
      </c>
      <c r="T1516">
        <v>5</v>
      </c>
      <c r="U1516">
        <f>SUM(Table1[[#This Row],[Store_Purchases]]+Table1[[#This Row],[Catalog_Purchases]]+Table1[[#This Row],[Web_Purchases]]+Table1[[#This Row],[Deal_Purchases]])</f>
        <v>16</v>
      </c>
      <c r="V1516">
        <v>2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f>SUM(Table1[[#This Row],[Accepted_Campaign_2]]+Table1[[#This Row],[Accepted_Campaign_1]]+Table1[[#This Row],[Accepted_Campaign_5]]+Table1[[#This Row],[Accepted_Campaign_4]]+Table1[[#This Row],[Accepted_Campaign_3]])</f>
        <v>1</v>
      </c>
      <c r="AC1516">
        <v>1</v>
      </c>
      <c r="AD1516">
        <v>0</v>
      </c>
    </row>
    <row r="1517" spans="1:30" x14ac:dyDescent="0.25">
      <c r="A1517">
        <v>41509</v>
      </c>
      <c r="B1517">
        <v>2863</v>
      </c>
      <c r="C1517">
        <v>1970</v>
      </c>
      <c r="D1517" t="s">
        <v>8</v>
      </c>
      <c r="E1517" t="s">
        <v>6</v>
      </c>
      <c r="F1517" t="s">
        <v>9</v>
      </c>
      <c r="G1517">
        <v>53790.45</v>
      </c>
      <c r="H1517">
        <v>3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f>SUM(Table1[[#This Row],[Gold Spending]]+Table1[[#This Row],[Sweet Spending]]+Table1[[#This Row],[Fish Spending]]+Table1[[#This Row],[Meat Spending]]+Table1[[#This Row],[Fruits Spending]]+Table1[[#This Row],[Wine Spending ]])</f>
        <v>1052</v>
      </c>
      <c r="Q1517">
        <v>6</v>
      </c>
      <c r="R1517">
        <v>2</v>
      </c>
      <c r="S1517">
        <v>3</v>
      </c>
      <c r="T1517">
        <v>10</v>
      </c>
      <c r="U1517">
        <f>SUM(Table1[[#This Row],[Store_Purchases]]+Table1[[#This Row],[Catalog_Purchases]]+Table1[[#This Row],[Web_Purchases]]+Table1[[#This Row],[Deal_Purchases]])</f>
        <v>21</v>
      </c>
      <c r="V1517">
        <v>7</v>
      </c>
      <c r="W1517">
        <v>0</v>
      </c>
      <c r="X1517">
        <v>1</v>
      </c>
      <c r="Y1517">
        <v>0</v>
      </c>
      <c r="Z1517">
        <v>1</v>
      </c>
      <c r="AA1517">
        <v>0</v>
      </c>
      <c r="AB1517">
        <f>SUM(Table1[[#This Row],[Accepted_Campaign_2]]+Table1[[#This Row],[Accepted_Campaign_1]]+Table1[[#This Row],[Accepted_Campaign_5]]+Table1[[#This Row],[Accepted_Campaign_4]]+Table1[[#This Row],[Accepted_Campaign_3]])</f>
        <v>2</v>
      </c>
      <c r="AC1517">
        <v>0</v>
      </c>
      <c r="AD1517">
        <v>0</v>
      </c>
    </row>
    <row r="1518" spans="1:30" x14ac:dyDescent="0.25">
      <c r="A1518">
        <v>41457</v>
      </c>
      <c r="B1518">
        <v>4597</v>
      </c>
      <c r="C1518">
        <v>1970</v>
      </c>
      <c r="D1518" t="s">
        <v>20</v>
      </c>
      <c r="E1518" t="s">
        <v>14</v>
      </c>
      <c r="F1518" t="s">
        <v>12</v>
      </c>
      <c r="G1518">
        <v>82072</v>
      </c>
      <c r="H1518">
        <v>0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f>SUM(Table1[[#This Row],[Gold Spending]]+Table1[[#This Row],[Sweet Spending]]+Table1[[#This Row],[Fish Spending]]+Table1[[#This Row],[Meat Spending]]+Table1[[#This Row],[Fruits Spending]]+Table1[[#This Row],[Wine Spending ]])</f>
        <v>2018</v>
      </c>
      <c r="Q1518">
        <v>1</v>
      </c>
      <c r="R1518">
        <v>3</v>
      </c>
      <c r="S1518">
        <v>2</v>
      </c>
      <c r="T1518">
        <v>13</v>
      </c>
      <c r="U1518">
        <f>SUM(Table1[[#This Row],[Store_Purchases]]+Table1[[#This Row],[Catalog_Purchases]]+Table1[[#This Row],[Web_Purchases]]+Table1[[#This Row],[Deal_Purchases]])</f>
        <v>19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f>SUM(Table1[[#This Row],[Accepted_Campaign_2]]+Table1[[#This Row],[Accepted_Campaign_1]]+Table1[[#This Row],[Accepted_Campaign_5]]+Table1[[#This Row],[Accepted_Campaign_4]]+Table1[[#This Row],[Accepted_Campaign_3]])</f>
        <v>0</v>
      </c>
      <c r="AC1518">
        <v>0</v>
      </c>
      <c r="AD1518">
        <v>0</v>
      </c>
    </row>
    <row r="1519" spans="1:30" x14ac:dyDescent="0.25">
      <c r="A1519">
        <v>41411</v>
      </c>
      <c r="B1519">
        <v>675</v>
      </c>
      <c r="C1519">
        <v>1973</v>
      </c>
      <c r="D1519" t="s">
        <v>8</v>
      </c>
      <c r="E1519" t="s">
        <v>18</v>
      </c>
      <c r="F1519" t="s">
        <v>7</v>
      </c>
      <c r="G1519">
        <v>52034</v>
      </c>
      <c r="H1519">
        <v>2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f>SUM(Table1[[#This Row],[Gold Spending]]+Table1[[#This Row],[Sweet Spending]]+Table1[[#This Row],[Fish Spending]]+Table1[[#This Row],[Meat Spending]]+Table1[[#This Row],[Fruits Spending]]+Table1[[#This Row],[Wine Spending ]])</f>
        <v>332</v>
      </c>
      <c r="Q1519">
        <v>5</v>
      </c>
      <c r="R1519">
        <v>4</v>
      </c>
      <c r="S1519">
        <v>2</v>
      </c>
      <c r="T1519">
        <v>5</v>
      </c>
      <c r="U1519">
        <f>SUM(Table1[[#This Row],[Store_Purchases]]+Table1[[#This Row],[Catalog_Purchases]]+Table1[[#This Row],[Web_Purchases]]+Table1[[#This Row],[Deal_Purchases]])</f>
        <v>16</v>
      </c>
      <c r="V1519">
        <v>7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f>SUM(Table1[[#This Row],[Accepted_Campaign_2]]+Table1[[#This Row],[Accepted_Campaign_1]]+Table1[[#This Row],[Accepted_Campaign_5]]+Table1[[#This Row],[Accepted_Campaign_4]]+Table1[[#This Row],[Accepted_Campaign_3]])</f>
        <v>0</v>
      </c>
      <c r="AC1519">
        <v>0</v>
      </c>
      <c r="AD1519">
        <v>0</v>
      </c>
    </row>
    <row r="1520" spans="1:30" x14ac:dyDescent="0.25">
      <c r="A1520">
        <v>41381</v>
      </c>
      <c r="B1520">
        <v>4483</v>
      </c>
      <c r="C1520">
        <v>1993</v>
      </c>
      <c r="D1520" t="s">
        <v>20</v>
      </c>
      <c r="E1520" t="s">
        <v>6</v>
      </c>
      <c r="F1520" t="s">
        <v>9</v>
      </c>
      <c r="G1520">
        <v>72354</v>
      </c>
      <c r="H1520">
        <v>0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f>SUM(Table1[[#This Row],[Gold Spending]]+Table1[[#This Row],[Sweet Spending]]+Table1[[#This Row],[Fish Spending]]+Table1[[#This Row],[Meat Spending]]+Table1[[#This Row],[Fruits Spending]]+Table1[[#This Row],[Wine Spending ]])</f>
        <v>1228</v>
      </c>
      <c r="Q1520">
        <v>1</v>
      </c>
      <c r="R1520">
        <v>2</v>
      </c>
      <c r="S1520">
        <v>10</v>
      </c>
      <c r="T1520">
        <v>6</v>
      </c>
      <c r="U1520">
        <f>SUM(Table1[[#This Row],[Store_Purchases]]+Table1[[#This Row],[Catalog_Purchases]]+Table1[[#This Row],[Web_Purchases]]+Table1[[#This Row],[Deal_Purchases]])</f>
        <v>19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f>SUM(Table1[[#This Row],[Accepted_Campaign_2]]+Table1[[#This Row],[Accepted_Campaign_1]]+Table1[[#This Row],[Accepted_Campaign_5]]+Table1[[#This Row],[Accepted_Campaign_4]]+Table1[[#This Row],[Accepted_Campaign_3]])</f>
        <v>0</v>
      </c>
      <c r="AC1520">
        <v>0</v>
      </c>
      <c r="AD1520">
        <v>0</v>
      </c>
    </row>
    <row r="1521" spans="1:30" x14ac:dyDescent="0.25">
      <c r="A1521">
        <v>41354</v>
      </c>
      <c r="B1521">
        <v>1502</v>
      </c>
      <c r="C1521">
        <v>1983</v>
      </c>
      <c r="D1521" t="s">
        <v>8</v>
      </c>
      <c r="E1521" t="s">
        <v>6</v>
      </c>
      <c r="F1521" t="s">
        <v>12</v>
      </c>
      <c r="G1521">
        <v>28427</v>
      </c>
      <c r="H1521">
        <v>1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f>SUM(Table1[[#This Row],[Gold Spending]]+Table1[[#This Row],[Sweet Spending]]+Table1[[#This Row],[Fish Spending]]+Table1[[#This Row],[Meat Spending]]+Table1[[#This Row],[Fruits Spending]]+Table1[[#This Row],[Wine Spending ]])</f>
        <v>52</v>
      </c>
      <c r="Q1521">
        <v>2</v>
      </c>
      <c r="R1521">
        <v>2</v>
      </c>
      <c r="S1521">
        <v>0</v>
      </c>
      <c r="T1521">
        <v>3</v>
      </c>
      <c r="U1521">
        <f>SUM(Table1[[#This Row],[Store_Purchases]]+Table1[[#This Row],[Catalog_Purchases]]+Table1[[#This Row],[Web_Purchases]]+Table1[[#This Row],[Deal_Purchases]])</f>
        <v>7</v>
      </c>
      <c r="V1521">
        <v>8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f>SUM(Table1[[#This Row],[Accepted_Campaign_2]]+Table1[[#This Row],[Accepted_Campaign_1]]+Table1[[#This Row],[Accepted_Campaign_5]]+Table1[[#This Row],[Accepted_Campaign_4]]+Table1[[#This Row],[Accepted_Campaign_3]])</f>
        <v>0</v>
      </c>
      <c r="AC1521">
        <v>0</v>
      </c>
      <c r="AD1521">
        <v>0</v>
      </c>
    </row>
    <row r="1522" spans="1:30" x14ac:dyDescent="0.25">
      <c r="A1522">
        <v>41354</v>
      </c>
      <c r="B1522">
        <v>736</v>
      </c>
      <c r="C1522">
        <v>1983</v>
      </c>
      <c r="D1522" t="s">
        <v>17</v>
      </c>
      <c r="E1522" t="s">
        <v>6</v>
      </c>
      <c r="F1522" t="s">
        <v>12</v>
      </c>
      <c r="G1522">
        <v>28427</v>
      </c>
      <c r="H1522">
        <v>1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f>SUM(Table1[[#This Row],[Gold Spending]]+Table1[[#This Row],[Sweet Spending]]+Table1[[#This Row],[Fish Spending]]+Table1[[#This Row],[Meat Spending]]+Table1[[#This Row],[Fruits Spending]]+Table1[[#This Row],[Wine Spending ]])</f>
        <v>52</v>
      </c>
      <c r="Q1522">
        <v>2</v>
      </c>
      <c r="R1522">
        <v>2</v>
      </c>
      <c r="S1522">
        <v>0</v>
      </c>
      <c r="T1522">
        <v>3</v>
      </c>
      <c r="U1522">
        <f>SUM(Table1[[#This Row],[Store_Purchases]]+Table1[[#This Row],[Catalog_Purchases]]+Table1[[#This Row],[Web_Purchases]]+Table1[[#This Row],[Deal_Purchases]])</f>
        <v>7</v>
      </c>
      <c r="V1522">
        <v>8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f>SUM(Table1[[#This Row],[Accepted_Campaign_2]]+Table1[[#This Row],[Accepted_Campaign_1]]+Table1[[#This Row],[Accepted_Campaign_5]]+Table1[[#This Row],[Accepted_Campaign_4]]+Table1[[#This Row],[Accepted_Campaign_3]])</f>
        <v>0</v>
      </c>
      <c r="AC1522">
        <v>0</v>
      </c>
      <c r="AD1522">
        <v>0</v>
      </c>
    </row>
    <row r="1523" spans="1:30" x14ac:dyDescent="0.25">
      <c r="A1523">
        <v>41298</v>
      </c>
      <c r="B1523">
        <v>4487</v>
      </c>
      <c r="C1523">
        <v>1969</v>
      </c>
      <c r="D1523" t="s">
        <v>20</v>
      </c>
      <c r="E1523" t="s">
        <v>18</v>
      </c>
      <c r="F1523" t="s">
        <v>9</v>
      </c>
      <c r="G1523">
        <v>39858</v>
      </c>
      <c r="H1523">
        <v>1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f>SUM(Table1[[#This Row],[Gold Spending]]+Table1[[#This Row],[Sweet Spending]]+Table1[[#This Row],[Fish Spending]]+Table1[[#This Row],[Meat Spending]]+Table1[[#This Row],[Fruits Spending]]+Table1[[#This Row],[Wine Spending ]])</f>
        <v>95</v>
      </c>
      <c r="Q1523">
        <v>1</v>
      </c>
      <c r="R1523">
        <v>2</v>
      </c>
      <c r="S1523">
        <v>0</v>
      </c>
      <c r="T1523">
        <v>4</v>
      </c>
      <c r="U1523">
        <f>SUM(Table1[[#This Row],[Store_Purchases]]+Table1[[#This Row],[Catalog_Purchases]]+Table1[[#This Row],[Web_Purchases]]+Table1[[#This Row],[Deal_Purchases]])</f>
        <v>7</v>
      </c>
      <c r="V1523">
        <v>6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f>SUM(Table1[[#This Row],[Accepted_Campaign_2]]+Table1[[#This Row],[Accepted_Campaign_1]]+Table1[[#This Row],[Accepted_Campaign_5]]+Table1[[#This Row],[Accepted_Campaign_4]]+Table1[[#This Row],[Accepted_Campaign_3]])</f>
        <v>0</v>
      </c>
      <c r="AC1523">
        <v>1</v>
      </c>
      <c r="AD1523">
        <v>0</v>
      </c>
    </row>
    <row r="1524" spans="1:30" x14ac:dyDescent="0.25">
      <c r="A1524">
        <v>41289</v>
      </c>
      <c r="B1524">
        <v>3412</v>
      </c>
      <c r="C1524">
        <v>1951</v>
      </c>
      <c r="D1524" t="s">
        <v>8</v>
      </c>
      <c r="E1524" t="s">
        <v>18</v>
      </c>
      <c r="F1524" t="s">
        <v>11</v>
      </c>
      <c r="G1524">
        <v>67381</v>
      </c>
      <c r="H1524">
        <v>1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f>SUM(Table1[[#This Row],[Gold Spending]]+Table1[[#This Row],[Sweet Spending]]+Table1[[#This Row],[Fish Spending]]+Table1[[#This Row],[Meat Spending]]+Table1[[#This Row],[Fruits Spending]]+Table1[[#This Row],[Wine Spending ]])</f>
        <v>957</v>
      </c>
      <c r="Q1524">
        <v>4</v>
      </c>
      <c r="R1524">
        <v>2</v>
      </c>
      <c r="S1524">
        <v>2</v>
      </c>
      <c r="T1524">
        <v>9</v>
      </c>
      <c r="U1524">
        <f>SUM(Table1[[#This Row],[Store_Purchases]]+Table1[[#This Row],[Catalog_Purchases]]+Table1[[#This Row],[Web_Purchases]]+Table1[[#This Row],[Deal_Purchases]])</f>
        <v>17</v>
      </c>
      <c r="V1524">
        <v>7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f>SUM(Table1[[#This Row],[Accepted_Campaign_2]]+Table1[[#This Row],[Accepted_Campaign_1]]+Table1[[#This Row],[Accepted_Campaign_5]]+Table1[[#This Row],[Accepted_Campaign_4]]+Table1[[#This Row],[Accepted_Campaign_3]])</f>
        <v>1</v>
      </c>
      <c r="AC1524">
        <v>0</v>
      </c>
      <c r="AD1524">
        <v>0</v>
      </c>
    </row>
    <row r="1525" spans="1:30" x14ac:dyDescent="0.25">
      <c r="A1525">
        <v>41281</v>
      </c>
      <c r="B1525">
        <v>1744</v>
      </c>
      <c r="C1525">
        <v>1965</v>
      </c>
      <c r="D1525" t="s">
        <v>8</v>
      </c>
      <c r="E1525" t="s">
        <v>21</v>
      </c>
      <c r="F1525" t="s">
        <v>9</v>
      </c>
      <c r="G1525">
        <v>23529</v>
      </c>
      <c r="H1525">
        <v>1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f>SUM(Table1[[#This Row],[Gold Spending]]+Table1[[#This Row],[Sweet Spending]]+Table1[[#This Row],[Fish Spending]]+Table1[[#This Row],[Meat Spending]]+Table1[[#This Row],[Fruits Spending]]+Table1[[#This Row],[Wine Spending ]])</f>
        <v>54</v>
      </c>
      <c r="Q1525">
        <v>1</v>
      </c>
      <c r="R1525">
        <v>1</v>
      </c>
      <c r="S1525">
        <v>1</v>
      </c>
      <c r="T1525">
        <v>2</v>
      </c>
      <c r="U1525">
        <f>SUM(Table1[[#This Row],[Store_Purchases]]+Table1[[#This Row],[Catalog_Purchases]]+Table1[[#This Row],[Web_Purchases]]+Table1[[#This Row],[Deal_Purchases]])</f>
        <v>5</v>
      </c>
      <c r="V1525">
        <v>6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f>SUM(Table1[[#This Row],[Accepted_Campaign_2]]+Table1[[#This Row],[Accepted_Campaign_1]]+Table1[[#This Row],[Accepted_Campaign_5]]+Table1[[#This Row],[Accepted_Campaign_4]]+Table1[[#This Row],[Accepted_Campaign_3]])</f>
        <v>0</v>
      </c>
      <c r="AC1525">
        <v>0</v>
      </c>
      <c r="AD1525">
        <v>0</v>
      </c>
    </row>
    <row r="1526" spans="1:30" x14ac:dyDescent="0.25">
      <c r="A1526">
        <v>41271</v>
      </c>
      <c r="B1526">
        <v>5837</v>
      </c>
      <c r="C1526">
        <v>1967</v>
      </c>
      <c r="D1526" t="s">
        <v>8</v>
      </c>
      <c r="E1526" t="s">
        <v>6</v>
      </c>
      <c r="F1526" t="s">
        <v>11</v>
      </c>
      <c r="G1526">
        <v>51479</v>
      </c>
      <c r="H1526">
        <v>2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f>SUM(Table1[[#This Row],[Gold Spending]]+Table1[[#This Row],[Sweet Spending]]+Table1[[#This Row],[Fish Spending]]+Table1[[#This Row],[Meat Spending]]+Table1[[#This Row],[Fruits Spending]]+Table1[[#This Row],[Wine Spending ]])</f>
        <v>494</v>
      </c>
      <c r="Q1526">
        <v>7</v>
      </c>
      <c r="R1526">
        <v>6</v>
      </c>
      <c r="S1526">
        <v>3</v>
      </c>
      <c r="T1526">
        <v>6</v>
      </c>
      <c r="U1526">
        <f>SUM(Table1[[#This Row],[Store_Purchases]]+Table1[[#This Row],[Catalog_Purchases]]+Table1[[#This Row],[Web_Purchases]]+Table1[[#This Row],[Deal_Purchases]])</f>
        <v>22</v>
      </c>
      <c r="V1526">
        <v>7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f>SUM(Table1[[#This Row],[Accepted_Campaign_2]]+Table1[[#This Row],[Accepted_Campaign_1]]+Table1[[#This Row],[Accepted_Campaign_5]]+Table1[[#This Row],[Accepted_Campaign_4]]+Table1[[#This Row],[Accepted_Campaign_3]])</f>
        <v>0</v>
      </c>
      <c r="AC1526">
        <v>0</v>
      </c>
      <c r="AD1526">
        <v>0</v>
      </c>
    </row>
    <row r="1527" spans="1:30" x14ac:dyDescent="0.25">
      <c r="A1527">
        <v>41242</v>
      </c>
      <c r="B1527">
        <v>3422</v>
      </c>
      <c r="C1527">
        <v>1975</v>
      </c>
      <c r="D1527" t="s">
        <v>16</v>
      </c>
      <c r="E1527" t="s">
        <v>6</v>
      </c>
      <c r="F1527" t="s">
        <v>11</v>
      </c>
      <c r="G1527">
        <v>76068</v>
      </c>
      <c r="H1527">
        <v>1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f>SUM(Table1[[#This Row],[Gold Spending]]+Table1[[#This Row],[Sweet Spending]]+Table1[[#This Row],[Fish Spending]]+Table1[[#This Row],[Meat Spending]]+Table1[[#This Row],[Fruits Spending]]+Table1[[#This Row],[Wine Spending ]])</f>
        <v>1376</v>
      </c>
      <c r="Q1527">
        <v>1</v>
      </c>
      <c r="R1527">
        <v>2</v>
      </c>
      <c r="S1527">
        <v>3</v>
      </c>
      <c r="T1527">
        <v>4</v>
      </c>
      <c r="U1527">
        <f>SUM(Table1[[#This Row],[Store_Purchases]]+Table1[[#This Row],[Catalog_Purchases]]+Table1[[#This Row],[Web_Purchases]]+Table1[[#This Row],[Deal_Purchases]])</f>
        <v>10</v>
      </c>
      <c r="V1527">
        <v>6</v>
      </c>
      <c r="W1527">
        <v>0</v>
      </c>
      <c r="X1527">
        <v>1</v>
      </c>
      <c r="Y1527">
        <v>0</v>
      </c>
      <c r="Z1527">
        <v>0</v>
      </c>
      <c r="AA1527">
        <v>1</v>
      </c>
      <c r="AB1527">
        <f>SUM(Table1[[#This Row],[Accepted_Campaign_2]]+Table1[[#This Row],[Accepted_Campaign_1]]+Table1[[#This Row],[Accepted_Campaign_5]]+Table1[[#This Row],[Accepted_Campaign_4]]+Table1[[#This Row],[Accepted_Campaign_3]])</f>
        <v>2</v>
      </c>
      <c r="AC1527">
        <v>0</v>
      </c>
      <c r="AD1527">
        <v>0</v>
      </c>
    </row>
    <row r="1528" spans="1:30" x14ac:dyDescent="0.25">
      <c r="A1528">
        <v>41237</v>
      </c>
      <c r="B1528">
        <v>7462</v>
      </c>
      <c r="C1528">
        <v>1954</v>
      </c>
      <c r="D1528" t="s">
        <v>10</v>
      </c>
      <c r="E1528" t="s">
        <v>6</v>
      </c>
      <c r="F1528" t="s">
        <v>9</v>
      </c>
      <c r="G1528">
        <v>22507</v>
      </c>
      <c r="H1528">
        <v>0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f>SUM(Table1[[#This Row],[Gold Spending]]+Table1[[#This Row],[Sweet Spending]]+Table1[[#This Row],[Fish Spending]]+Table1[[#This Row],[Meat Spending]]+Table1[[#This Row],[Fruits Spending]]+Table1[[#This Row],[Wine Spending ]])</f>
        <v>570</v>
      </c>
      <c r="Q1528">
        <v>3</v>
      </c>
      <c r="R1528">
        <v>10</v>
      </c>
      <c r="S1528">
        <v>2</v>
      </c>
      <c r="T1528">
        <v>4</v>
      </c>
      <c r="U1528">
        <f>SUM(Table1[[#This Row],[Store_Purchases]]+Table1[[#This Row],[Catalog_Purchases]]+Table1[[#This Row],[Web_Purchases]]+Table1[[#This Row],[Deal_Purchases]])</f>
        <v>19</v>
      </c>
      <c r="V1528">
        <v>9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f>SUM(Table1[[#This Row],[Accepted_Campaign_2]]+Table1[[#This Row],[Accepted_Campaign_1]]+Table1[[#This Row],[Accepted_Campaign_5]]+Table1[[#This Row],[Accepted_Campaign_4]]+Table1[[#This Row],[Accepted_Campaign_3]])</f>
        <v>0</v>
      </c>
      <c r="AC1528">
        <v>0</v>
      </c>
      <c r="AD1528">
        <v>0</v>
      </c>
    </row>
    <row r="1529" spans="1:30" x14ac:dyDescent="0.25">
      <c r="A1529">
        <v>41216</v>
      </c>
      <c r="B1529">
        <v>10702</v>
      </c>
      <c r="C1529">
        <v>1984</v>
      </c>
      <c r="D1529" t="s">
        <v>8</v>
      </c>
      <c r="E1529" t="s">
        <v>6</v>
      </c>
      <c r="F1529" t="s">
        <v>9</v>
      </c>
      <c r="G1529">
        <v>52413</v>
      </c>
      <c r="H1529">
        <v>1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f>SUM(Table1[[#This Row],[Gold Spending]]+Table1[[#This Row],[Sweet Spending]]+Table1[[#This Row],[Fish Spending]]+Table1[[#This Row],[Meat Spending]]+Table1[[#This Row],[Fruits Spending]]+Table1[[#This Row],[Wine Spending ]])</f>
        <v>450</v>
      </c>
      <c r="Q1529">
        <v>2</v>
      </c>
      <c r="R1529">
        <v>7</v>
      </c>
      <c r="S1529">
        <v>1</v>
      </c>
      <c r="T1529">
        <v>7</v>
      </c>
      <c r="U1529">
        <f>SUM(Table1[[#This Row],[Store_Purchases]]+Table1[[#This Row],[Catalog_Purchases]]+Table1[[#This Row],[Web_Purchases]]+Table1[[#This Row],[Deal_Purchases]])</f>
        <v>17</v>
      </c>
      <c r="V1529">
        <v>7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f>SUM(Table1[[#This Row],[Accepted_Campaign_2]]+Table1[[#This Row],[Accepted_Campaign_1]]+Table1[[#This Row],[Accepted_Campaign_5]]+Table1[[#This Row],[Accepted_Campaign_4]]+Table1[[#This Row],[Accepted_Campaign_3]])</f>
        <v>0</v>
      </c>
      <c r="AC1529">
        <v>0</v>
      </c>
      <c r="AD1529">
        <v>0</v>
      </c>
    </row>
    <row r="1530" spans="1:30" x14ac:dyDescent="0.25">
      <c r="A1530">
        <v>41810</v>
      </c>
      <c r="B1530">
        <v>2115</v>
      </c>
      <c r="C1530">
        <v>1957</v>
      </c>
      <c r="D1530" t="s">
        <v>16</v>
      </c>
      <c r="E1530" t="s">
        <v>6</v>
      </c>
      <c r="F1530" t="s">
        <v>12</v>
      </c>
      <c r="G1530">
        <v>50116</v>
      </c>
      <c r="H1530">
        <v>2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f>SUM(Table1[[#This Row],[Gold Spending]]+Table1[[#This Row],[Sweet Spending]]+Table1[[#This Row],[Fish Spending]]+Table1[[#This Row],[Meat Spending]]+Table1[[#This Row],[Fruits Spending]]+Table1[[#This Row],[Wine Spending ]])</f>
        <v>66</v>
      </c>
      <c r="Q1530">
        <v>2</v>
      </c>
      <c r="R1530">
        <v>1</v>
      </c>
      <c r="S1530">
        <v>0</v>
      </c>
      <c r="T1530">
        <v>4</v>
      </c>
      <c r="U1530">
        <f>SUM(Table1[[#This Row],[Store_Purchases]]+Table1[[#This Row],[Catalog_Purchases]]+Table1[[#This Row],[Web_Purchases]]+Table1[[#This Row],[Deal_Purchases]])</f>
        <v>7</v>
      </c>
      <c r="V1530">
        <v>5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f>SUM(Table1[[#This Row],[Accepted_Campaign_2]]+Table1[[#This Row],[Accepted_Campaign_1]]+Table1[[#This Row],[Accepted_Campaign_5]]+Table1[[#This Row],[Accepted_Campaign_4]]+Table1[[#This Row],[Accepted_Campaign_3]])</f>
        <v>1</v>
      </c>
      <c r="AC1530">
        <v>0</v>
      </c>
      <c r="AD1530">
        <v>0</v>
      </c>
    </row>
    <row r="1531" spans="1:30" x14ac:dyDescent="0.25">
      <c r="A1531">
        <v>41783</v>
      </c>
      <c r="B1531">
        <v>4138</v>
      </c>
      <c r="C1531">
        <v>1962</v>
      </c>
      <c r="D1531" t="s">
        <v>8</v>
      </c>
      <c r="E1531" t="s">
        <v>6</v>
      </c>
      <c r="F1531" t="s">
        <v>9</v>
      </c>
      <c r="G1531">
        <v>76624</v>
      </c>
      <c r="H1531">
        <v>1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f>SUM(Table1[[#This Row],[Gold Spending]]+Table1[[#This Row],[Sweet Spending]]+Table1[[#This Row],[Fish Spending]]+Table1[[#This Row],[Meat Spending]]+Table1[[#This Row],[Fruits Spending]]+Table1[[#This Row],[Wine Spending ]])</f>
        <v>899</v>
      </c>
      <c r="Q1531">
        <v>1</v>
      </c>
      <c r="R1531">
        <v>5</v>
      </c>
      <c r="S1531">
        <v>10</v>
      </c>
      <c r="T1531">
        <v>7</v>
      </c>
      <c r="U1531">
        <f>SUM(Table1[[#This Row],[Store_Purchases]]+Table1[[#This Row],[Catalog_Purchases]]+Table1[[#This Row],[Web_Purchases]]+Table1[[#This Row],[Deal_Purchases]])</f>
        <v>23</v>
      </c>
      <c r="V1531">
        <v>1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f>SUM(Table1[[#This Row],[Accepted_Campaign_2]]+Table1[[#This Row],[Accepted_Campaign_1]]+Table1[[#This Row],[Accepted_Campaign_5]]+Table1[[#This Row],[Accepted_Campaign_4]]+Table1[[#This Row],[Accepted_Campaign_3]])</f>
        <v>1</v>
      </c>
      <c r="AC1531">
        <v>0</v>
      </c>
      <c r="AD1531">
        <v>0</v>
      </c>
    </row>
    <row r="1532" spans="1:30" x14ac:dyDescent="0.25">
      <c r="A1532">
        <v>41775</v>
      </c>
      <c r="B1532">
        <v>11091</v>
      </c>
      <c r="C1532">
        <v>1953</v>
      </c>
      <c r="D1532" t="s">
        <v>16</v>
      </c>
      <c r="E1532" t="s">
        <v>6</v>
      </c>
      <c r="F1532" t="s">
        <v>12</v>
      </c>
      <c r="G1532">
        <v>34587</v>
      </c>
      <c r="H1532">
        <v>2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1532">
        <v>2</v>
      </c>
      <c r="R1532">
        <v>1</v>
      </c>
      <c r="S1532">
        <v>0</v>
      </c>
      <c r="T1532">
        <v>3</v>
      </c>
      <c r="U1532">
        <f>SUM(Table1[[#This Row],[Store_Purchases]]+Table1[[#This Row],[Catalog_Purchases]]+Table1[[#This Row],[Web_Purchases]]+Table1[[#This Row],[Deal_Purchases]])</f>
        <v>6</v>
      </c>
      <c r="V1532">
        <v>4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f>SUM(Table1[[#This Row],[Accepted_Campaign_2]]+Table1[[#This Row],[Accepted_Campaign_1]]+Table1[[#This Row],[Accepted_Campaign_5]]+Table1[[#This Row],[Accepted_Campaign_4]]+Table1[[#This Row],[Accepted_Campaign_3]])</f>
        <v>0</v>
      </c>
      <c r="AC1532">
        <v>0</v>
      </c>
      <c r="AD1532">
        <v>0</v>
      </c>
    </row>
    <row r="1533" spans="1:30" x14ac:dyDescent="0.25">
      <c r="A1533">
        <v>41757</v>
      </c>
      <c r="B1533">
        <v>7712</v>
      </c>
      <c r="C1533">
        <v>1946</v>
      </c>
      <c r="D1533" t="s">
        <v>63</v>
      </c>
      <c r="E1533" t="s">
        <v>14</v>
      </c>
      <c r="F1533" t="s">
        <v>9</v>
      </c>
      <c r="G1533">
        <v>62159</v>
      </c>
      <c r="H1533">
        <v>0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f>SUM(Table1[[#This Row],[Gold Spending]]+Table1[[#This Row],[Sweet Spending]]+Table1[[#This Row],[Fish Spending]]+Table1[[#This Row],[Meat Spending]]+Table1[[#This Row],[Fruits Spending]]+Table1[[#This Row],[Wine Spending ]])</f>
        <v>634</v>
      </c>
      <c r="Q1533">
        <v>1</v>
      </c>
      <c r="R1533">
        <v>6</v>
      </c>
      <c r="S1533">
        <v>2</v>
      </c>
      <c r="T1533">
        <v>10</v>
      </c>
      <c r="U1533">
        <f>SUM(Table1[[#This Row],[Store_Purchases]]+Table1[[#This Row],[Catalog_Purchases]]+Table1[[#This Row],[Web_Purchases]]+Table1[[#This Row],[Deal_Purchases]])</f>
        <v>19</v>
      </c>
      <c r="V1533">
        <v>4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f>SUM(Table1[[#This Row],[Accepted_Campaign_2]]+Table1[[#This Row],[Accepted_Campaign_1]]+Table1[[#This Row],[Accepted_Campaign_5]]+Table1[[#This Row],[Accepted_Campaign_4]]+Table1[[#This Row],[Accepted_Campaign_3]])</f>
        <v>0</v>
      </c>
      <c r="AC1533">
        <v>0</v>
      </c>
      <c r="AD1533">
        <v>0</v>
      </c>
    </row>
    <row r="1534" spans="1:30" x14ac:dyDescent="0.25">
      <c r="A1534">
        <v>41715</v>
      </c>
      <c r="B1534">
        <v>3535</v>
      </c>
      <c r="C1534">
        <v>1965</v>
      </c>
      <c r="D1534" t="s">
        <v>8</v>
      </c>
      <c r="E1534" t="s">
        <v>6</v>
      </c>
      <c r="F1534" t="s">
        <v>9</v>
      </c>
      <c r="G1534">
        <v>66294</v>
      </c>
      <c r="H1534">
        <v>0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f>SUM(Table1[[#This Row],[Gold Spending]]+Table1[[#This Row],[Sweet Spending]]+Table1[[#This Row],[Fish Spending]]+Table1[[#This Row],[Meat Spending]]+Table1[[#This Row],[Fruits Spending]]+Table1[[#This Row],[Wine Spending ]])</f>
        <v>967</v>
      </c>
      <c r="Q1534">
        <v>1</v>
      </c>
      <c r="R1534">
        <v>4</v>
      </c>
      <c r="S1534">
        <v>3</v>
      </c>
      <c r="T1534">
        <v>5</v>
      </c>
      <c r="U1534">
        <f>SUM(Table1[[#This Row],[Store_Purchases]]+Table1[[#This Row],[Catalog_Purchases]]+Table1[[#This Row],[Web_Purchases]]+Table1[[#This Row],[Deal_Purchases]])</f>
        <v>13</v>
      </c>
      <c r="V1534">
        <v>2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f>SUM(Table1[[#This Row],[Accepted_Campaign_2]]+Table1[[#This Row],[Accepted_Campaign_1]]+Table1[[#This Row],[Accepted_Campaign_5]]+Table1[[#This Row],[Accepted_Campaign_4]]+Table1[[#This Row],[Accepted_Campaign_3]])</f>
        <v>0</v>
      </c>
      <c r="AC1534">
        <v>0</v>
      </c>
      <c r="AD1534">
        <v>0</v>
      </c>
    </row>
    <row r="1535" spans="1:30" x14ac:dyDescent="0.25">
      <c r="A1535">
        <v>41711</v>
      </c>
      <c r="B1535">
        <v>5899</v>
      </c>
      <c r="C1535">
        <v>1950</v>
      </c>
      <c r="D1535" t="s">
        <v>63</v>
      </c>
      <c r="E1535" t="s">
        <v>14</v>
      </c>
      <c r="F1535" t="s">
        <v>12</v>
      </c>
      <c r="G1535">
        <v>5648</v>
      </c>
      <c r="H1535">
        <v>2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f>SUM(Table1[[#This Row],[Gold Spending]]+Table1[[#This Row],[Sweet Spending]]+Table1[[#This Row],[Fish Spending]]+Table1[[#This Row],[Meat Spending]]+Table1[[#This Row],[Fruits Spending]]+Table1[[#This Row],[Wine Spending ]])</f>
        <v>49</v>
      </c>
      <c r="Q1535">
        <v>1</v>
      </c>
      <c r="R1535">
        <v>1</v>
      </c>
      <c r="S1535">
        <v>0</v>
      </c>
      <c r="T1535">
        <v>0</v>
      </c>
      <c r="U1535">
        <f>SUM(Table1[[#This Row],[Store_Purchases]]+Table1[[#This Row],[Catalog_Purchases]]+Table1[[#This Row],[Web_Purchases]]+Table1[[#This Row],[Deal_Purchases]])</f>
        <v>2</v>
      </c>
      <c r="V1535">
        <v>20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f>SUM(Table1[[#This Row],[Accepted_Campaign_2]]+Table1[[#This Row],[Accepted_Campaign_1]]+Table1[[#This Row],[Accepted_Campaign_5]]+Table1[[#This Row],[Accepted_Campaign_4]]+Table1[[#This Row],[Accepted_Campaign_3]])</f>
        <v>1</v>
      </c>
      <c r="AC1535">
        <v>0</v>
      </c>
      <c r="AD1535">
        <v>0</v>
      </c>
    </row>
    <row r="1536" spans="1:30" x14ac:dyDescent="0.25">
      <c r="A1536">
        <v>41671</v>
      </c>
      <c r="B1536">
        <v>8749</v>
      </c>
      <c r="C1536">
        <v>1984</v>
      </c>
      <c r="D1536" t="s">
        <v>8</v>
      </c>
      <c r="E1536" t="s">
        <v>6</v>
      </c>
      <c r="F1536" t="s">
        <v>12</v>
      </c>
      <c r="G1536">
        <v>37235</v>
      </c>
      <c r="H1536">
        <v>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f>SUM(Table1[[#This Row],[Gold Spending]]+Table1[[#This Row],[Sweet Spending]]+Table1[[#This Row],[Fish Spending]]+Table1[[#This Row],[Meat Spending]]+Table1[[#This Row],[Fruits Spending]]+Table1[[#This Row],[Wine Spending ]])</f>
        <v>61</v>
      </c>
      <c r="Q1536">
        <v>1</v>
      </c>
      <c r="R1536">
        <v>1</v>
      </c>
      <c r="S1536">
        <v>1</v>
      </c>
      <c r="T1536">
        <v>2</v>
      </c>
      <c r="U1536">
        <f>SUM(Table1[[#This Row],[Store_Purchases]]+Table1[[#This Row],[Catalog_Purchases]]+Table1[[#This Row],[Web_Purchases]]+Table1[[#This Row],[Deal_Purchases]])</f>
        <v>5</v>
      </c>
      <c r="V1536">
        <v>4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f>SUM(Table1[[#This Row],[Accepted_Campaign_2]]+Table1[[#This Row],[Accepted_Campaign_1]]+Table1[[#This Row],[Accepted_Campaign_5]]+Table1[[#This Row],[Accepted_Campaign_4]]+Table1[[#This Row],[Accepted_Campaign_3]])</f>
        <v>0</v>
      </c>
      <c r="AC1536">
        <v>0</v>
      </c>
      <c r="AD1536">
        <v>0</v>
      </c>
    </row>
    <row r="1537" spans="1:30" x14ac:dyDescent="0.25">
      <c r="A1537">
        <v>41646</v>
      </c>
      <c r="B1537">
        <v>10955</v>
      </c>
      <c r="C1537">
        <v>1964</v>
      </c>
      <c r="D1537" t="s">
        <v>8</v>
      </c>
      <c r="E1537" t="s">
        <v>6</v>
      </c>
      <c r="F1537" t="s">
        <v>19</v>
      </c>
      <c r="G1537">
        <v>85620</v>
      </c>
      <c r="H1537">
        <v>0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f>SUM(Table1[[#This Row],[Gold Spending]]+Table1[[#This Row],[Sweet Spending]]+Table1[[#This Row],[Fish Spending]]+Table1[[#This Row],[Meat Spending]]+Table1[[#This Row],[Fruits Spending]]+Table1[[#This Row],[Wine Spending ]])</f>
        <v>1600</v>
      </c>
      <c r="Q1537">
        <v>1</v>
      </c>
      <c r="R1537">
        <v>3</v>
      </c>
      <c r="S1537">
        <v>6</v>
      </c>
      <c r="T1537">
        <v>4</v>
      </c>
      <c r="U1537">
        <f>SUM(Table1[[#This Row],[Store_Purchases]]+Table1[[#This Row],[Catalog_Purchases]]+Table1[[#This Row],[Web_Purchases]]+Table1[[#This Row],[Deal_Purchases]])</f>
        <v>14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f>SUM(Table1[[#This Row],[Accepted_Campaign_2]]+Table1[[#This Row],[Accepted_Campaign_1]]+Table1[[#This Row],[Accepted_Campaign_5]]+Table1[[#This Row],[Accepted_Campaign_4]]+Table1[[#This Row],[Accepted_Campaign_3]])</f>
        <v>0</v>
      </c>
      <c r="AC1537">
        <v>1</v>
      </c>
      <c r="AD1537">
        <v>0</v>
      </c>
    </row>
    <row r="1538" spans="1:30" x14ac:dyDescent="0.25">
      <c r="A1538">
        <v>41635</v>
      </c>
      <c r="B1538">
        <v>9491</v>
      </c>
      <c r="C1538">
        <v>1984</v>
      </c>
      <c r="D1538" t="s">
        <v>20</v>
      </c>
      <c r="E1538" t="s">
        <v>6</v>
      </c>
      <c r="F1538" t="s">
        <v>12</v>
      </c>
      <c r="G1538">
        <v>23976</v>
      </c>
      <c r="H1538">
        <v>1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f>SUM(Table1[[#This Row],[Gold Spending]]+Table1[[#This Row],[Sweet Spending]]+Table1[[#This Row],[Fish Spending]]+Table1[[#This Row],[Meat Spending]]+Table1[[#This Row],[Fruits Spending]]+Table1[[#This Row],[Wine Spending ]])</f>
        <v>66</v>
      </c>
      <c r="Q1538">
        <v>3</v>
      </c>
      <c r="R1538">
        <v>3</v>
      </c>
      <c r="S1538">
        <v>1</v>
      </c>
      <c r="T1538">
        <v>3</v>
      </c>
      <c r="U1538">
        <f>SUM(Table1[[#This Row],[Store_Purchases]]+Table1[[#This Row],[Catalog_Purchases]]+Table1[[#This Row],[Web_Purchases]]+Table1[[#This Row],[Deal_Purchases]])</f>
        <v>10</v>
      </c>
      <c r="V1538">
        <v>7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f>SUM(Table1[[#This Row],[Accepted_Campaign_2]]+Table1[[#This Row],[Accepted_Campaign_1]]+Table1[[#This Row],[Accepted_Campaign_5]]+Table1[[#This Row],[Accepted_Campaign_4]]+Table1[[#This Row],[Accepted_Campaign_3]])</f>
        <v>0</v>
      </c>
      <c r="AC1538">
        <v>0</v>
      </c>
      <c r="AD1538">
        <v>0</v>
      </c>
    </row>
    <row r="1539" spans="1:30" x14ac:dyDescent="0.25">
      <c r="A1539">
        <v>41575</v>
      </c>
      <c r="B1539">
        <v>5286</v>
      </c>
      <c r="C1539">
        <v>1987</v>
      </c>
      <c r="D1539" t="s">
        <v>10</v>
      </c>
      <c r="E1539" t="s">
        <v>18</v>
      </c>
      <c r="F1539" t="s">
        <v>9</v>
      </c>
      <c r="G1539">
        <v>41020</v>
      </c>
      <c r="H1539">
        <v>0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f>SUM(Table1[[#This Row],[Gold Spending]]+Table1[[#This Row],[Sweet Spending]]+Table1[[#This Row],[Fish Spending]]+Table1[[#This Row],[Meat Spending]]+Table1[[#This Row],[Fruits Spending]]+Table1[[#This Row],[Wine Spending ]])</f>
        <v>217</v>
      </c>
      <c r="Q1539">
        <v>1</v>
      </c>
      <c r="R1539">
        <v>3</v>
      </c>
      <c r="S1539">
        <v>2</v>
      </c>
      <c r="T1539">
        <v>4</v>
      </c>
      <c r="U1539">
        <f>SUM(Table1[[#This Row],[Store_Purchases]]+Table1[[#This Row],[Catalog_Purchases]]+Table1[[#This Row],[Web_Purchases]]+Table1[[#This Row],[Deal_Purchases]])</f>
        <v>10</v>
      </c>
      <c r="V1539">
        <v>3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f>SUM(Table1[[#This Row],[Accepted_Campaign_2]]+Table1[[#This Row],[Accepted_Campaign_1]]+Table1[[#This Row],[Accepted_Campaign_5]]+Table1[[#This Row],[Accepted_Campaign_4]]+Table1[[#This Row],[Accepted_Campaign_3]])</f>
        <v>0</v>
      </c>
      <c r="AC1539">
        <v>0</v>
      </c>
      <c r="AD1539">
        <v>0</v>
      </c>
    </row>
    <row r="1540" spans="1:30" x14ac:dyDescent="0.25">
      <c r="A1540">
        <v>41562</v>
      </c>
      <c r="B1540">
        <v>3409</v>
      </c>
      <c r="C1540">
        <v>1984</v>
      </c>
      <c r="D1540" t="s">
        <v>20</v>
      </c>
      <c r="E1540" t="s">
        <v>6</v>
      </c>
      <c r="F1540" t="s">
        <v>9</v>
      </c>
      <c r="G1540">
        <v>36108</v>
      </c>
      <c r="H1540">
        <v>1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f>SUM(Table1[[#This Row],[Gold Spending]]+Table1[[#This Row],[Sweet Spending]]+Table1[[#This Row],[Fish Spending]]+Table1[[#This Row],[Meat Spending]]+Table1[[#This Row],[Fruits Spending]]+Table1[[#This Row],[Wine Spending ]])</f>
        <v>339</v>
      </c>
      <c r="Q1540">
        <v>3</v>
      </c>
      <c r="R1540">
        <v>7</v>
      </c>
      <c r="S1540">
        <v>1</v>
      </c>
      <c r="T1540">
        <v>4</v>
      </c>
      <c r="U1540">
        <f>SUM(Table1[[#This Row],[Store_Purchases]]+Table1[[#This Row],[Catalog_Purchases]]+Table1[[#This Row],[Web_Purchases]]+Table1[[#This Row],[Deal_Purchases]])</f>
        <v>15</v>
      </c>
      <c r="V1540">
        <v>9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f>SUM(Table1[[#This Row],[Accepted_Campaign_2]]+Table1[[#This Row],[Accepted_Campaign_1]]+Table1[[#This Row],[Accepted_Campaign_5]]+Table1[[#This Row],[Accepted_Campaign_4]]+Table1[[#This Row],[Accepted_Campaign_3]])</f>
        <v>1</v>
      </c>
      <c r="AC1540">
        <v>0</v>
      </c>
      <c r="AD1540">
        <v>0</v>
      </c>
    </row>
    <row r="1541" spans="1:30" x14ac:dyDescent="0.25">
      <c r="A1541">
        <v>41559</v>
      </c>
      <c r="B1541">
        <v>2544</v>
      </c>
      <c r="C1541">
        <v>1951</v>
      </c>
      <c r="D1541" t="s">
        <v>17</v>
      </c>
      <c r="E1541" t="s">
        <v>18</v>
      </c>
      <c r="F1541" t="s">
        <v>7</v>
      </c>
      <c r="G1541">
        <v>57530</v>
      </c>
      <c r="H1541">
        <v>1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f>SUM(Table1[[#This Row],[Gold Spending]]+Table1[[#This Row],[Sweet Spending]]+Table1[[#This Row],[Fish Spending]]+Table1[[#This Row],[Meat Spending]]+Table1[[#This Row],[Fruits Spending]]+Table1[[#This Row],[Wine Spending ]])</f>
        <v>92</v>
      </c>
      <c r="Q1541">
        <v>1</v>
      </c>
      <c r="R1541">
        <v>1</v>
      </c>
      <c r="S1541">
        <v>1</v>
      </c>
      <c r="T1541">
        <v>4</v>
      </c>
      <c r="U1541">
        <f>SUM(Table1[[#This Row],[Store_Purchases]]+Table1[[#This Row],[Catalog_Purchases]]+Table1[[#This Row],[Web_Purchases]]+Table1[[#This Row],[Deal_Purchases]])</f>
        <v>7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f>SUM(Table1[[#This Row],[Accepted_Campaign_2]]+Table1[[#This Row],[Accepted_Campaign_1]]+Table1[[#This Row],[Accepted_Campaign_5]]+Table1[[#This Row],[Accepted_Campaign_4]]+Table1[[#This Row],[Accepted_Campaign_3]])</f>
        <v>0</v>
      </c>
      <c r="AC1541">
        <v>0</v>
      </c>
      <c r="AD1541">
        <v>0</v>
      </c>
    </row>
    <row r="1542" spans="1:30" x14ac:dyDescent="0.25">
      <c r="A1542">
        <v>41527</v>
      </c>
      <c r="B1542">
        <v>2118</v>
      </c>
      <c r="C1542">
        <v>1964</v>
      </c>
      <c r="D1542" t="s">
        <v>8</v>
      </c>
      <c r="E1542" t="s">
        <v>15</v>
      </c>
      <c r="F1542" t="s">
        <v>11</v>
      </c>
      <c r="G1542">
        <v>62905</v>
      </c>
      <c r="H1542">
        <v>1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f>SUM(Table1[[#This Row],[Gold Spending]]+Table1[[#This Row],[Sweet Spending]]+Table1[[#This Row],[Fish Spending]]+Table1[[#This Row],[Meat Spending]]+Table1[[#This Row],[Fruits Spending]]+Table1[[#This Row],[Wine Spending ]])</f>
        <v>622</v>
      </c>
      <c r="Q1542">
        <v>3</v>
      </c>
      <c r="R1542">
        <v>7</v>
      </c>
      <c r="S1542">
        <v>2</v>
      </c>
      <c r="T1542">
        <v>8</v>
      </c>
      <c r="U1542">
        <f>SUM(Table1[[#This Row],[Store_Purchases]]+Table1[[#This Row],[Catalog_Purchases]]+Table1[[#This Row],[Web_Purchases]]+Table1[[#This Row],[Deal_Purchases]])</f>
        <v>20</v>
      </c>
      <c r="V1542">
        <v>4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f>SUM(Table1[[#This Row],[Accepted_Campaign_2]]+Table1[[#This Row],[Accepted_Campaign_1]]+Table1[[#This Row],[Accepted_Campaign_5]]+Table1[[#This Row],[Accepted_Campaign_4]]+Table1[[#This Row],[Accepted_Campaign_3]])</f>
        <v>0</v>
      </c>
      <c r="AC1542">
        <v>0</v>
      </c>
      <c r="AD1542">
        <v>0</v>
      </c>
    </row>
    <row r="1543" spans="1:30" x14ac:dyDescent="0.25">
      <c r="A1543">
        <v>41411</v>
      </c>
      <c r="B1543">
        <v>9370</v>
      </c>
      <c r="C1543">
        <v>1945</v>
      </c>
      <c r="D1543" t="s">
        <v>10</v>
      </c>
      <c r="E1543" t="s">
        <v>14</v>
      </c>
      <c r="F1543" t="s">
        <v>11</v>
      </c>
      <c r="G1543">
        <v>65846</v>
      </c>
      <c r="H1543">
        <v>0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f>SUM(Table1[[#This Row],[Gold Spending]]+Table1[[#This Row],[Sweet Spending]]+Table1[[#This Row],[Fish Spending]]+Table1[[#This Row],[Meat Spending]]+Table1[[#This Row],[Fruits Spending]]+Table1[[#This Row],[Wine Spending ]])</f>
        <v>1120</v>
      </c>
      <c r="Q1543">
        <v>1</v>
      </c>
      <c r="R1543">
        <v>6</v>
      </c>
      <c r="S1543">
        <v>3</v>
      </c>
      <c r="T1543">
        <v>6</v>
      </c>
      <c r="U1543">
        <f>SUM(Table1[[#This Row],[Store_Purchases]]+Table1[[#This Row],[Catalog_Purchases]]+Table1[[#This Row],[Web_Purchases]]+Table1[[#This Row],[Deal_Purchases]])</f>
        <v>16</v>
      </c>
      <c r="V1543">
        <v>4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f>SUM(Table1[[#This Row],[Accepted_Campaign_2]]+Table1[[#This Row],[Accepted_Campaign_1]]+Table1[[#This Row],[Accepted_Campaign_5]]+Table1[[#This Row],[Accepted_Campaign_4]]+Table1[[#This Row],[Accepted_Campaign_3]])</f>
        <v>0</v>
      </c>
      <c r="AC1543">
        <v>0</v>
      </c>
      <c r="AD1543">
        <v>0</v>
      </c>
    </row>
    <row r="1544" spans="1:30" x14ac:dyDescent="0.25">
      <c r="A1544">
        <v>41396</v>
      </c>
      <c r="B1544">
        <v>4864</v>
      </c>
      <c r="C1544">
        <v>1977</v>
      </c>
      <c r="D1544" t="s">
        <v>10</v>
      </c>
      <c r="E1544" t="s">
        <v>6</v>
      </c>
      <c r="F1544" t="s">
        <v>11</v>
      </c>
      <c r="G1544">
        <v>34380</v>
      </c>
      <c r="H1544">
        <v>1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f>SUM(Table1[[#This Row],[Gold Spending]]+Table1[[#This Row],[Sweet Spending]]+Table1[[#This Row],[Fish Spending]]+Table1[[#This Row],[Meat Spending]]+Table1[[#This Row],[Fruits Spending]]+Table1[[#This Row],[Wine Spending ]])</f>
        <v>175</v>
      </c>
      <c r="Q1544">
        <v>4</v>
      </c>
      <c r="R1544">
        <v>4</v>
      </c>
      <c r="S1544">
        <v>1</v>
      </c>
      <c r="T1544">
        <v>3</v>
      </c>
      <c r="U1544">
        <f>SUM(Table1[[#This Row],[Store_Purchases]]+Table1[[#This Row],[Catalog_Purchases]]+Table1[[#This Row],[Web_Purchases]]+Table1[[#This Row],[Deal_Purchases]])</f>
        <v>12</v>
      </c>
      <c r="V1544">
        <v>8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f>SUM(Table1[[#This Row],[Accepted_Campaign_2]]+Table1[[#This Row],[Accepted_Campaign_1]]+Table1[[#This Row],[Accepted_Campaign_5]]+Table1[[#This Row],[Accepted_Campaign_4]]+Table1[[#This Row],[Accepted_Campaign_3]])</f>
        <v>0</v>
      </c>
      <c r="AC1544">
        <v>0</v>
      </c>
      <c r="AD1544">
        <v>0</v>
      </c>
    </row>
    <row r="1545" spans="1:30" x14ac:dyDescent="0.25">
      <c r="A1545">
        <v>41318</v>
      </c>
      <c r="B1545">
        <v>405</v>
      </c>
      <c r="C1545">
        <v>1964</v>
      </c>
      <c r="D1545" t="s">
        <v>8</v>
      </c>
      <c r="E1545" t="s">
        <v>6</v>
      </c>
      <c r="F1545" t="s">
        <v>7</v>
      </c>
      <c r="G1545">
        <v>41638</v>
      </c>
      <c r="H1545">
        <v>1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f>SUM(Table1[[#This Row],[Gold Spending]]+Table1[[#This Row],[Sweet Spending]]+Table1[[#This Row],[Fish Spending]]+Table1[[#This Row],[Meat Spending]]+Table1[[#This Row],[Fruits Spending]]+Table1[[#This Row],[Wine Spending ]])</f>
        <v>441</v>
      </c>
      <c r="Q1545">
        <v>4</v>
      </c>
      <c r="R1545">
        <v>5</v>
      </c>
      <c r="S1545">
        <v>5</v>
      </c>
      <c r="T1545">
        <v>3</v>
      </c>
      <c r="U1545">
        <f>SUM(Table1[[#This Row],[Store_Purchases]]+Table1[[#This Row],[Catalog_Purchases]]+Table1[[#This Row],[Web_Purchases]]+Table1[[#This Row],[Deal_Purchases]])</f>
        <v>17</v>
      </c>
      <c r="V1545">
        <v>8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f>SUM(Table1[[#This Row],[Accepted_Campaign_2]]+Table1[[#This Row],[Accepted_Campaign_1]]+Table1[[#This Row],[Accepted_Campaign_5]]+Table1[[#This Row],[Accepted_Campaign_4]]+Table1[[#This Row],[Accepted_Campaign_3]])</f>
        <v>1</v>
      </c>
      <c r="AC1545">
        <v>0</v>
      </c>
      <c r="AD1545">
        <v>0</v>
      </c>
    </row>
    <row r="1546" spans="1:30" x14ac:dyDescent="0.25">
      <c r="A1546">
        <v>41294</v>
      </c>
      <c r="B1546">
        <v>10513</v>
      </c>
      <c r="C1546">
        <v>1992</v>
      </c>
      <c r="D1546" t="s">
        <v>8</v>
      </c>
      <c r="E1546" t="s">
        <v>6</v>
      </c>
      <c r="F1546" t="s">
        <v>12</v>
      </c>
      <c r="G1546">
        <v>63207</v>
      </c>
      <c r="H1546">
        <v>0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f>SUM(Table1[[#This Row],[Gold Spending]]+Table1[[#This Row],[Sweet Spending]]+Table1[[#This Row],[Fish Spending]]+Table1[[#This Row],[Meat Spending]]+Table1[[#This Row],[Fruits Spending]]+Table1[[#This Row],[Wine Spending ]])</f>
        <v>1502</v>
      </c>
      <c r="Q1546">
        <v>1</v>
      </c>
      <c r="R1546">
        <v>2</v>
      </c>
      <c r="S1546">
        <v>3</v>
      </c>
      <c r="T1546">
        <v>6</v>
      </c>
      <c r="U1546">
        <f>SUM(Table1[[#This Row],[Store_Purchases]]+Table1[[#This Row],[Catalog_Purchases]]+Table1[[#This Row],[Web_Purchases]]+Table1[[#This Row],[Deal_Purchases]])</f>
        <v>12</v>
      </c>
      <c r="V1546">
        <v>7</v>
      </c>
      <c r="W1546">
        <v>0</v>
      </c>
      <c r="X1546">
        <v>0</v>
      </c>
      <c r="Y1546">
        <v>0</v>
      </c>
      <c r="Z1546">
        <v>1</v>
      </c>
      <c r="AA1546">
        <v>0</v>
      </c>
      <c r="AB1546">
        <f>SUM(Table1[[#This Row],[Accepted_Campaign_2]]+Table1[[#This Row],[Accepted_Campaign_1]]+Table1[[#This Row],[Accepted_Campaign_5]]+Table1[[#This Row],[Accepted_Campaign_4]]+Table1[[#This Row],[Accepted_Campaign_3]])</f>
        <v>1</v>
      </c>
      <c r="AC1546">
        <v>0</v>
      </c>
      <c r="AD1546">
        <v>0</v>
      </c>
    </row>
    <row r="1547" spans="1:30" x14ac:dyDescent="0.25">
      <c r="A1547">
        <v>41288</v>
      </c>
      <c r="B1547">
        <v>5138</v>
      </c>
      <c r="C1547">
        <v>1950</v>
      </c>
      <c r="D1547" t="s">
        <v>8</v>
      </c>
      <c r="E1547" t="s">
        <v>6</v>
      </c>
      <c r="F1547" t="s">
        <v>12</v>
      </c>
      <c r="G1547">
        <v>28320</v>
      </c>
      <c r="H1547">
        <v>1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f>SUM(Table1[[#This Row],[Gold Spending]]+Table1[[#This Row],[Sweet Spending]]+Table1[[#This Row],[Fish Spending]]+Table1[[#This Row],[Meat Spending]]+Table1[[#This Row],[Fruits Spending]]+Table1[[#This Row],[Wine Spending ]])</f>
        <v>43</v>
      </c>
      <c r="Q1547">
        <v>1</v>
      </c>
      <c r="R1547">
        <v>1</v>
      </c>
      <c r="S1547">
        <v>0</v>
      </c>
      <c r="T1547">
        <v>3</v>
      </c>
      <c r="U1547">
        <f>SUM(Table1[[#This Row],[Store_Purchases]]+Table1[[#This Row],[Catalog_Purchases]]+Table1[[#This Row],[Web_Purchases]]+Table1[[#This Row],[Deal_Purchases]])</f>
        <v>5</v>
      </c>
      <c r="V1547">
        <v>8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f>SUM(Table1[[#This Row],[Accepted_Campaign_2]]+Table1[[#This Row],[Accepted_Campaign_1]]+Table1[[#This Row],[Accepted_Campaign_5]]+Table1[[#This Row],[Accepted_Campaign_4]]+Table1[[#This Row],[Accepted_Campaign_3]])</f>
        <v>0</v>
      </c>
      <c r="AC1547">
        <v>0</v>
      </c>
      <c r="AD1547">
        <v>0</v>
      </c>
    </row>
    <row r="1548" spans="1:30" x14ac:dyDescent="0.25">
      <c r="A1548">
        <v>41279</v>
      </c>
      <c r="B1548">
        <v>8387</v>
      </c>
      <c r="C1548">
        <v>1957</v>
      </c>
      <c r="D1548" t="s">
        <v>8</v>
      </c>
      <c r="E1548" t="s">
        <v>6</v>
      </c>
      <c r="F1548" t="s">
        <v>11</v>
      </c>
      <c r="G1548">
        <v>43140</v>
      </c>
      <c r="H1548">
        <v>1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f>SUM(Table1[[#This Row],[Gold Spending]]+Table1[[#This Row],[Sweet Spending]]+Table1[[#This Row],[Fish Spending]]+Table1[[#This Row],[Meat Spending]]+Table1[[#This Row],[Fruits Spending]]+Table1[[#This Row],[Wine Spending ]])</f>
        <v>235</v>
      </c>
      <c r="Q1548">
        <v>1</v>
      </c>
      <c r="R1548">
        <v>4</v>
      </c>
      <c r="S1548">
        <v>1</v>
      </c>
      <c r="T1548">
        <v>5</v>
      </c>
      <c r="U1548">
        <f>SUM(Table1[[#This Row],[Store_Purchases]]+Table1[[#This Row],[Catalog_Purchases]]+Table1[[#This Row],[Web_Purchases]]+Table1[[#This Row],[Deal_Purchases]])</f>
        <v>11</v>
      </c>
      <c r="V1548">
        <v>6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f>SUM(Table1[[#This Row],[Accepted_Campaign_2]]+Table1[[#This Row],[Accepted_Campaign_1]]+Table1[[#This Row],[Accepted_Campaign_5]]+Table1[[#This Row],[Accepted_Campaign_4]]+Table1[[#This Row],[Accepted_Campaign_3]])</f>
        <v>0</v>
      </c>
      <c r="AC1548">
        <v>0</v>
      </c>
      <c r="AD1548">
        <v>0</v>
      </c>
    </row>
    <row r="1549" spans="1:30" x14ac:dyDescent="0.25">
      <c r="A1549">
        <v>41273</v>
      </c>
      <c r="B1549">
        <v>378</v>
      </c>
      <c r="C1549">
        <v>1971</v>
      </c>
      <c r="D1549" t="s">
        <v>8</v>
      </c>
      <c r="E1549" t="s">
        <v>6</v>
      </c>
      <c r="F1549" t="s">
        <v>11</v>
      </c>
      <c r="G1549">
        <v>52531</v>
      </c>
      <c r="H1549">
        <v>0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f>SUM(Table1[[#This Row],[Gold Spending]]+Table1[[#This Row],[Sweet Spending]]+Table1[[#This Row],[Fish Spending]]+Table1[[#This Row],[Meat Spending]]+Table1[[#This Row],[Fruits Spending]]+Table1[[#This Row],[Wine Spending ]])</f>
        <v>794</v>
      </c>
      <c r="Q1549">
        <v>2</v>
      </c>
      <c r="R1549">
        <v>7</v>
      </c>
      <c r="S1549">
        <v>2</v>
      </c>
      <c r="T1549">
        <v>10</v>
      </c>
      <c r="U1549">
        <f>SUM(Table1[[#This Row],[Store_Purchases]]+Table1[[#This Row],[Catalog_Purchases]]+Table1[[#This Row],[Web_Purchases]]+Table1[[#This Row],[Deal_Purchases]])</f>
        <v>21</v>
      </c>
      <c r="V1549">
        <v>6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f>SUM(Table1[[#This Row],[Accepted_Campaign_2]]+Table1[[#This Row],[Accepted_Campaign_1]]+Table1[[#This Row],[Accepted_Campaign_5]]+Table1[[#This Row],[Accepted_Campaign_4]]+Table1[[#This Row],[Accepted_Campaign_3]])</f>
        <v>0</v>
      </c>
      <c r="AC1549">
        <v>0</v>
      </c>
      <c r="AD1549">
        <v>0</v>
      </c>
    </row>
    <row r="1550" spans="1:30" x14ac:dyDescent="0.25">
      <c r="A1550">
        <v>41262</v>
      </c>
      <c r="B1550">
        <v>5846</v>
      </c>
      <c r="C1550">
        <v>1977</v>
      </c>
      <c r="D1550" t="s">
        <v>16</v>
      </c>
      <c r="E1550" t="s">
        <v>6</v>
      </c>
      <c r="F1550" t="s">
        <v>7</v>
      </c>
      <c r="G1550">
        <v>40246</v>
      </c>
      <c r="H1550">
        <v>1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f>SUM(Table1[[#This Row],[Gold Spending]]+Table1[[#This Row],[Sweet Spending]]+Table1[[#This Row],[Fish Spending]]+Table1[[#This Row],[Meat Spending]]+Table1[[#This Row],[Fruits Spending]]+Table1[[#This Row],[Wine Spending ]])</f>
        <v>13</v>
      </c>
      <c r="Q1550">
        <v>1</v>
      </c>
      <c r="R1550">
        <v>1</v>
      </c>
      <c r="S1550">
        <v>0</v>
      </c>
      <c r="T1550">
        <v>2</v>
      </c>
      <c r="U1550">
        <f>SUM(Table1[[#This Row],[Store_Purchases]]+Table1[[#This Row],[Catalog_Purchases]]+Table1[[#This Row],[Web_Purchases]]+Table1[[#This Row],[Deal_Purchases]])</f>
        <v>4</v>
      </c>
      <c r="V1550">
        <v>6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f>SUM(Table1[[#This Row],[Accepted_Campaign_2]]+Table1[[#This Row],[Accepted_Campaign_1]]+Table1[[#This Row],[Accepted_Campaign_5]]+Table1[[#This Row],[Accepted_Campaign_4]]+Table1[[#This Row],[Accepted_Campaign_3]])</f>
        <v>0</v>
      </c>
      <c r="AC1550">
        <v>0</v>
      </c>
      <c r="AD1550">
        <v>0</v>
      </c>
    </row>
    <row r="1551" spans="1:30" x14ac:dyDescent="0.25">
      <c r="A1551">
        <v>41226</v>
      </c>
      <c r="B1551">
        <v>8870</v>
      </c>
      <c r="C1551">
        <v>1984</v>
      </c>
      <c r="D1551" t="s">
        <v>8</v>
      </c>
      <c r="E1551" t="s">
        <v>6</v>
      </c>
      <c r="F1551" t="s">
        <v>12</v>
      </c>
      <c r="G1551">
        <v>35196</v>
      </c>
      <c r="H1551">
        <v>1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f>SUM(Table1[[#This Row],[Gold Spending]]+Table1[[#This Row],[Sweet Spending]]+Table1[[#This Row],[Fish Spending]]+Table1[[#This Row],[Meat Spending]]+Table1[[#This Row],[Fruits Spending]]+Table1[[#This Row],[Wine Spending ]])</f>
        <v>497</v>
      </c>
      <c r="Q1551">
        <v>6</v>
      </c>
      <c r="R1551">
        <v>6</v>
      </c>
      <c r="S1551">
        <v>1</v>
      </c>
      <c r="T1551">
        <v>5</v>
      </c>
      <c r="U1551">
        <f>SUM(Table1[[#This Row],[Store_Purchases]]+Table1[[#This Row],[Catalog_Purchases]]+Table1[[#This Row],[Web_Purchases]]+Table1[[#This Row],[Deal_Purchases]])</f>
        <v>18</v>
      </c>
      <c r="V1551">
        <v>8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f>SUM(Table1[[#This Row],[Accepted_Campaign_2]]+Table1[[#This Row],[Accepted_Campaign_1]]+Table1[[#This Row],[Accepted_Campaign_5]]+Table1[[#This Row],[Accepted_Campaign_4]]+Table1[[#This Row],[Accepted_Campaign_3]])</f>
        <v>0</v>
      </c>
      <c r="AC1551">
        <v>1</v>
      </c>
      <c r="AD1551">
        <v>0</v>
      </c>
    </row>
    <row r="1552" spans="1:30" x14ac:dyDescent="0.25">
      <c r="A1552">
        <v>41226</v>
      </c>
      <c r="B1552">
        <v>10340</v>
      </c>
      <c r="C1552">
        <v>1984</v>
      </c>
      <c r="D1552" t="s">
        <v>8</v>
      </c>
      <c r="E1552" t="s">
        <v>6</v>
      </c>
      <c r="F1552" t="s">
        <v>12</v>
      </c>
      <c r="G1552">
        <v>35196</v>
      </c>
      <c r="H1552">
        <v>1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f>SUM(Table1[[#This Row],[Gold Spending]]+Table1[[#This Row],[Sweet Spending]]+Table1[[#This Row],[Fish Spending]]+Table1[[#This Row],[Meat Spending]]+Table1[[#This Row],[Fruits Spending]]+Table1[[#This Row],[Wine Spending ]])</f>
        <v>497</v>
      </c>
      <c r="Q1552">
        <v>6</v>
      </c>
      <c r="R1552">
        <v>6</v>
      </c>
      <c r="S1552">
        <v>1</v>
      </c>
      <c r="T1552">
        <v>5</v>
      </c>
      <c r="U1552">
        <f>SUM(Table1[[#This Row],[Store_Purchases]]+Table1[[#This Row],[Catalog_Purchases]]+Table1[[#This Row],[Web_Purchases]]+Table1[[#This Row],[Deal_Purchases]])</f>
        <v>18</v>
      </c>
      <c r="V1552">
        <v>8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f>SUM(Table1[[#This Row],[Accepted_Campaign_2]]+Table1[[#This Row],[Accepted_Campaign_1]]+Table1[[#This Row],[Accepted_Campaign_5]]+Table1[[#This Row],[Accepted_Campaign_4]]+Table1[[#This Row],[Accepted_Campaign_3]])</f>
        <v>0</v>
      </c>
      <c r="AC1552">
        <v>0</v>
      </c>
      <c r="AD1552">
        <v>0</v>
      </c>
    </row>
    <row r="1553" spans="1:30" x14ac:dyDescent="0.25">
      <c r="A1553">
        <v>41187</v>
      </c>
      <c r="B1553">
        <v>7290</v>
      </c>
      <c r="C1553">
        <v>1985</v>
      </c>
      <c r="D1553" t="s">
        <v>8</v>
      </c>
      <c r="E1553" t="s">
        <v>6</v>
      </c>
      <c r="F1553" t="s">
        <v>9</v>
      </c>
      <c r="G1553">
        <v>70596</v>
      </c>
      <c r="H1553">
        <v>0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f>SUM(Table1[[#This Row],[Gold Spending]]+Table1[[#This Row],[Sweet Spending]]+Table1[[#This Row],[Fish Spending]]+Table1[[#This Row],[Meat Spending]]+Table1[[#This Row],[Fruits Spending]]+Table1[[#This Row],[Wine Spending ]])</f>
        <v>968</v>
      </c>
      <c r="Q1553">
        <v>1</v>
      </c>
      <c r="R1553">
        <v>3</v>
      </c>
      <c r="S1553">
        <v>5</v>
      </c>
      <c r="T1553">
        <v>12</v>
      </c>
      <c r="U1553">
        <f>SUM(Table1[[#This Row],[Store_Purchases]]+Table1[[#This Row],[Catalog_Purchases]]+Table1[[#This Row],[Web_Purchases]]+Table1[[#This Row],[Deal_Purchases]])</f>
        <v>21</v>
      </c>
      <c r="V1553">
        <v>2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f>SUM(Table1[[#This Row],[Accepted_Campaign_2]]+Table1[[#This Row],[Accepted_Campaign_1]]+Table1[[#This Row],[Accepted_Campaign_5]]+Table1[[#This Row],[Accepted_Campaign_4]]+Table1[[#This Row],[Accepted_Campaign_3]])</f>
        <v>0</v>
      </c>
      <c r="AC1553">
        <v>0</v>
      </c>
      <c r="AD1553">
        <v>0</v>
      </c>
    </row>
    <row r="1554" spans="1:30" x14ac:dyDescent="0.25">
      <c r="A1554">
        <v>41187</v>
      </c>
      <c r="B1554">
        <v>8895</v>
      </c>
      <c r="C1554">
        <v>1985</v>
      </c>
      <c r="D1554" t="s">
        <v>8</v>
      </c>
      <c r="E1554" t="s">
        <v>6</v>
      </c>
      <c r="F1554" t="s">
        <v>9</v>
      </c>
      <c r="G1554">
        <v>70596</v>
      </c>
      <c r="H1554">
        <v>0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f>SUM(Table1[[#This Row],[Gold Spending]]+Table1[[#This Row],[Sweet Spending]]+Table1[[#This Row],[Fish Spending]]+Table1[[#This Row],[Meat Spending]]+Table1[[#This Row],[Fruits Spending]]+Table1[[#This Row],[Wine Spending ]])</f>
        <v>968</v>
      </c>
      <c r="Q1554">
        <v>1</v>
      </c>
      <c r="R1554">
        <v>3</v>
      </c>
      <c r="S1554">
        <v>5</v>
      </c>
      <c r="T1554">
        <v>12</v>
      </c>
      <c r="U1554">
        <f>SUM(Table1[[#This Row],[Store_Purchases]]+Table1[[#This Row],[Catalog_Purchases]]+Table1[[#This Row],[Web_Purchases]]+Table1[[#This Row],[Deal_Purchases]])</f>
        <v>21</v>
      </c>
      <c r="V1554">
        <v>2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f>SUM(Table1[[#This Row],[Accepted_Campaign_2]]+Table1[[#This Row],[Accepted_Campaign_1]]+Table1[[#This Row],[Accepted_Campaign_5]]+Table1[[#This Row],[Accepted_Campaign_4]]+Table1[[#This Row],[Accepted_Campaign_3]])</f>
        <v>0</v>
      </c>
      <c r="AC1554">
        <v>0</v>
      </c>
      <c r="AD1554">
        <v>0</v>
      </c>
    </row>
    <row r="1555" spans="1:30" x14ac:dyDescent="0.25">
      <c r="A1555">
        <v>41766</v>
      </c>
      <c r="B1555">
        <v>3635</v>
      </c>
      <c r="C1555">
        <v>1962</v>
      </c>
      <c r="D1555" t="s">
        <v>20</v>
      </c>
      <c r="E1555" t="s">
        <v>14</v>
      </c>
      <c r="F1555" t="s">
        <v>9</v>
      </c>
      <c r="G1555">
        <v>52597</v>
      </c>
      <c r="H1555">
        <v>1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f>SUM(Table1[[#This Row],[Gold Spending]]+Table1[[#This Row],[Sweet Spending]]+Table1[[#This Row],[Fish Spending]]+Table1[[#This Row],[Meat Spending]]+Table1[[#This Row],[Fruits Spending]]+Table1[[#This Row],[Wine Spending ]])</f>
        <v>578</v>
      </c>
      <c r="Q1555">
        <v>3</v>
      </c>
      <c r="R1555">
        <v>6</v>
      </c>
      <c r="S1555">
        <v>3</v>
      </c>
      <c r="T1555">
        <v>8</v>
      </c>
      <c r="U1555">
        <f>SUM(Table1[[#This Row],[Store_Purchases]]+Table1[[#This Row],[Catalog_Purchases]]+Table1[[#This Row],[Web_Purchases]]+Table1[[#This Row],[Deal_Purchases]])</f>
        <v>20</v>
      </c>
      <c r="V1555">
        <v>5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f>SUM(Table1[[#This Row],[Accepted_Campaign_2]]+Table1[[#This Row],[Accepted_Campaign_1]]+Table1[[#This Row],[Accepted_Campaign_5]]+Table1[[#This Row],[Accepted_Campaign_4]]+Table1[[#This Row],[Accepted_Campaign_3]])</f>
        <v>0</v>
      </c>
      <c r="AC1555">
        <v>0</v>
      </c>
      <c r="AD1555">
        <v>0</v>
      </c>
    </row>
    <row r="1556" spans="1:30" x14ac:dyDescent="0.25">
      <c r="A1556">
        <v>41721</v>
      </c>
      <c r="B1556">
        <v>11178</v>
      </c>
      <c r="C1556">
        <v>1972</v>
      </c>
      <c r="D1556" t="s">
        <v>16</v>
      </c>
      <c r="E1556" t="s">
        <v>18</v>
      </c>
      <c r="F1556" t="s">
        <v>9</v>
      </c>
      <c r="G1556">
        <v>42394</v>
      </c>
      <c r="H1556">
        <v>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f>SUM(Table1[[#This Row],[Gold Spending]]+Table1[[#This Row],[Sweet Spending]]+Table1[[#This Row],[Fish Spending]]+Table1[[#This Row],[Meat Spending]]+Table1[[#This Row],[Fruits Spending]]+Table1[[#This Row],[Wine Spending ]])</f>
        <v>32</v>
      </c>
      <c r="Q1556">
        <v>1</v>
      </c>
      <c r="R1556">
        <v>1</v>
      </c>
      <c r="S1556">
        <v>0</v>
      </c>
      <c r="T1556">
        <v>3</v>
      </c>
      <c r="U1556">
        <f>SUM(Table1[[#This Row],[Store_Purchases]]+Table1[[#This Row],[Catalog_Purchases]]+Table1[[#This Row],[Web_Purchases]]+Table1[[#This Row],[Deal_Purchases]])</f>
        <v>5</v>
      </c>
      <c r="V1556">
        <v>7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f>SUM(Table1[[#This Row],[Accepted_Campaign_2]]+Table1[[#This Row],[Accepted_Campaign_1]]+Table1[[#This Row],[Accepted_Campaign_5]]+Table1[[#This Row],[Accepted_Campaign_4]]+Table1[[#This Row],[Accepted_Campaign_3]])</f>
        <v>0</v>
      </c>
      <c r="AC1556">
        <v>0</v>
      </c>
      <c r="AD1556">
        <v>0</v>
      </c>
    </row>
    <row r="1557" spans="1:30" x14ac:dyDescent="0.25">
      <c r="A1557">
        <v>41661</v>
      </c>
      <c r="B1557">
        <v>2410</v>
      </c>
      <c r="C1557">
        <v>1969</v>
      </c>
      <c r="D1557" t="s">
        <v>8</v>
      </c>
      <c r="E1557" t="s">
        <v>6</v>
      </c>
      <c r="F1557" t="s">
        <v>9</v>
      </c>
      <c r="G1557">
        <v>81657</v>
      </c>
      <c r="H1557">
        <v>0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f>SUM(Table1[[#This Row],[Gold Spending]]+Table1[[#This Row],[Sweet Spending]]+Table1[[#This Row],[Fish Spending]]+Table1[[#This Row],[Meat Spending]]+Table1[[#This Row],[Fruits Spending]]+Table1[[#This Row],[Wine Spending ]])</f>
        <v>1097</v>
      </c>
      <c r="Q1557">
        <v>1</v>
      </c>
      <c r="R1557">
        <v>3</v>
      </c>
      <c r="S1557">
        <v>4</v>
      </c>
      <c r="T1557">
        <v>8</v>
      </c>
      <c r="U1557">
        <f>SUM(Table1[[#This Row],[Store_Purchases]]+Table1[[#This Row],[Catalog_Purchases]]+Table1[[#This Row],[Web_Purchases]]+Table1[[#This Row],[Deal_Purchases]])</f>
        <v>16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f>SUM(Table1[[#This Row],[Accepted_Campaign_2]]+Table1[[#This Row],[Accepted_Campaign_1]]+Table1[[#This Row],[Accepted_Campaign_5]]+Table1[[#This Row],[Accepted_Campaign_4]]+Table1[[#This Row],[Accepted_Campaign_3]])</f>
        <v>0</v>
      </c>
      <c r="AC1557">
        <v>0</v>
      </c>
      <c r="AD1557">
        <v>0</v>
      </c>
    </row>
    <row r="1558" spans="1:30" x14ac:dyDescent="0.25">
      <c r="A1558">
        <v>41581</v>
      </c>
      <c r="B1558">
        <v>3281</v>
      </c>
      <c r="C1558">
        <v>1960</v>
      </c>
      <c r="D1558" t="s">
        <v>8</v>
      </c>
      <c r="E1558" t="s">
        <v>14</v>
      </c>
      <c r="F1558" t="s">
        <v>11</v>
      </c>
      <c r="G1558">
        <v>49154</v>
      </c>
      <c r="H1558">
        <v>2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f>SUM(Table1[[#This Row],[Gold Spending]]+Table1[[#This Row],[Sweet Spending]]+Table1[[#This Row],[Fish Spending]]+Table1[[#This Row],[Meat Spending]]+Table1[[#This Row],[Fruits Spending]]+Table1[[#This Row],[Wine Spending ]])</f>
        <v>411</v>
      </c>
      <c r="Q1558">
        <v>6</v>
      </c>
      <c r="R1558">
        <v>4</v>
      </c>
      <c r="S1558">
        <v>1</v>
      </c>
      <c r="T1558">
        <v>8</v>
      </c>
      <c r="U1558">
        <f>SUM(Table1[[#This Row],[Store_Purchases]]+Table1[[#This Row],[Catalog_Purchases]]+Table1[[#This Row],[Web_Purchases]]+Table1[[#This Row],[Deal_Purchases]])</f>
        <v>19</v>
      </c>
      <c r="V1558">
        <v>6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f>SUM(Table1[[#This Row],[Accepted_Campaign_2]]+Table1[[#This Row],[Accepted_Campaign_1]]+Table1[[#This Row],[Accepted_Campaign_5]]+Table1[[#This Row],[Accepted_Campaign_4]]+Table1[[#This Row],[Accepted_Campaign_3]])</f>
        <v>0</v>
      </c>
      <c r="AC1558">
        <v>0</v>
      </c>
      <c r="AD1558">
        <v>0</v>
      </c>
    </row>
    <row r="1559" spans="1:30" x14ac:dyDescent="0.25">
      <c r="A1559">
        <v>41468</v>
      </c>
      <c r="B1559">
        <v>9905</v>
      </c>
      <c r="C1559">
        <v>1952</v>
      </c>
      <c r="D1559" t="s">
        <v>8</v>
      </c>
      <c r="E1559" t="s">
        <v>6</v>
      </c>
      <c r="F1559" t="s">
        <v>12</v>
      </c>
      <c r="G1559">
        <v>34074</v>
      </c>
      <c r="H1559">
        <v>2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f>SUM(Table1[[#This Row],[Gold Spending]]+Table1[[#This Row],[Sweet Spending]]+Table1[[#This Row],[Fish Spending]]+Table1[[#This Row],[Meat Spending]]+Table1[[#This Row],[Fruits Spending]]+Table1[[#This Row],[Wine Spending ]])</f>
        <v>255</v>
      </c>
      <c r="Q1559">
        <v>5</v>
      </c>
      <c r="R1559">
        <v>3</v>
      </c>
      <c r="S1559">
        <v>3</v>
      </c>
      <c r="T1559">
        <v>3</v>
      </c>
      <c r="U1559">
        <f>SUM(Table1[[#This Row],[Store_Purchases]]+Table1[[#This Row],[Catalog_Purchases]]+Table1[[#This Row],[Web_Purchases]]+Table1[[#This Row],[Deal_Purchases]])</f>
        <v>14</v>
      </c>
      <c r="V1559">
        <v>6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f>SUM(Table1[[#This Row],[Accepted_Campaign_2]]+Table1[[#This Row],[Accepted_Campaign_1]]+Table1[[#This Row],[Accepted_Campaign_5]]+Table1[[#This Row],[Accepted_Campaign_4]]+Table1[[#This Row],[Accepted_Campaign_3]])</f>
        <v>1</v>
      </c>
      <c r="AC1559">
        <v>0</v>
      </c>
      <c r="AD1559">
        <v>0</v>
      </c>
    </row>
    <row r="1560" spans="1:30" x14ac:dyDescent="0.25">
      <c r="A1560">
        <v>41428</v>
      </c>
      <c r="B1560">
        <v>2437</v>
      </c>
      <c r="C1560">
        <v>1989</v>
      </c>
      <c r="D1560" t="s">
        <v>8</v>
      </c>
      <c r="E1560" t="s">
        <v>6</v>
      </c>
      <c r="F1560" t="s">
        <v>11</v>
      </c>
      <c r="G1560">
        <v>53790.45</v>
      </c>
      <c r="H1560">
        <v>0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f>SUM(Table1[[#This Row],[Gold Spending]]+Table1[[#This Row],[Sweet Spending]]+Table1[[#This Row],[Fish Spending]]+Table1[[#This Row],[Meat Spending]]+Table1[[#This Row],[Fruits Spending]]+Table1[[#This Row],[Wine Spending ]])</f>
        <v>1611</v>
      </c>
      <c r="Q1560">
        <v>1</v>
      </c>
      <c r="R1560">
        <v>6</v>
      </c>
      <c r="S1560">
        <v>5</v>
      </c>
      <c r="T1560">
        <v>12</v>
      </c>
      <c r="U1560">
        <f>SUM(Table1[[#This Row],[Store_Purchases]]+Table1[[#This Row],[Catalog_Purchases]]+Table1[[#This Row],[Web_Purchases]]+Table1[[#This Row],[Deal_Purchases]])</f>
        <v>24</v>
      </c>
      <c r="V1560">
        <v>3</v>
      </c>
      <c r="W1560">
        <v>0</v>
      </c>
      <c r="X1560">
        <v>1</v>
      </c>
      <c r="Y1560">
        <v>0</v>
      </c>
      <c r="Z1560">
        <v>1</v>
      </c>
      <c r="AA1560">
        <v>0</v>
      </c>
      <c r="AB1560">
        <f>SUM(Table1[[#This Row],[Accepted_Campaign_2]]+Table1[[#This Row],[Accepted_Campaign_1]]+Table1[[#This Row],[Accepted_Campaign_5]]+Table1[[#This Row],[Accepted_Campaign_4]]+Table1[[#This Row],[Accepted_Campaign_3]])</f>
        <v>2</v>
      </c>
      <c r="AC1560">
        <v>0</v>
      </c>
      <c r="AD1560">
        <v>0</v>
      </c>
    </row>
    <row r="1561" spans="1:30" x14ac:dyDescent="0.25">
      <c r="A1561">
        <v>41426</v>
      </c>
      <c r="B1561">
        <v>2565</v>
      </c>
      <c r="C1561">
        <v>1955</v>
      </c>
      <c r="D1561" t="s">
        <v>20</v>
      </c>
      <c r="E1561" t="s">
        <v>18</v>
      </c>
      <c r="F1561" t="s">
        <v>7</v>
      </c>
      <c r="G1561">
        <v>70638</v>
      </c>
      <c r="H1561">
        <v>0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f>SUM(Table1[[#This Row],[Gold Spending]]+Table1[[#This Row],[Sweet Spending]]+Table1[[#This Row],[Fish Spending]]+Table1[[#This Row],[Meat Spending]]+Table1[[#This Row],[Fruits Spending]]+Table1[[#This Row],[Wine Spending ]])</f>
        <v>1334</v>
      </c>
      <c r="Q1561">
        <v>1</v>
      </c>
      <c r="R1561">
        <v>4</v>
      </c>
      <c r="S1561">
        <v>5</v>
      </c>
      <c r="T1561">
        <v>10</v>
      </c>
      <c r="U1561">
        <f>SUM(Table1[[#This Row],[Store_Purchases]]+Table1[[#This Row],[Catalog_Purchases]]+Table1[[#This Row],[Web_Purchases]]+Table1[[#This Row],[Deal_Purchases]])</f>
        <v>20</v>
      </c>
      <c r="V1561">
        <v>3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f>SUM(Table1[[#This Row],[Accepted_Campaign_2]]+Table1[[#This Row],[Accepted_Campaign_1]]+Table1[[#This Row],[Accepted_Campaign_5]]+Table1[[#This Row],[Accepted_Campaign_4]]+Table1[[#This Row],[Accepted_Campaign_3]])</f>
        <v>1</v>
      </c>
      <c r="AC1561">
        <v>0</v>
      </c>
      <c r="AD1561">
        <v>0</v>
      </c>
    </row>
    <row r="1562" spans="1:30" x14ac:dyDescent="0.25">
      <c r="A1562">
        <v>41386</v>
      </c>
      <c r="B1562">
        <v>7912</v>
      </c>
      <c r="C1562">
        <v>1978</v>
      </c>
      <c r="D1562" t="s">
        <v>63</v>
      </c>
      <c r="E1562" t="s">
        <v>6</v>
      </c>
      <c r="F1562" t="s">
        <v>11</v>
      </c>
      <c r="G1562">
        <v>38136</v>
      </c>
      <c r="H1562">
        <v>1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f>SUM(Table1[[#This Row],[Gold Spending]]+Table1[[#This Row],[Sweet Spending]]+Table1[[#This Row],[Fish Spending]]+Table1[[#This Row],[Meat Spending]]+Table1[[#This Row],[Fruits Spending]]+Table1[[#This Row],[Wine Spending ]])</f>
        <v>103</v>
      </c>
      <c r="Q1562">
        <v>2</v>
      </c>
      <c r="R1562">
        <v>3</v>
      </c>
      <c r="S1562">
        <v>1</v>
      </c>
      <c r="T1562">
        <v>2</v>
      </c>
      <c r="U1562">
        <f>SUM(Table1[[#This Row],[Store_Purchases]]+Table1[[#This Row],[Catalog_Purchases]]+Table1[[#This Row],[Web_Purchases]]+Table1[[#This Row],[Deal_Purchases]])</f>
        <v>8</v>
      </c>
      <c r="V1562">
        <v>8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f>SUM(Table1[[#This Row],[Accepted_Campaign_2]]+Table1[[#This Row],[Accepted_Campaign_1]]+Table1[[#This Row],[Accepted_Campaign_5]]+Table1[[#This Row],[Accepted_Campaign_4]]+Table1[[#This Row],[Accepted_Campaign_3]])</f>
        <v>1</v>
      </c>
      <c r="AC1562">
        <v>0</v>
      </c>
      <c r="AD1562">
        <v>0</v>
      </c>
    </row>
    <row r="1563" spans="1:30" x14ac:dyDescent="0.25">
      <c r="A1563">
        <v>41362</v>
      </c>
      <c r="B1563">
        <v>7072</v>
      </c>
      <c r="C1563">
        <v>1973</v>
      </c>
      <c r="D1563" t="s">
        <v>13</v>
      </c>
      <c r="E1563" t="s">
        <v>6</v>
      </c>
      <c r="F1563" t="s">
        <v>11</v>
      </c>
      <c r="G1563">
        <v>67432</v>
      </c>
      <c r="H1563">
        <v>1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f>SUM(Table1[[#This Row],[Gold Spending]]+Table1[[#This Row],[Sweet Spending]]+Table1[[#This Row],[Fish Spending]]+Table1[[#This Row],[Meat Spending]]+Table1[[#This Row],[Fruits Spending]]+Table1[[#This Row],[Wine Spending ]])</f>
        <v>1335</v>
      </c>
      <c r="Q1563">
        <v>2</v>
      </c>
      <c r="R1563">
        <v>8</v>
      </c>
      <c r="S1563">
        <v>5</v>
      </c>
      <c r="T1563">
        <v>4</v>
      </c>
      <c r="U1563">
        <f>SUM(Table1[[#This Row],[Store_Purchases]]+Table1[[#This Row],[Catalog_Purchases]]+Table1[[#This Row],[Web_Purchases]]+Table1[[#This Row],[Deal_Purchases]])</f>
        <v>19</v>
      </c>
      <c r="V1563">
        <v>4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f>SUM(Table1[[#This Row],[Accepted_Campaign_2]]+Table1[[#This Row],[Accepted_Campaign_1]]+Table1[[#This Row],[Accepted_Campaign_5]]+Table1[[#This Row],[Accepted_Campaign_4]]+Table1[[#This Row],[Accepted_Campaign_3]])</f>
        <v>0</v>
      </c>
      <c r="AC1563">
        <v>0</v>
      </c>
      <c r="AD1563">
        <v>0</v>
      </c>
    </row>
    <row r="1564" spans="1:30" x14ac:dyDescent="0.25">
      <c r="A1564">
        <v>41351</v>
      </c>
      <c r="B1564">
        <v>1409</v>
      </c>
      <c r="C1564">
        <v>1951</v>
      </c>
      <c r="D1564" t="s">
        <v>63</v>
      </c>
      <c r="E1564" t="s">
        <v>6</v>
      </c>
      <c r="F1564" t="s">
        <v>12</v>
      </c>
      <c r="G1564">
        <v>40689</v>
      </c>
      <c r="H1564">
        <v>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f>SUM(Table1[[#This Row],[Gold Spending]]+Table1[[#This Row],[Sweet Spending]]+Table1[[#This Row],[Fish Spending]]+Table1[[#This Row],[Meat Spending]]+Table1[[#This Row],[Fruits Spending]]+Table1[[#This Row],[Wine Spending ]])</f>
        <v>444</v>
      </c>
      <c r="Q1564">
        <v>7</v>
      </c>
      <c r="R1564">
        <v>7</v>
      </c>
      <c r="S1564">
        <v>1</v>
      </c>
      <c r="T1564">
        <v>5</v>
      </c>
      <c r="U1564">
        <f>SUM(Table1[[#This Row],[Store_Purchases]]+Table1[[#This Row],[Catalog_Purchases]]+Table1[[#This Row],[Web_Purchases]]+Table1[[#This Row],[Deal_Purchases]])</f>
        <v>20</v>
      </c>
      <c r="V1564">
        <v>8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f>SUM(Table1[[#This Row],[Accepted_Campaign_2]]+Table1[[#This Row],[Accepted_Campaign_1]]+Table1[[#This Row],[Accepted_Campaign_5]]+Table1[[#This Row],[Accepted_Campaign_4]]+Table1[[#This Row],[Accepted_Campaign_3]])</f>
        <v>0</v>
      </c>
      <c r="AC1564">
        <v>0</v>
      </c>
      <c r="AD1564">
        <v>0</v>
      </c>
    </row>
    <row r="1565" spans="1:30" x14ac:dyDescent="0.25">
      <c r="A1565">
        <v>41351</v>
      </c>
      <c r="B1565">
        <v>5314</v>
      </c>
      <c r="C1565">
        <v>1951</v>
      </c>
      <c r="D1565" t="s">
        <v>8</v>
      </c>
      <c r="E1565" t="s">
        <v>6</v>
      </c>
      <c r="F1565" t="s">
        <v>12</v>
      </c>
      <c r="G1565">
        <v>40689</v>
      </c>
      <c r="H1565">
        <v>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f>SUM(Table1[[#This Row],[Gold Spending]]+Table1[[#This Row],[Sweet Spending]]+Table1[[#This Row],[Fish Spending]]+Table1[[#This Row],[Meat Spending]]+Table1[[#This Row],[Fruits Spending]]+Table1[[#This Row],[Wine Spending ]])</f>
        <v>444</v>
      </c>
      <c r="Q1565">
        <v>7</v>
      </c>
      <c r="R1565">
        <v>7</v>
      </c>
      <c r="S1565">
        <v>1</v>
      </c>
      <c r="T1565">
        <v>5</v>
      </c>
      <c r="U1565">
        <f>SUM(Table1[[#This Row],[Store_Purchases]]+Table1[[#This Row],[Catalog_Purchases]]+Table1[[#This Row],[Web_Purchases]]+Table1[[#This Row],[Deal_Purchases]])</f>
        <v>20</v>
      </c>
      <c r="V1565">
        <v>8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f>SUM(Table1[[#This Row],[Accepted_Campaign_2]]+Table1[[#This Row],[Accepted_Campaign_1]]+Table1[[#This Row],[Accepted_Campaign_5]]+Table1[[#This Row],[Accepted_Campaign_4]]+Table1[[#This Row],[Accepted_Campaign_3]])</f>
        <v>0</v>
      </c>
      <c r="AC1565">
        <v>0</v>
      </c>
      <c r="AD1565">
        <v>0</v>
      </c>
    </row>
    <row r="1566" spans="1:30" x14ac:dyDescent="0.25">
      <c r="A1566">
        <v>41345</v>
      </c>
      <c r="B1566">
        <v>7215</v>
      </c>
      <c r="C1566">
        <v>1983</v>
      </c>
      <c r="D1566" t="s">
        <v>10</v>
      </c>
      <c r="E1566" t="s">
        <v>6</v>
      </c>
      <c r="F1566" t="s">
        <v>9</v>
      </c>
      <c r="G1566">
        <v>101970</v>
      </c>
      <c r="H1566">
        <v>0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f>SUM(Table1[[#This Row],[Gold Spending]]+Table1[[#This Row],[Sweet Spending]]+Table1[[#This Row],[Fish Spending]]+Table1[[#This Row],[Meat Spending]]+Table1[[#This Row],[Fruits Spending]]+Table1[[#This Row],[Wine Spending ]])</f>
        <v>1135</v>
      </c>
      <c r="Q1566">
        <v>0</v>
      </c>
      <c r="R1566">
        <v>6</v>
      </c>
      <c r="S1566">
        <v>8</v>
      </c>
      <c r="T1566">
        <v>13</v>
      </c>
      <c r="U1566">
        <f>SUM(Table1[[#This Row],[Store_Purchases]]+Table1[[#This Row],[Catalog_Purchases]]+Table1[[#This Row],[Web_Purchases]]+Table1[[#This Row],[Deal_Purchases]])</f>
        <v>27</v>
      </c>
      <c r="V1566">
        <v>2</v>
      </c>
      <c r="W1566">
        <v>0</v>
      </c>
      <c r="X1566">
        <v>1</v>
      </c>
      <c r="Y1566">
        <v>1</v>
      </c>
      <c r="Z1566">
        <v>1</v>
      </c>
      <c r="AA1566">
        <v>0</v>
      </c>
      <c r="AB1566">
        <f>SUM(Table1[[#This Row],[Accepted_Campaign_2]]+Table1[[#This Row],[Accepted_Campaign_1]]+Table1[[#This Row],[Accepted_Campaign_5]]+Table1[[#This Row],[Accepted_Campaign_4]]+Table1[[#This Row],[Accepted_Campaign_3]])</f>
        <v>3</v>
      </c>
      <c r="AC1566">
        <v>1</v>
      </c>
      <c r="AD1566">
        <v>0</v>
      </c>
    </row>
    <row r="1567" spans="1:30" x14ac:dyDescent="0.25">
      <c r="A1567">
        <v>41340</v>
      </c>
      <c r="B1567">
        <v>8858</v>
      </c>
      <c r="C1567">
        <v>1972</v>
      </c>
      <c r="D1567" t="s">
        <v>10</v>
      </c>
      <c r="E1567" t="s">
        <v>14</v>
      </c>
      <c r="F1567" t="s">
        <v>11</v>
      </c>
      <c r="G1567">
        <v>44325</v>
      </c>
      <c r="H1567">
        <v>1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f>SUM(Table1[[#This Row],[Gold Spending]]+Table1[[#This Row],[Sweet Spending]]+Table1[[#This Row],[Fish Spending]]+Table1[[#This Row],[Meat Spending]]+Table1[[#This Row],[Fruits Spending]]+Table1[[#This Row],[Wine Spending ]])</f>
        <v>542</v>
      </c>
      <c r="Q1567">
        <v>4</v>
      </c>
      <c r="R1567">
        <v>8</v>
      </c>
      <c r="S1567">
        <v>2</v>
      </c>
      <c r="T1567">
        <v>7</v>
      </c>
      <c r="U1567">
        <f>SUM(Table1[[#This Row],[Store_Purchases]]+Table1[[#This Row],[Catalog_Purchases]]+Table1[[#This Row],[Web_Purchases]]+Table1[[#This Row],[Deal_Purchases]])</f>
        <v>21</v>
      </c>
      <c r="V1567">
        <v>8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f>SUM(Table1[[#This Row],[Accepted_Campaign_2]]+Table1[[#This Row],[Accepted_Campaign_1]]+Table1[[#This Row],[Accepted_Campaign_5]]+Table1[[#This Row],[Accepted_Campaign_4]]+Table1[[#This Row],[Accepted_Campaign_3]])</f>
        <v>1</v>
      </c>
      <c r="AC1567">
        <v>0</v>
      </c>
      <c r="AD1567">
        <v>0</v>
      </c>
    </row>
    <row r="1568" spans="1:30" x14ac:dyDescent="0.25">
      <c r="A1568">
        <v>41252</v>
      </c>
      <c r="B1568">
        <v>895</v>
      </c>
      <c r="C1568">
        <v>1948</v>
      </c>
      <c r="D1568" t="s">
        <v>8</v>
      </c>
      <c r="E1568" t="s">
        <v>14</v>
      </c>
      <c r="F1568" t="s">
        <v>11</v>
      </c>
      <c r="G1568">
        <v>61467</v>
      </c>
      <c r="H1568">
        <v>2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f>SUM(Table1[[#This Row],[Gold Spending]]+Table1[[#This Row],[Sweet Spending]]+Table1[[#This Row],[Fish Spending]]+Table1[[#This Row],[Meat Spending]]+Table1[[#This Row],[Fruits Spending]]+Table1[[#This Row],[Wine Spending ]])</f>
        <v>594</v>
      </c>
      <c r="Q1568">
        <v>3</v>
      </c>
      <c r="R1568">
        <v>5</v>
      </c>
      <c r="S1568">
        <v>2</v>
      </c>
      <c r="T1568">
        <v>10</v>
      </c>
      <c r="U1568">
        <f>SUM(Table1[[#This Row],[Store_Purchases]]+Table1[[#This Row],[Catalog_Purchases]]+Table1[[#This Row],[Web_Purchases]]+Table1[[#This Row],[Deal_Purchases]])</f>
        <v>20</v>
      </c>
      <c r="V1568">
        <v>5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f>SUM(Table1[[#This Row],[Accepted_Campaign_2]]+Table1[[#This Row],[Accepted_Campaign_1]]+Table1[[#This Row],[Accepted_Campaign_5]]+Table1[[#This Row],[Accepted_Campaign_4]]+Table1[[#This Row],[Accepted_Campaign_3]])</f>
        <v>0</v>
      </c>
      <c r="AC1568">
        <v>0</v>
      </c>
      <c r="AD1568">
        <v>0</v>
      </c>
    </row>
    <row r="1569" spans="1:30" x14ac:dyDescent="0.25">
      <c r="A1569">
        <v>41210</v>
      </c>
      <c r="B1569">
        <v>10313</v>
      </c>
      <c r="C1569">
        <v>1975</v>
      </c>
      <c r="D1569" t="s">
        <v>8</v>
      </c>
      <c r="E1569" t="s">
        <v>6</v>
      </c>
      <c r="F1569" t="s">
        <v>11</v>
      </c>
      <c r="G1569">
        <v>48178</v>
      </c>
      <c r="H1569">
        <v>2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f>SUM(Table1[[#This Row],[Gold Spending]]+Table1[[#This Row],[Sweet Spending]]+Table1[[#This Row],[Fish Spending]]+Table1[[#This Row],[Meat Spending]]+Table1[[#This Row],[Fruits Spending]]+Table1[[#This Row],[Wine Spending ]])</f>
        <v>254</v>
      </c>
      <c r="Q1569">
        <v>6</v>
      </c>
      <c r="R1569">
        <v>5</v>
      </c>
      <c r="S1569">
        <v>1</v>
      </c>
      <c r="T1569">
        <v>4</v>
      </c>
      <c r="U1569">
        <f>SUM(Table1[[#This Row],[Store_Purchases]]+Table1[[#This Row],[Catalog_Purchases]]+Table1[[#This Row],[Web_Purchases]]+Table1[[#This Row],[Deal_Purchases]])</f>
        <v>16</v>
      </c>
      <c r="V1569">
        <v>8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f>SUM(Table1[[#This Row],[Accepted_Campaign_2]]+Table1[[#This Row],[Accepted_Campaign_1]]+Table1[[#This Row],[Accepted_Campaign_5]]+Table1[[#This Row],[Accepted_Campaign_4]]+Table1[[#This Row],[Accepted_Campaign_3]])</f>
        <v>0</v>
      </c>
      <c r="AC1569">
        <v>0</v>
      </c>
      <c r="AD1569">
        <v>0</v>
      </c>
    </row>
    <row r="1570" spans="1:30" x14ac:dyDescent="0.25">
      <c r="A1570">
        <v>41135</v>
      </c>
      <c r="B1570">
        <v>642</v>
      </c>
      <c r="C1570">
        <v>1980</v>
      </c>
      <c r="D1570" t="s">
        <v>10</v>
      </c>
      <c r="E1570" t="s">
        <v>21</v>
      </c>
      <c r="F1570" t="s">
        <v>11</v>
      </c>
      <c r="G1570">
        <v>16005</v>
      </c>
      <c r="H1570">
        <v>1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f>SUM(Table1[[#This Row],[Gold Spending]]+Table1[[#This Row],[Sweet Spending]]+Table1[[#This Row],[Fish Spending]]+Table1[[#This Row],[Meat Spending]]+Table1[[#This Row],[Fruits Spending]]+Table1[[#This Row],[Wine Spending ]])</f>
        <v>103</v>
      </c>
      <c r="Q1570">
        <v>3</v>
      </c>
      <c r="R1570">
        <v>2</v>
      </c>
      <c r="S1570">
        <v>1</v>
      </c>
      <c r="T1570">
        <v>2</v>
      </c>
      <c r="U1570">
        <f>SUM(Table1[[#This Row],[Store_Purchases]]+Table1[[#This Row],[Catalog_Purchases]]+Table1[[#This Row],[Web_Purchases]]+Table1[[#This Row],[Deal_Purchases]])</f>
        <v>8</v>
      </c>
      <c r="V1570">
        <v>8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f>SUM(Table1[[#This Row],[Accepted_Campaign_2]]+Table1[[#This Row],[Accepted_Campaign_1]]+Table1[[#This Row],[Accepted_Campaign_5]]+Table1[[#This Row],[Accepted_Campaign_4]]+Table1[[#This Row],[Accepted_Campaign_3]])</f>
        <v>0</v>
      </c>
      <c r="AC1570">
        <v>0</v>
      </c>
      <c r="AD1570">
        <v>0</v>
      </c>
    </row>
    <row r="1571" spans="1:30" x14ac:dyDescent="0.25">
      <c r="A1571">
        <v>41771</v>
      </c>
      <c r="B1571">
        <v>8504</v>
      </c>
      <c r="C1571">
        <v>1973</v>
      </c>
      <c r="D1571" t="s">
        <v>16</v>
      </c>
      <c r="E1571" t="s">
        <v>6</v>
      </c>
      <c r="F1571" t="s">
        <v>11</v>
      </c>
      <c r="G1571">
        <v>79593</v>
      </c>
      <c r="H1571">
        <v>0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f>SUM(Table1[[#This Row],[Gold Spending]]+Table1[[#This Row],[Sweet Spending]]+Table1[[#This Row],[Fish Spending]]+Table1[[#This Row],[Meat Spending]]+Table1[[#This Row],[Fruits Spending]]+Table1[[#This Row],[Wine Spending ]])</f>
        <v>1366</v>
      </c>
      <c r="Q1571">
        <v>1</v>
      </c>
      <c r="R1571">
        <v>5</v>
      </c>
      <c r="S1571">
        <v>6</v>
      </c>
      <c r="T1571">
        <v>7</v>
      </c>
      <c r="U1571">
        <f>SUM(Table1[[#This Row],[Store_Purchases]]+Table1[[#This Row],[Catalog_Purchases]]+Table1[[#This Row],[Web_Purchases]]+Table1[[#This Row],[Deal_Purchases]])</f>
        <v>19</v>
      </c>
      <c r="V1571">
        <v>2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f>SUM(Table1[[#This Row],[Accepted_Campaign_2]]+Table1[[#This Row],[Accepted_Campaign_1]]+Table1[[#This Row],[Accepted_Campaign_5]]+Table1[[#This Row],[Accepted_Campaign_4]]+Table1[[#This Row],[Accepted_Campaign_3]])</f>
        <v>1</v>
      </c>
      <c r="AC1571">
        <v>0</v>
      </c>
      <c r="AD1571">
        <v>0</v>
      </c>
    </row>
    <row r="1572" spans="1:30" x14ac:dyDescent="0.25">
      <c r="A1572">
        <v>41771</v>
      </c>
      <c r="B1572">
        <v>1020</v>
      </c>
      <c r="C1572">
        <v>1973</v>
      </c>
      <c r="D1572" t="s">
        <v>8</v>
      </c>
      <c r="E1572" t="s">
        <v>6</v>
      </c>
      <c r="F1572" t="s">
        <v>11</v>
      </c>
      <c r="G1572">
        <v>79593</v>
      </c>
      <c r="H1572">
        <v>0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f>SUM(Table1[[#This Row],[Gold Spending]]+Table1[[#This Row],[Sweet Spending]]+Table1[[#This Row],[Fish Spending]]+Table1[[#This Row],[Meat Spending]]+Table1[[#This Row],[Fruits Spending]]+Table1[[#This Row],[Wine Spending ]])</f>
        <v>1366</v>
      </c>
      <c r="Q1572">
        <v>1</v>
      </c>
      <c r="R1572">
        <v>5</v>
      </c>
      <c r="S1572">
        <v>6</v>
      </c>
      <c r="T1572">
        <v>7</v>
      </c>
      <c r="U1572">
        <f>SUM(Table1[[#This Row],[Store_Purchases]]+Table1[[#This Row],[Catalog_Purchases]]+Table1[[#This Row],[Web_Purchases]]+Table1[[#This Row],[Deal_Purchases]])</f>
        <v>19</v>
      </c>
      <c r="V1572">
        <v>2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f>SUM(Table1[[#This Row],[Accepted_Campaign_2]]+Table1[[#This Row],[Accepted_Campaign_1]]+Table1[[#This Row],[Accepted_Campaign_5]]+Table1[[#This Row],[Accepted_Campaign_4]]+Table1[[#This Row],[Accepted_Campaign_3]])</f>
        <v>1</v>
      </c>
      <c r="AC1572">
        <v>0</v>
      </c>
      <c r="AD1572">
        <v>0</v>
      </c>
    </row>
    <row r="1573" spans="1:30" x14ac:dyDescent="0.25">
      <c r="A1573">
        <v>41752</v>
      </c>
      <c r="B1573">
        <v>3717</v>
      </c>
      <c r="C1573">
        <v>1959</v>
      </c>
      <c r="D1573" t="s">
        <v>8</v>
      </c>
      <c r="E1573" t="s">
        <v>6</v>
      </c>
      <c r="F1573" t="s">
        <v>11</v>
      </c>
      <c r="G1573">
        <v>61180</v>
      </c>
      <c r="H1573">
        <v>1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f>SUM(Table1[[#This Row],[Gold Spending]]+Table1[[#This Row],[Sweet Spending]]+Table1[[#This Row],[Fish Spending]]+Table1[[#This Row],[Meat Spending]]+Table1[[#This Row],[Fruits Spending]]+Table1[[#This Row],[Wine Spending ]])</f>
        <v>704</v>
      </c>
      <c r="Q1573">
        <v>2</v>
      </c>
      <c r="R1573">
        <v>5</v>
      </c>
      <c r="S1573">
        <v>5</v>
      </c>
      <c r="T1573">
        <v>6</v>
      </c>
      <c r="U1573">
        <f>SUM(Table1[[#This Row],[Store_Purchases]]+Table1[[#This Row],[Catalog_Purchases]]+Table1[[#This Row],[Web_Purchases]]+Table1[[#This Row],[Deal_Purchases]])</f>
        <v>18</v>
      </c>
      <c r="V1573">
        <v>3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f>SUM(Table1[[#This Row],[Accepted_Campaign_2]]+Table1[[#This Row],[Accepted_Campaign_1]]+Table1[[#This Row],[Accepted_Campaign_5]]+Table1[[#This Row],[Accepted_Campaign_4]]+Table1[[#This Row],[Accepted_Campaign_3]])</f>
        <v>1</v>
      </c>
      <c r="AC1573">
        <v>0</v>
      </c>
      <c r="AD1573">
        <v>0</v>
      </c>
    </row>
    <row r="1574" spans="1:30" x14ac:dyDescent="0.25">
      <c r="A1574">
        <v>41688</v>
      </c>
      <c r="B1574">
        <v>7646</v>
      </c>
      <c r="C1574">
        <v>1989</v>
      </c>
      <c r="D1574" t="s">
        <v>8</v>
      </c>
      <c r="E1574" t="s">
        <v>6</v>
      </c>
      <c r="F1574" t="s">
        <v>9</v>
      </c>
      <c r="G1574">
        <v>64449</v>
      </c>
      <c r="H1574">
        <v>1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f>SUM(Table1[[#This Row],[Gold Spending]]+Table1[[#This Row],[Sweet Spending]]+Table1[[#This Row],[Fish Spending]]+Table1[[#This Row],[Meat Spending]]+Table1[[#This Row],[Fruits Spending]]+Table1[[#This Row],[Wine Spending ]])</f>
        <v>805</v>
      </c>
      <c r="Q1574">
        <v>4</v>
      </c>
      <c r="R1574">
        <v>5</v>
      </c>
      <c r="S1574">
        <v>3</v>
      </c>
      <c r="T1574">
        <v>12</v>
      </c>
      <c r="U1574">
        <f>SUM(Table1[[#This Row],[Store_Purchases]]+Table1[[#This Row],[Catalog_Purchases]]+Table1[[#This Row],[Web_Purchases]]+Table1[[#This Row],[Deal_Purchases]])</f>
        <v>24</v>
      </c>
      <c r="V1574">
        <v>4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f>SUM(Table1[[#This Row],[Accepted_Campaign_2]]+Table1[[#This Row],[Accepted_Campaign_1]]+Table1[[#This Row],[Accepted_Campaign_5]]+Table1[[#This Row],[Accepted_Campaign_4]]+Table1[[#This Row],[Accepted_Campaign_3]])</f>
        <v>0</v>
      </c>
      <c r="AC1574">
        <v>0</v>
      </c>
      <c r="AD1574">
        <v>0</v>
      </c>
    </row>
    <row r="1575" spans="1:30" x14ac:dyDescent="0.25">
      <c r="A1575">
        <v>41604</v>
      </c>
      <c r="B1575">
        <v>5796</v>
      </c>
      <c r="C1575">
        <v>1963</v>
      </c>
      <c r="D1575" t="s">
        <v>8</v>
      </c>
      <c r="E1575" t="s">
        <v>6</v>
      </c>
      <c r="F1575" t="s">
        <v>11</v>
      </c>
      <c r="G1575">
        <v>77437</v>
      </c>
      <c r="H1575">
        <v>0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f>SUM(Table1[[#This Row],[Gold Spending]]+Table1[[#This Row],[Sweet Spending]]+Table1[[#This Row],[Fish Spending]]+Table1[[#This Row],[Meat Spending]]+Table1[[#This Row],[Fruits Spending]]+Table1[[#This Row],[Wine Spending ]])</f>
        <v>1125</v>
      </c>
      <c r="Q1575">
        <v>1</v>
      </c>
      <c r="R1575">
        <v>4</v>
      </c>
      <c r="S1575">
        <v>5</v>
      </c>
      <c r="T1575">
        <v>13</v>
      </c>
      <c r="U1575">
        <f>SUM(Table1[[#This Row],[Store_Purchases]]+Table1[[#This Row],[Catalog_Purchases]]+Table1[[#This Row],[Web_Purchases]]+Table1[[#This Row],[Deal_Purchases]])</f>
        <v>23</v>
      </c>
      <c r="V1575">
        <v>1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f>SUM(Table1[[#This Row],[Accepted_Campaign_2]]+Table1[[#This Row],[Accepted_Campaign_1]]+Table1[[#This Row],[Accepted_Campaign_5]]+Table1[[#This Row],[Accepted_Campaign_4]]+Table1[[#This Row],[Accepted_Campaign_3]])</f>
        <v>1</v>
      </c>
      <c r="AC1575">
        <v>0</v>
      </c>
      <c r="AD1575">
        <v>0</v>
      </c>
    </row>
    <row r="1576" spans="1:30" x14ac:dyDescent="0.25">
      <c r="A1576">
        <v>41590</v>
      </c>
      <c r="B1576">
        <v>8625</v>
      </c>
      <c r="C1576">
        <v>1976</v>
      </c>
      <c r="D1576" t="s">
        <v>63</v>
      </c>
      <c r="E1576" t="s">
        <v>6</v>
      </c>
      <c r="F1576" t="s">
        <v>11</v>
      </c>
      <c r="G1576">
        <v>17649</v>
      </c>
      <c r="H1576">
        <v>1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f>SUM(Table1[[#This Row],[Gold Spending]]+Table1[[#This Row],[Sweet Spending]]+Table1[[#This Row],[Fish Spending]]+Table1[[#This Row],[Meat Spending]]+Table1[[#This Row],[Fruits Spending]]+Table1[[#This Row],[Wine Spending ]])</f>
        <v>45</v>
      </c>
      <c r="Q1576">
        <v>3</v>
      </c>
      <c r="R1576">
        <v>3</v>
      </c>
      <c r="S1576">
        <v>0</v>
      </c>
      <c r="T1576">
        <v>3</v>
      </c>
      <c r="U1576">
        <f>SUM(Table1[[#This Row],[Store_Purchases]]+Table1[[#This Row],[Catalog_Purchases]]+Table1[[#This Row],[Web_Purchases]]+Table1[[#This Row],[Deal_Purchases]])</f>
        <v>9</v>
      </c>
      <c r="V1576">
        <v>8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f>SUM(Table1[[#This Row],[Accepted_Campaign_2]]+Table1[[#This Row],[Accepted_Campaign_1]]+Table1[[#This Row],[Accepted_Campaign_5]]+Table1[[#This Row],[Accepted_Campaign_4]]+Table1[[#This Row],[Accepted_Campaign_3]])</f>
        <v>0</v>
      </c>
      <c r="AC1576">
        <v>0</v>
      </c>
      <c r="AD1576">
        <v>0</v>
      </c>
    </row>
    <row r="1577" spans="1:30" x14ac:dyDescent="0.25">
      <c r="A1577">
        <v>41529</v>
      </c>
      <c r="B1577">
        <v>5407</v>
      </c>
      <c r="C1577">
        <v>1954</v>
      </c>
      <c r="D1577" t="s">
        <v>20</v>
      </c>
      <c r="E1577" t="s">
        <v>6</v>
      </c>
      <c r="F1577" t="s">
        <v>12</v>
      </c>
      <c r="G1577">
        <v>53103</v>
      </c>
      <c r="H1577">
        <v>1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f>SUM(Table1[[#This Row],[Gold Spending]]+Table1[[#This Row],[Sweet Spending]]+Table1[[#This Row],[Fish Spending]]+Table1[[#This Row],[Meat Spending]]+Table1[[#This Row],[Fruits Spending]]+Table1[[#This Row],[Wine Spending ]])</f>
        <v>1085</v>
      </c>
      <c r="Q1577">
        <v>5</v>
      </c>
      <c r="R1577">
        <v>10</v>
      </c>
      <c r="S1577">
        <v>6</v>
      </c>
      <c r="T1577">
        <v>7</v>
      </c>
      <c r="U1577">
        <f>SUM(Table1[[#This Row],[Store_Purchases]]+Table1[[#This Row],[Catalog_Purchases]]+Table1[[#This Row],[Web_Purchases]]+Table1[[#This Row],[Deal_Purchases]])</f>
        <v>28</v>
      </c>
      <c r="V1577">
        <v>7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f>SUM(Table1[[#This Row],[Accepted_Campaign_2]]+Table1[[#This Row],[Accepted_Campaign_1]]+Table1[[#This Row],[Accepted_Campaign_5]]+Table1[[#This Row],[Accepted_Campaign_4]]+Table1[[#This Row],[Accepted_Campaign_3]])</f>
        <v>1</v>
      </c>
      <c r="AC1577">
        <v>0</v>
      </c>
      <c r="AD1577">
        <v>0</v>
      </c>
    </row>
    <row r="1578" spans="1:30" x14ac:dyDescent="0.25">
      <c r="A1578">
        <v>41514</v>
      </c>
      <c r="B1578">
        <v>4356</v>
      </c>
      <c r="C1578">
        <v>1971</v>
      </c>
      <c r="D1578" t="s">
        <v>8</v>
      </c>
      <c r="E1578" t="s">
        <v>6</v>
      </c>
      <c r="F1578" t="s">
        <v>12</v>
      </c>
      <c r="G1578">
        <v>71819</v>
      </c>
      <c r="H1578">
        <v>1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f>SUM(Table1[[#This Row],[Gold Spending]]+Table1[[#This Row],[Sweet Spending]]+Table1[[#This Row],[Fish Spending]]+Table1[[#This Row],[Meat Spending]]+Table1[[#This Row],[Fruits Spending]]+Table1[[#This Row],[Wine Spending ]])</f>
        <v>1574</v>
      </c>
      <c r="Q1578">
        <v>3</v>
      </c>
      <c r="R1578">
        <v>3</v>
      </c>
      <c r="S1578">
        <v>3</v>
      </c>
      <c r="T1578">
        <v>5</v>
      </c>
      <c r="U1578">
        <f>SUM(Table1[[#This Row],[Store_Purchases]]+Table1[[#This Row],[Catalog_Purchases]]+Table1[[#This Row],[Web_Purchases]]+Table1[[#This Row],[Deal_Purchases]])</f>
        <v>14</v>
      </c>
      <c r="V1578">
        <v>6</v>
      </c>
      <c r="W1578">
        <v>0</v>
      </c>
      <c r="X1578">
        <v>1</v>
      </c>
      <c r="Y1578">
        <v>1</v>
      </c>
      <c r="Z1578">
        <v>0</v>
      </c>
      <c r="AA1578">
        <v>0</v>
      </c>
      <c r="AB1578">
        <f>SUM(Table1[[#This Row],[Accepted_Campaign_2]]+Table1[[#This Row],[Accepted_Campaign_1]]+Table1[[#This Row],[Accepted_Campaign_5]]+Table1[[#This Row],[Accepted_Campaign_4]]+Table1[[#This Row],[Accepted_Campaign_3]])</f>
        <v>2</v>
      </c>
      <c r="AC1578">
        <v>0</v>
      </c>
      <c r="AD1578">
        <v>0</v>
      </c>
    </row>
    <row r="1579" spans="1:30" x14ac:dyDescent="0.25">
      <c r="A1579">
        <v>41498</v>
      </c>
      <c r="B1579">
        <v>2886</v>
      </c>
      <c r="C1579">
        <v>1971</v>
      </c>
      <c r="D1579" t="s">
        <v>8</v>
      </c>
      <c r="E1579" t="s">
        <v>18</v>
      </c>
      <c r="F1579" t="s">
        <v>7</v>
      </c>
      <c r="G1579">
        <v>74290</v>
      </c>
      <c r="H1579">
        <v>1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f>SUM(Table1[[#This Row],[Gold Spending]]+Table1[[#This Row],[Sweet Spending]]+Table1[[#This Row],[Fish Spending]]+Table1[[#This Row],[Meat Spending]]+Table1[[#This Row],[Fruits Spending]]+Table1[[#This Row],[Wine Spending ]])</f>
        <v>1217</v>
      </c>
      <c r="Q1579">
        <v>4</v>
      </c>
      <c r="R1579">
        <v>10</v>
      </c>
      <c r="S1579">
        <v>8</v>
      </c>
      <c r="T1579">
        <v>10</v>
      </c>
      <c r="U1579">
        <f>SUM(Table1[[#This Row],[Store_Purchases]]+Table1[[#This Row],[Catalog_Purchases]]+Table1[[#This Row],[Web_Purchases]]+Table1[[#This Row],[Deal_Purchases]])</f>
        <v>32</v>
      </c>
      <c r="V1579">
        <v>6</v>
      </c>
      <c r="W1579">
        <v>0</v>
      </c>
      <c r="X1579">
        <v>1</v>
      </c>
      <c r="Y1579">
        <v>0</v>
      </c>
      <c r="Z1579">
        <v>1</v>
      </c>
      <c r="AA1579">
        <v>0</v>
      </c>
      <c r="AB1579">
        <f>SUM(Table1[[#This Row],[Accepted_Campaign_2]]+Table1[[#This Row],[Accepted_Campaign_1]]+Table1[[#This Row],[Accepted_Campaign_5]]+Table1[[#This Row],[Accepted_Campaign_4]]+Table1[[#This Row],[Accepted_Campaign_3]])</f>
        <v>2</v>
      </c>
      <c r="AC1579">
        <v>0</v>
      </c>
      <c r="AD1579">
        <v>0</v>
      </c>
    </row>
    <row r="1580" spans="1:30" x14ac:dyDescent="0.25">
      <c r="A1580">
        <v>41474</v>
      </c>
      <c r="B1580">
        <v>10057</v>
      </c>
      <c r="C1580">
        <v>1951</v>
      </c>
      <c r="D1580" t="s">
        <v>8</v>
      </c>
      <c r="E1580" t="s">
        <v>6</v>
      </c>
      <c r="F1580" t="s">
        <v>9</v>
      </c>
      <c r="G1580">
        <v>72282</v>
      </c>
      <c r="H1580">
        <v>0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f>SUM(Table1[[#This Row],[Gold Spending]]+Table1[[#This Row],[Sweet Spending]]+Table1[[#This Row],[Fish Spending]]+Table1[[#This Row],[Meat Spending]]+Table1[[#This Row],[Fruits Spending]]+Table1[[#This Row],[Wine Spending ]])</f>
        <v>1331</v>
      </c>
      <c r="Q1580">
        <v>1</v>
      </c>
      <c r="R1580">
        <v>5</v>
      </c>
      <c r="S1580">
        <v>7</v>
      </c>
      <c r="T1580">
        <v>9</v>
      </c>
      <c r="U1580">
        <f>SUM(Table1[[#This Row],[Store_Purchases]]+Table1[[#This Row],[Catalog_Purchases]]+Table1[[#This Row],[Web_Purchases]]+Table1[[#This Row],[Deal_Purchases]])</f>
        <v>22</v>
      </c>
      <c r="V1580">
        <v>7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f>SUM(Table1[[#This Row],[Accepted_Campaign_2]]+Table1[[#This Row],[Accepted_Campaign_1]]+Table1[[#This Row],[Accepted_Campaign_5]]+Table1[[#This Row],[Accepted_Campaign_4]]+Table1[[#This Row],[Accepted_Campaign_3]])</f>
        <v>0</v>
      </c>
      <c r="AC1580">
        <v>1</v>
      </c>
      <c r="AD1580">
        <v>0</v>
      </c>
    </row>
    <row r="1581" spans="1:30" x14ac:dyDescent="0.25">
      <c r="A1581">
        <v>41375</v>
      </c>
      <c r="B1581">
        <v>10741</v>
      </c>
      <c r="C1581">
        <v>1951</v>
      </c>
      <c r="D1581" t="s">
        <v>8</v>
      </c>
      <c r="E1581" t="s">
        <v>18</v>
      </c>
      <c r="F1581" t="s">
        <v>12</v>
      </c>
      <c r="G1581">
        <v>47352</v>
      </c>
      <c r="H1581">
        <v>1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f>SUM(Table1[[#This Row],[Gold Spending]]+Table1[[#This Row],[Sweet Spending]]+Table1[[#This Row],[Fish Spending]]+Table1[[#This Row],[Meat Spending]]+Table1[[#This Row],[Fruits Spending]]+Table1[[#This Row],[Wine Spending ]])</f>
        <v>319</v>
      </c>
      <c r="Q1581">
        <v>4</v>
      </c>
      <c r="R1581">
        <v>6</v>
      </c>
      <c r="S1581">
        <v>1</v>
      </c>
      <c r="T1581">
        <v>5</v>
      </c>
      <c r="U1581">
        <f>SUM(Table1[[#This Row],[Store_Purchases]]+Table1[[#This Row],[Catalog_Purchases]]+Table1[[#This Row],[Web_Purchases]]+Table1[[#This Row],[Deal_Purchases]])</f>
        <v>16</v>
      </c>
      <c r="V1581">
        <v>7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f>SUM(Table1[[#This Row],[Accepted_Campaign_2]]+Table1[[#This Row],[Accepted_Campaign_1]]+Table1[[#This Row],[Accepted_Campaign_5]]+Table1[[#This Row],[Accepted_Campaign_4]]+Table1[[#This Row],[Accepted_Campaign_3]])</f>
        <v>0</v>
      </c>
      <c r="AC1581">
        <v>0</v>
      </c>
      <c r="AD1581">
        <v>0</v>
      </c>
    </row>
    <row r="1582" spans="1:30" x14ac:dyDescent="0.25">
      <c r="A1582">
        <v>41375</v>
      </c>
      <c r="B1582">
        <v>5491</v>
      </c>
      <c r="C1582">
        <v>1951</v>
      </c>
      <c r="D1582" t="s">
        <v>13</v>
      </c>
      <c r="E1582" t="s">
        <v>18</v>
      </c>
      <c r="F1582" t="s">
        <v>12</v>
      </c>
      <c r="G1582">
        <v>47352</v>
      </c>
      <c r="H1582">
        <v>1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f>SUM(Table1[[#This Row],[Gold Spending]]+Table1[[#This Row],[Sweet Spending]]+Table1[[#This Row],[Fish Spending]]+Table1[[#This Row],[Meat Spending]]+Table1[[#This Row],[Fruits Spending]]+Table1[[#This Row],[Wine Spending ]])</f>
        <v>319</v>
      </c>
      <c r="Q1582">
        <v>4</v>
      </c>
      <c r="R1582">
        <v>6</v>
      </c>
      <c r="S1582">
        <v>1</v>
      </c>
      <c r="T1582">
        <v>5</v>
      </c>
      <c r="U1582">
        <f>SUM(Table1[[#This Row],[Store_Purchases]]+Table1[[#This Row],[Catalog_Purchases]]+Table1[[#This Row],[Web_Purchases]]+Table1[[#This Row],[Deal_Purchases]])</f>
        <v>16</v>
      </c>
      <c r="V1582">
        <v>7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f>SUM(Table1[[#This Row],[Accepted_Campaign_2]]+Table1[[#This Row],[Accepted_Campaign_1]]+Table1[[#This Row],[Accepted_Campaign_5]]+Table1[[#This Row],[Accepted_Campaign_4]]+Table1[[#This Row],[Accepted_Campaign_3]])</f>
        <v>0</v>
      </c>
      <c r="AC1582">
        <v>0</v>
      </c>
      <c r="AD1582">
        <v>0</v>
      </c>
    </row>
    <row r="1583" spans="1:30" x14ac:dyDescent="0.25">
      <c r="A1583">
        <v>41369</v>
      </c>
      <c r="B1583">
        <v>4442</v>
      </c>
      <c r="C1583">
        <v>1961</v>
      </c>
      <c r="D1583" t="s">
        <v>10</v>
      </c>
      <c r="E1583" t="s">
        <v>6</v>
      </c>
      <c r="F1583" t="s">
        <v>9</v>
      </c>
      <c r="G1583">
        <v>46524</v>
      </c>
      <c r="H1583">
        <v>1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f>SUM(Table1[[#This Row],[Gold Spending]]+Table1[[#This Row],[Sweet Spending]]+Table1[[#This Row],[Fish Spending]]+Table1[[#This Row],[Meat Spending]]+Table1[[#This Row],[Fruits Spending]]+Table1[[#This Row],[Wine Spending ]])</f>
        <v>177</v>
      </c>
      <c r="Q1583">
        <v>2</v>
      </c>
      <c r="R1583">
        <v>1</v>
      </c>
      <c r="S1583">
        <v>1</v>
      </c>
      <c r="T1583">
        <v>5</v>
      </c>
      <c r="U1583">
        <f>SUM(Table1[[#This Row],[Store_Purchases]]+Table1[[#This Row],[Catalog_Purchases]]+Table1[[#This Row],[Web_Purchases]]+Table1[[#This Row],[Deal_Purchases]])</f>
        <v>9</v>
      </c>
      <c r="V1583">
        <v>3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f>SUM(Table1[[#This Row],[Accepted_Campaign_2]]+Table1[[#This Row],[Accepted_Campaign_1]]+Table1[[#This Row],[Accepted_Campaign_5]]+Table1[[#This Row],[Accepted_Campaign_4]]+Table1[[#This Row],[Accepted_Campaign_3]])</f>
        <v>0</v>
      </c>
      <c r="AC1583">
        <v>0</v>
      </c>
      <c r="AD1583">
        <v>0</v>
      </c>
    </row>
    <row r="1584" spans="1:30" x14ac:dyDescent="0.25">
      <c r="A1584">
        <v>41367</v>
      </c>
      <c r="B1584">
        <v>3972</v>
      </c>
      <c r="C1584">
        <v>1976</v>
      </c>
      <c r="D1584" t="s">
        <v>8</v>
      </c>
      <c r="E1584" t="s">
        <v>6</v>
      </c>
      <c r="F1584" t="s">
        <v>12</v>
      </c>
      <c r="G1584">
        <v>50200</v>
      </c>
      <c r="H1584">
        <v>2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f>SUM(Table1[[#This Row],[Gold Spending]]+Table1[[#This Row],[Sweet Spending]]+Table1[[#This Row],[Fish Spending]]+Table1[[#This Row],[Meat Spending]]+Table1[[#This Row],[Fruits Spending]]+Table1[[#This Row],[Wine Spending ]])</f>
        <v>401</v>
      </c>
      <c r="Q1584">
        <v>6</v>
      </c>
      <c r="R1584">
        <v>7</v>
      </c>
      <c r="S1584">
        <v>1</v>
      </c>
      <c r="T1584">
        <v>5</v>
      </c>
      <c r="U1584">
        <f>SUM(Table1[[#This Row],[Store_Purchases]]+Table1[[#This Row],[Catalog_Purchases]]+Table1[[#This Row],[Web_Purchases]]+Table1[[#This Row],[Deal_Purchases]])</f>
        <v>19</v>
      </c>
      <c r="V1584">
        <v>8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f>SUM(Table1[[#This Row],[Accepted_Campaign_2]]+Table1[[#This Row],[Accepted_Campaign_1]]+Table1[[#This Row],[Accepted_Campaign_5]]+Table1[[#This Row],[Accepted_Campaign_4]]+Table1[[#This Row],[Accepted_Campaign_3]])</f>
        <v>0</v>
      </c>
      <c r="AC1584">
        <v>0</v>
      </c>
      <c r="AD1584">
        <v>0</v>
      </c>
    </row>
    <row r="1585" spans="1:30" x14ac:dyDescent="0.25">
      <c r="A1585">
        <v>41274</v>
      </c>
      <c r="B1585">
        <v>2431</v>
      </c>
      <c r="C1585">
        <v>1990</v>
      </c>
      <c r="D1585" t="s">
        <v>8</v>
      </c>
      <c r="E1585" t="s">
        <v>6</v>
      </c>
      <c r="F1585" t="s">
        <v>11</v>
      </c>
      <c r="G1585">
        <v>18222</v>
      </c>
      <c r="H1585">
        <v>0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f>SUM(Table1[[#This Row],[Gold Spending]]+Table1[[#This Row],[Sweet Spending]]+Table1[[#This Row],[Fish Spending]]+Table1[[#This Row],[Meat Spending]]+Table1[[#This Row],[Fruits Spending]]+Table1[[#This Row],[Wine Spending ]])</f>
        <v>67</v>
      </c>
      <c r="Q1585">
        <v>1</v>
      </c>
      <c r="R1585">
        <v>2</v>
      </c>
      <c r="S1585">
        <v>0</v>
      </c>
      <c r="T1585">
        <v>3</v>
      </c>
      <c r="U1585">
        <f>SUM(Table1[[#This Row],[Store_Purchases]]+Table1[[#This Row],[Catalog_Purchases]]+Table1[[#This Row],[Web_Purchases]]+Table1[[#This Row],[Deal_Purchases]])</f>
        <v>6</v>
      </c>
      <c r="V1585">
        <v>8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f>SUM(Table1[[#This Row],[Accepted_Campaign_2]]+Table1[[#This Row],[Accepted_Campaign_1]]+Table1[[#This Row],[Accepted_Campaign_5]]+Table1[[#This Row],[Accepted_Campaign_4]]+Table1[[#This Row],[Accepted_Campaign_3]])</f>
        <v>0</v>
      </c>
      <c r="AC1585">
        <v>0</v>
      </c>
      <c r="AD1585">
        <v>0</v>
      </c>
    </row>
    <row r="1586" spans="1:30" x14ac:dyDescent="0.25">
      <c r="A1586">
        <v>41211</v>
      </c>
      <c r="B1586">
        <v>7899</v>
      </c>
      <c r="C1586">
        <v>1952</v>
      </c>
      <c r="D1586" t="s">
        <v>13</v>
      </c>
      <c r="E1586" t="s">
        <v>14</v>
      </c>
      <c r="F1586" t="s">
        <v>11</v>
      </c>
      <c r="G1586">
        <v>77610</v>
      </c>
      <c r="H1586">
        <v>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f>SUM(Table1[[#This Row],[Gold Spending]]+Table1[[#This Row],[Sweet Spending]]+Table1[[#This Row],[Fish Spending]]+Table1[[#This Row],[Meat Spending]]+Table1[[#This Row],[Fruits Spending]]+Table1[[#This Row],[Wine Spending ]])</f>
        <v>1680</v>
      </c>
      <c r="Q1586">
        <v>2</v>
      </c>
      <c r="R1586">
        <v>4</v>
      </c>
      <c r="S1586">
        <v>7</v>
      </c>
      <c r="T1586">
        <v>4</v>
      </c>
      <c r="U1586">
        <f>SUM(Table1[[#This Row],[Store_Purchases]]+Table1[[#This Row],[Catalog_Purchases]]+Table1[[#This Row],[Web_Purchases]]+Table1[[#This Row],[Deal_Purchases]])</f>
        <v>17</v>
      </c>
      <c r="V1586">
        <v>7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f>SUM(Table1[[#This Row],[Accepted_Campaign_2]]+Table1[[#This Row],[Accepted_Campaign_1]]+Table1[[#This Row],[Accepted_Campaign_5]]+Table1[[#This Row],[Accepted_Campaign_4]]+Table1[[#This Row],[Accepted_Campaign_3]])</f>
        <v>0</v>
      </c>
      <c r="AC1586">
        <v>0</v>
      </c>
      <c r="AD1586">
        <v>0</v>
      </c>
    </row>
    <row r="1587" spans="1:30" x14ac:dyDescent="0.25">
      <c r="A1587">
        <v>41197</v>
      </c>
      <c r="B1587">
        <v>9703</v>
      </c>
      <c r="C1587">
        <v>1970</v>
      </c>
      <c r="D1587" t="s">
        <v>20</v>
      </c>
      <c r="E1587" t="s">
        <v>14</v>
      </c>
      <c r="F1587" t="s">
        <v>11</v>
      </c>
      <c r="G1587">
        <v>38097</v>
      </c>
      <c r="H1587">
        <v>2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f>SUM(Table1[[#This Row],[Gold Spending]]+Table1[[#This Row],[Sweet Spending]]+Table1[[#This Row],[Fish Spending]]+Table1[[#This Row],[Meat Spending]]+Table1[[#This Row],[Fruits Spending]]+Table1[[#This Row],[Wine Spending ]])</f>
        <v>184</v>
      </c>
      <c r="Q1587">
        <v>4</v>
      </c>
      <c r="R1587">
        <v>3</v>
      </c>
      <c r="S1587">
        <v>2</v>
      </c>
      <c r="T1587">
        <v>2</v>
      </c>
      <c r="U1587">
        <f>SUM(Table1[[#This Row],[Store_Purchases]]+Table1[[#This Row],[Catalog_Purchases]]+Table1[[#This Row],[Web_Purchases]]+Table1[[#This Row],[Deal_Purchases]])</f>
        <v>11</v>
      </c>
      <c r="V1587">
        <v>7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f>SUM(Table1[[#This Row],[Accepted_Campaign_2]]+Table1[[#This Row],[Accepted_Campaign_1]]+Table1[[#This Row],[Accepted_Campaign_5]]+Table1[[#This Row],[Accepted_Campaign_4]]+Table1[[#This Row],[Accepted_Campaign_3]])</f>
        <v>1</v>
      </c>
      <c r="AC1587">
        <v>1</v>
      </c>
      <c r="AD1587">
        <v>0</v>
      </c>
    </row>
    <row r="1588" spans="1:30" x14ac:dyDescent="0.25">
      <c r="A1588">
        <v>41187</v>
      </c>
      <c r="B1588">
        <v>6927</v>
      </c>
      <c r="C1588">
        <v>1968</v>
      </c>
      <c r="D1588" t="s">
        <v>20</v>
      </c>
      <c r="E1588" t="s">
        <v>14</v>
      </c>
      <c r="F1588" t="s">
        <v>11</v>
      </c>
      <c r="G1588">
        <v>44377</v>
      </c>
      <c r="H1588">
        <v>2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f>SUM(Table1[[#This Row],[Gold Spending]]+Table1[[#This Row],[Sweet Spending]]+Table1[[#This Row],[Fish Spending]]+Table1[[#This Row],[Meat Spending]]+Table1[[#This Row],[Fruits Spending]]+Table1[[#This Row],[Wine Spending ]])</f>
        <v>264</v>
      </c>
      <c r="Q1588">
        <v>8</v>
      </c>
      <c r="R1588">
        <v>5</v>
      </c>
      <c r="S1588">
        <v>1</v>
      </c>
      <c r="T1588">
        <v>5</v>
      </c>
      <c r="U1588">
        <f>SUM(Table1[[#This Row],[Store_Purchases]]+Table1[[#This Row],[Catalog_Purchases]]+Table1[[#This Row],[Web_Purchases]]+Table1[[#This Row],[Deal_Purchases]])</f>
        <v>19</v>
      </c>
      <c r="V1588">
        <v>8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f>SUM(Table1[[#This Row],[Accepted_Campaign_2]]+Table1[[#This Row],[Accepted_Campaign_1]]+Table1[[#This Row],[Accepted_Campaign_5]]+Table1[[#This Row],[Accepted_Campaign_4]]+Table1[[#This Row],[Accepted_Campaign_3]])</f>
        <v>0</v>
      </c>
      <c r="AC1588">
        <v>0</v>
      </c>
      <c r="AD1588">
        <v>0</v>
      </c>
    </row>
    <row r="1589" spans="1:30" x14ac:dyDescent="0.25">
      <c r="A1589">
        <v>41806</v>
      </c>
      <c r="B1589">
        <v>7005</v>
      </c>
      <c r="C1589">
        <v>1981</v>
      </c>
      <c r="D1589" t="s">
        <v>20</v>
      </c>
      <c r="E1589" t="s">
        <v>6</v>
      </c>
      <c r="F1589" t="s">
        <v>9</v>
      </c>
      <c r="G1589">
        <v>58684</v>
      </c>
      <c r="H1589">
        <v>0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f>SUM(Table1[[#This Row],[Gold Spending]]+Table1[[#This Row],[Sweet Spending]]+Table1[[#This Row],[Fish Spending]]+Table1[[#This Row],[Meat Spending]]+Table1[[#This Row],[Fruits Spending]]+Table1[[#This Row],[Wine Spending ]])</f>
        <v>813</v>
      </c>
      <c r="Q1589">
        <v>1</v>
      </c>
      <c r="R1589">
        <v>5</v>
      </c>
      <c r="S1589">
        <v>3</v>
      </c>
      <c r="T1589">
        <v>12</v>
      </c>
      <c r="U1589">
        <f>SUM(Table1[[#This Row],[Store_Purchases]]+Table1[[#This Row],[Catalog_Purchases]]+Table1[[#This Row],[Web_Purchases]]+Table1[[#This Row],[Deal_Purchases]])</f>
        <v>21</v>
      </c>
      <c r="V1589">
        <v>2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f>SUM(Table1[[#This Row],[Accepted_Campaign_2]]+Table1[[#This Row],[Accepted_Campaign_1]]+Table1[[#This Row],[Accepted_Campaign_5]]+Table1[[#This Row],[Accepted_Campaign_4]]+Table1[[#This Row],[Accepted_Campaign_3]])</f>
        <v>1</v>
      </c>
      <c r="AC1589">
        <v>0</v>
      </c>
      <c r="AD1589">
        <v>0</v>
      </c>
    </row>
    <row r="1590" spans="1:30" x14ac:dyDescent="0.25">
      <c r="A1590">
        <v>41790</v>
      </c>
      <c r="B1590">
        <v>246</v>
      </c>
      <c r="C1590">
        <v>1965</v>
      </c>
      <c r="D1590" t="s">
        <v>8</v>
      </c>
      <c r="E1590" t="s">
        <v>6</v>
      </c>
      <c r="F1590" t="s">
        <v>11</v>
      </c>
      <c r="G1590">
        <v>66480</v>
      </c>
      <c r="H1590">
        <v>2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f>SUM(Table1[[#This Row],[Gold Spending]]+Table1[[#This Row],[Sweet Spending]]+Table1[[#This Row],[Fish Spending]]+Table1[[#This Row],[Meat Spending]]+Table1[[#This Row],[Fruits Spending]]+Table1[[#This Row],[Wine Spending ]])</f>
        <v>312</v>
      </c>
      <c r="Q1590">
        <v>7</v>
      </c>
      <c r="R1590">
        <v>4</v>
      </c>
      <c r="S1590">
        <v>1</v>
      </c>
      <c r="T1590">
        <v>7</v>
      </c>
      <c r="U1590">
        <f>SUM(Table1[[#This Row],[Store_Purchases]]+Table1[[#This Row],[Catalog_Purchases]]+Table1[[#This Row],[Web_Purchases]]+Table1[[#This Row],[Deal_Purchases]])</f>
        <v>19</v>
      </c>
      <c r="V1590">
        <v>4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f>SUM(Table1[[#This Row],[Accepted_Campaign_2]]+Table1[[#This Row],[Accepted_Campaign_1]]+Table1[[#This Row],[Accepted_Campaign_5]]+Table1[[#This Row],[Accepted_Campaign_4]]+Table1[[#This Row],[Accepted_Campaign_3]])</f>
        <v>0</v>
      </c>
      <c r="AC1590">
        <v>0</v>
      </c>
      <c r="AD1590">
        <v>0</v>
      </c>
    </row>
    <row r="1591" spans="1:30" x14ac:dyDescent="0.25">
      <c r="A1591">
        <v>41748</v>
      </c>
      <c r="B1591">
        <v>4796</v>
      </c>
      <c r="C1591">
        <v>1952</v>
      </c>
      <c r="D1591" t="s">
        <v>8</v>
      </c>
      <c r="E1591" t="s">
        <v>6</v>
      </c>
      <c r="F1591" t="s">
        <v>7</v>
      </c>
      <c r="G1591">
        <v>49638</v>
      </c>
      <c r="H1591">
        <v>1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f>SUM(Table1[[#This Row],[Gold Spending]]+Table1[[#This Row],[Sweet Spending]]+Table1[[#This Row],[Fish Spending]]+Table1[[#This Row],[Meat Spending]]+Table1[[#This Row],[Fruits Spending]]+Table1[[#This Row],[Wine Spending ]])</f>
        <v>39</v>
      </c>
      <c r="Q1591">
        <v>1</v>
      </c>
      <c r="R1591">
        <v>1</v>
      </c>
      <c r="S1591">
        <v>0</v>
      </c>
      <c r="T1591">
        <v>3</v>
      </c>
      <c r="U1591">
        <f>SUM(Table1[[#This Row],[Store_Purchases]]+Table1[[#This Row],[Catalog_Purchases]]+Table1[[#This Row],[Web_Purchases]]+Table1[[#This Row],[Deal_Purchases]])</f>
        <v>5</v>
      </c>
      <c r="V1591">
        <v>2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f>SUM(Table1[[#This Row],[Accepted_Campaign_2]]+Table1[[#This Row],[Accepted_Campaign_1]]+Table1[[#This Row],[Accepted_Campaign_5]]+Table1[[#This Row],[Accepted_Campaign_4]]+Table1[[#This Row],[Accepted_Campaign_3]])</f>
        <v>0</v>
      </c>
      <c r="AC1591">
        <v>0</v>
      </c>
      <c r="AD1591">
        <v>0</v>
      </c>
    </row>
    <row r="1592" spans="1:30" x14ac:dyDescent="0.25">
      <c r="A1592">
        <v>41742</v>
      </c>
      <c r="B1592">
        <v>4725</v>
      </c>
      <c r="C1592">
        <v>1950</v>
      </c>
      <c r="D1592" t="s">
        <v>8</v>
      </c>
      <c r="E1592" t="s">
        <v>14</v>
      </c>
      <c r="F1592" t="s">
        <v>12</v>
      </c>
      <c r="G1592">
        <v>50616</v>
      </c>
      <c r="H1592">
        <v>1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f>SUM(Table1[[#This Row],[Gold Spending]]+Table1[[#This Row],[Sweet Spending]]+Table1[[#This Row],[Fish Spending]]+Table1[[#This Row],[Meat Spending]]+Table1[[#This Row],[Fruits Spending]]+Table1[[#This Row],[Wine Spending ]])</f>
        <v>67</v>
      </c>
      <c r="Q1592">
        <v>1</v>
      </c>
      <c r="R1592">
        <v>1</v>
      </c>
      <c r="S1592">
        <v>1</v>
      </c>
      <c r="T1592">
        <v>4</v>
      </c>
      <c r="U1592">
        <f>SUM(Table1[[#This Row],[Store_Purchases]]+Table1[[#This Row],[Catalog_Purchases]]+Table1[[#This Row],[Web_Purchases]]+Table1[[#This Row],[Deal_Purchases]])</f>
        <v>7</v>
      </c>
      <c r="V1592">
        <v>2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f>SUM(Table1[[#This Row],[Accepted_Campaign_2]]+Table1[[#This Row],[Accepted_Campaign_1]]+Table1[[#This Row],[Accepted_Campaign_5]]+Table1[[#This Row],[Accepted_Campaign_4]]+Table1[[#This Row],[Accepted_Campaign_3]])</f>
        <v>0</v>
      </c>
      <c r="AC1592">
        <v>0</v>
      </c>
      <c r="AD1592">
        <v>0</v>
      </c>
    </row>
    <row r="1593" spans="1:30" x14ac:dyDescent="0.25">
      <c r="A1593">
        <v>41699</v>
      </c>
      <c r="B1593">
        <v>3286</v>
      </c>
      <c r="C1593">
        <v>1967</v>
      </c>
      <c r="D1593" t="s">
        <v>8</v>
      </c>
      <c r="E1593" t="s">
        <v>14</v>
      </c>
      <c r="F1593" t="s">
        <v>7</v>
      </c>
      <c r="G1593">
        <v>26642</v>
      </c>
      <c r="H1593">
        <v>1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f>SUM(Table1[[#This Row],[Gold Spending]]+Table1[[#This Row],[Sweet Spending]]+Table1[[#This Row],[Fish Spending]]+Table1[[#This Row],[Meat Spending]]+Table1[[#This Row],[Fruits Spending]]+Table1[[#This Row],[Wine Spending ]])</f>
        <v>42</v>
      </c>
      <c r="Q1593">
        <v>2</v>
      </c>
      <c r="R1593">
        <v>2</v>
      </c>
      <c r="S1593">
        <v>0</v>
      </c>
      <c r="T1593">
        <v>3</v>
      </c>
      <c r="U1593">
        <f>SUM(Table1[[#This Row],[Store_Purchases]]+Table1[[#This Row],[Catalog_Purchases]]+Table1[[#This Row],[Web_Purchases]]+Table1[[#This Row],[Deal_Purchases]])</f>
        <v>7</v>
      </c>
      <c r="V1593">
        <v>6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f>SUM(Table1[[#This Row],[Accepted_Campaign_2]]+Table1[[#This Row],[Accepted_Campaign_1]]+Table1[[#This Row],[Accepted_Campaign_5]]+Table1[[#This Row],[Accepted_Campaign_4]]+Table1[[#This Row],[Accepted_Campaign_3]])</f>
        <v>0</v>
      </c>
      <c r="AC1593">
        <v>0</v>
      </c>
      <c r="AD1593">
        <v>0</v>
      </c>
    </row>
    <row r="1594" spans="1:30" x14ac:dyDescent="0.25">
      <c r="A1594">
        <v>41675</v>
      </c>
      <c r="B1594">
        <v>10680</v>
      </c>
      <c r="C1594">
        <v>1986</v>
      </c>
      <c r="D1594" t="s">
        <v>8</v>
      </c>
      <c r="E1594" t="s">
        <v>6</v>
      </c>
      <c r="F1594" t="s">
        <v>12</v>
      </c>
      <c r="G1594">
        <v>33235</v>
      </c>
      <c r="H1594">
        <v>1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f>SUM(Table1[[#This Row],[Gold Spending]]+Table1[[#This Row],[Sweet Spending]]+Table1[[#This Row],[Fish Spending]]+Table1[[#This Row],[Meat Spending]]+Table1[[#This Row],[Fruits Spending]]+Table1[[#This Row],[Wine Spending ]])</f>
        <v>70</v>
      </c>
      <c r="Q1594">
        <v>1</v>
      </c>
      <c r="R1594">
        <v>3</v>
      </c>
      <c r="S1594">
        <v>0</v>
      </c>
      <c r="T1594">
        <v>3</v>
      </c>
      <c r="U1594">
        <f>SUM(Table1[[#This Row],[Store_Purchases]]+Table1[[#This Row],[Catalog_Purchases]]+Table1[[#This Row],[Web_Purchases]]+Table1[[#This Row],[Deal_Purchases]])</f>
        <v>7</v>
      </c>
      <c r="V1594">
        <v>7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f>SUM(Table1[[#This Row],[Accepted_Campaign_2]]+Table1[[#This Row],[Accepted_Campaign_1]]+Table1[[#This Row],[Accepted_Campaign_5]]+Table1[[#This Row],[Accepted_Campaign_4]]+Table1[[#This Row],[Accepted_Campaign_3]])</f>
        <v>0</v>
      </c>
      <c r="AC1594">
        <v>0</v>
      </c>
      <c r="AD1594">
        <v>0</v>
      </c>
    </row>
    <row r="1595" spans="1:30" x14ac:dyDescent="0.25">
      <c r="A1595">
        <v>41665</v>
      </c>
      <c r="B1595">
        <v>4297</v>
      </c>
      <c r="C1595">
        <v>1969</v>
      </c>
      <c r="D1595" t="s">
        <v>17</v>
      </c>
      <c r="E1595" t="s">
        <v>6</v>
      </c>
      <c r="F1595" t="s">
        <v>12</v>
      </c>
      <c r="G1595">
        <v>23228</v>
      </c>
      <c r="H1595">
        <v>1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f>SUM(Table1[[#This Row],[Gold Spending]]+Table1[[#This Row],[Sweet Spending]]+Table1[[#This Row],[Fish Spending]]+Table1[[#This Row],[Meat Spending]]+Table1[[#This Row],[Fruits Spending]]+Table1[[#This Row],[Wine Spending ]])</f>
        <v>40</v>
      </c>
      <c r="Q1595">
        <v>2</v>
      </c>
      <c r="R1595">
        <v>2</v>
      </c>
      <c r="S1595">
        <v>0</v>
      </c>
      <c r="T1595">
        <v>3</v>
      </c>
      <c r="U1595">
        <f>SUM(Table1[[#This Row],[Store_Purchases]]+Table1[[#This Row],[Catalog_Purchases]]+Table1[[#This Row],[Web_Purchases]]+Table1[[#This Row],[Deal_Purchases]])</f>
        <v>7</v>
      </c>
      <c r="V1595">
        <v>8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f>SUM(Table1[[#This Row],[Accepted_Campaign_2]]+Table1[[#This Row],[Accepted_Campaign_1]]+Table1[[#This Row],[Accepted_Campaign_5]]+Table1[[#This Row],[Accepted_Campaign_4]]+Table1[[#This Row],[Accepted_Campaign_3]])</f>
        <v>0</v>
      </c>
      <c r="AC1595">
        <v>0</v>
      </c>
      <c r="AD1595">
        <v>0</v>
      </c>
    </row>
    <row r="1596" spans="1:30" x14ac:dyDescent="0.25">
      <c r="A1596">
        <v>41637</v>
      </c>
      <c r="B1596">
        <v>7327</v>
      </c>
      <c r="C1596">
        <v>1959</v>
      </c>
      <c r="D1596" t="s">
        <v>8</v>
      </c>
      <c r="E1596" t="s">
        <v>14</v>
      </c>
      <c r="F1596" t="s">
        <v>11</v>
      </c>
      <c r="G1596">
        <v>36732</v>
      </c>
      <c r="H1596">
        <v>2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f>SUM(Table1[[#This Row],[Gold Spending]]+Table1[[#This Row],[Sweet Spending]]+Table1[[#This Row],[Fish Spending]]+Table1[[#This Row],[Meat Spending]]+Table1[[#This Row],[Fruits Spending]]+Table1[[#This Row],[Wine Spending ]])</f>
        <v>47</v>
      </c>
      <c r="Q1596">
        <v>3</v>
      </c>
      <c r="R1596">
        <v>1</v>
      </c>
      <c r="S1596">
        <v>1</v>
      </c>
      <c r="T1596">
        <v>4</v>
      </c>
      <c r="U1596">
        <f>SUM(Table1[[#This Row],[Store_Purchases]]+Table1[[#This Row],[Catalog_Purchases]]+Table1[[#This Row],[Web_Purchases]]+Table1[[#This Row],[Deal_Purchases]])</f>
        <v>9</v>
      </c>
      <c r="V1596">
        <v>2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f>SUM(Table1[[#This Row],[Accepted_Campaign_2]]+Table1[[#This Row],[Accepted_Campaign_1]]+Table1[[#This Row],[Accepted_Campaign_5]]+Table1[[#This Row],[Accepted_Campaign_4]]+Table1[[#This Row],[Accepted_Campaign_3]])</f>
        <v>0</v>
      </c>
      <c r="AC1596">
        <v>0</v>
      </c>
      <c r="AD1596">
        <v>0</v>
      </c>
    </row>
    <row r="1597" spans="1:30" x14ac:dyDescent="0.25">
      <c r="A1597">
        <v>41544</v>
      </c>
      <c r="B1597">
        <v>1553</v>
      </c>
      <c r="C1597">
        <v>1946</v>
      </c>
      <c r="D1597" t="s">
        <v>16</v>
      </c>
      <c r="E1597" t="s">
        <v>6</v>
      </c>
      <c r="F1597" t="s">
        <v>12</v>
      </c>
      <c r="G1597">
        <v>82657</v>
      </c>
      <c r="H1597">
        <v>0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f>SUM(Table1[[#This Row],[Gold Spending]]+Table1[[#This Row],[Sweet Spending]]+Table1[[#This Row],[Fish Spending]]+Table1[[#This Row],[Meat Spending]]+Table1[[#This Row],[Fruits Spending]]+Table1[[#This Row],[Wine Spending ]])</f>
        <v>2283</v>
      </c>
      <c r="Q1597">
        <v>1</v>
      </c>
      <c r="R1597">
        <v>7</v>
      </c>
      <c r="S1597">
        <v>5</v>
      </c>
      <c r="T1597">
        <v>10</v>
      </c>
      <c r="U1597">
        <f>SUM(Table1[[#This Row],[Store_Purchases]]+Table1[[#This Row],[Catalog_Purchases]]+Table1[[#This Row],[Web_Purchases]]+Table1[[#This Row],[Deal_Purchases]])</f>
        <v>23</v>
      </c>
      <c r="V1597">
        <v>4</v>
      </c>
      <c r="W1597">
        <v>0</v>
      </c>
      <c r="X1597">
        <v>1</v>
      </c>
      <c r="Y1597">
        <v>0</v>
      </c>
      <c r="Z1597">
        <v>1</v>
      </c>
      <c r="AA1597">
        <v>0</v>
      </c>
      <c r="AB1597">
        <f>SUM(Table1[[#This Row],[Accepted_Campaign_2]]+Table1[[#This Row],[Accepted_Campaign_1]]+Table1[[#This Row],[Accepted_Campaign_5]]+Table1[[#This Row],[Accepted_Campaign_4]]+Table1[[#This Row],[Accepted_Campaign_3]])</f>
        <v>2</v>
      </c>
      <c r="AC1597">
        <v>0</v>
      </c>
      <c r="AD1597">
        <v>0</v>
      </c>
    </row>
    <row r="1598" spans="1:30" x14ac:dyDescent="0.25">
      <c r="A1598">
        <v>41540</v>
      </c>
      <c r="B1598">
        <v>1665</v>
      </c>
      <c r="C1598">
        <v>1964</v>
      </c>
      <c r="D1598" t="s">
        <v>20</v>
      </c>
      <c r="E1598" t="s">
        <v>14</v>
      </c>
      <c r="F1598" t="s">
        <v>7</v>
      </c>
      <c r="G1598">
        <v>64140</v>
      </c>
      <c r="H1598">
        <v>2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f>SUM(Table1[[#This Row],[Gold Spending]]+Table1[[#This Row],[Sweet Spending]]+Table1[[#This Row],[Fish Spending]]+Table1[[#This Row],[Meat Spending]]+Table1[[#This Row],[Fruits Spending]]+Table1[[#This Row],[Wine Spending ]])</f>
        <v>1750</v>
      </c>
      <c r="Q1598">
        <v>5</v>
      </c>
      <c r="R1598">
        <v>2</v>
      </c>
      <c r="S1598">
        <v>5</v>
      </c>
      <c r="T1598">
        <v>6</v>
      </c>
      <c r="U1598">
        <f>SUM(Table1[[#This Row],[Store_Purchases]]+Table1[[#This Row],[Catalog_Purchases]]+Table1[[#This Row],[Web_Purchases]]+Table1[[#This Row],[Deal_Purchases]])</f>
        <v>18</v>
      </c>
      <c r="V1598">
        <v>5</v>
      </c>
      <c r="W1598">
        <v>1</v>
      </c>
      <c r="X1598">
        <v>0</v>
      </c>
      <c r="Y1598">
        <v>1</v>
      </c>
      <c r="Z1598">
        <v>0</v>
      </c>
      <c r="AA1598">
        <v>1</v>
      </c>
      <c r="AB1598">
        <f>SUM(Table1[[#This Row],[Accepted_Campaign_2]]+Table1[[#This Row],[Accepted_Campaign_1]]+Table1[[#This Row],[Accepted_Campaign_5]]+Table1[[#This Row],[Accepted_Campaign_4]]+Table1[[#This Row],[Accepted_Campaign_3]])</f>
        <v>3</v>
      </c>
      <c r="AC1598">
        <v>1</v>
      </c>
      <c r="AD1598">
        <v>0</v>
      </c>
    </row>
    <row r="1599" spans="1:30" x14ac:dyDescent="0.25">
      <c r="A1599">
        <v>41522</v>
      </c>
      <c r="B1599">
        <v>10640</v>
      </c>
      <c r="C1599">
        <v>1974</v>
      </c>
      <c r="D1599" t="s">
        <v>8</v>
      </c>
      <c r="E1599" t="s">
        <v>6</v>
      </c>
      <c r="F1599" t="s">
        <v>12</v>
      </c>
      <c r="G1599">
        <v>44392</v>
      </c>
      <c r="H1599">
        <v>2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f>SUM(Table1[[#This Row],[Gold Spending]]+Table1[[#This Row],[Sweet Spending]]+Table1[[#This Row],[Fish Spending]]+Table1[[#This Row],[Meat Spending]]+Table1[[#This Row],[Fruits Spending]]+Table1[[#This Row],[Wine Spending ]])</f>
        <v>211</v>
      </c>
      <c r="Q1599">
        <v>5</v>
      </c>
      <c r="R1599">
        <v>4</v>
      </c>
      <c r="S1599">
        <v>1</v>
      </c>
      <c r="T1599">
        <v>4</v>
      </c>
      <c r="U1599">
        <f>SUM(Table1[[#This Row],[Store_Purchases]]+Table1[[#This Row],[Catalog_Purchases]]+Table1[[#This Row],[Web_Purchases]]+Table1[[#This Row],[Deal_Purchases]])</f>
        <v>14</v>
      </c>
      <c r="V1599">
        <v>7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f>SUM(Table1[[#This Row],[Accepted_Campaign_2]]+Table1[[#This Row],[Accepted_Campaign_1]]+Table1[[#This Row],[Accepted_Campaign_5]]+Table1[[#This Row],[Accepted_Campaign_4]]+Table1[[#This Row],[Accepted_Campaign_3]])</f>
        <v>0</v>
      </c>
      <c r="AC1599">
        <v>0</v>
      </c>
      <c r="AD1599">
        <v>0</v>
      </c>
    </row>
    <row r="1600" spans="1:30" x14ac:dyDescent="0.25">
      <c r="A1600">
        <v>41491</v>
      </c>
      <c r="B1600">
        <v>7620</v>
      </c>
      <c r="C1600">
        <v>1990</v>
      </c>
      <c r="D1600" t="s">
        <v>17</v>
      </c>
      <c r="E1600" t="s">
        <v>21</v>
      </c>
      <c r="F1600" t="s">
        <v>9</v>
      </c>
      <c r="G1600">
        <v>16185</v>
      </c>
      <c r="H1600">
        <v>1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f>SUM(Table1[[#This Row],[Gold Spending]]+Table1[[#This Row],[Sweet Spending]]+Table1[[#This Row],[Fish Spending]]+Table1[[#This Row],[Meat Spending]]+Table1[[#This Row],[Fruits Spending]]+Table1[[#This Row],[Wine Spending ]])</f>
        <v>106</v>
      </c>
      <c r="Q1600">
        <v>2</v>
      </c>
      <c r="R1600">
        <v>2</v>
      </c>
      <c r="S1600">
        <v>2</v>
      </c>
      <c r="T1600">
        <v>2</v>
      </c>
      <c r="U1600">
        <f>SUM(Table1[[#This Row],[Store_Purchases]]+Table1[[#This Row],[Catalog_Purchases]]+Table1[[#This Row],[Web_Purchases]]+Table1[[#This Row],[Deal_Purchases]])</f>
        <v>8</v>
      </c>
      <c r="V1600">
        <v>8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f>SUM(Table1[[#This Row],[Accepted_Campaign_2]]+Table1[[#This Row],[Accepted_Campaign_1]]+Table1[[#This Row],[Accepted_Campaign_5]]+Table1[[#This Row],[Accepted_Campaign_4]]+Table1[[#This Row],[Accepted_Campaign_3]])</f>
        <v>0</v>
      </c>
      <c r="AC1600">
        <v>0</v>
      </c>
      <c r="AD1600">
        <v>0</v>
      </c>
    </row>
    <row r="1601" spans="1:30" x14ac:dyDescent="0.25">
      <c r="A1601">
        <v>41487</v>
      </c>
      <c r="B1601">
        <v>7761</v>
      </c>
      <c r="C1601">
        <v>1978</v>
      </c>
      <c r="D1601" t="s">
        <v>13</v>
      </c>
      <c r="E1601" t="s">
        <v>15</v>
      </c>
      <c r="F1601" t="s">
        <v>12</v>
      </c>
      <c r="G1601">
        <v>38702</v>
      </c>
      <c r="H1601">
        <v>1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f>SUM(Table1[[#This Row],[Gold Spending]]+Table1[[#This Row],[Sweet Spending]]+Table1[[#This Row],[Fish Spending]]+Table1[[#This Row],[Meat Spending]]+Table1[[#This Row],[Fruits Spending]]+Table1[[#This Row],[Wine Spending ]])</f>
        <v>109</v>
      </c>
      <c r="Q1601">
        <v>2</v>
      </c>
      <c r="R1601">
        <v>3</v>
      </c>
      <c r="S1601">
        <v>0</v>
      </c>
      <c r="T1601">
        <v>4</v>
      </c>
      <c r="U1601">
        <f>SUM(Table1[[#This Row],[Store_Purchases]]+Table1[[#This Row],[Catalog_Purchases]]+Table1[[#This Row],[Web_Purchases]]+Table1[[#This Row],[Deal_Purchases]])</f>
        <v>9</v>
      </c>
      <c r="V1601">
        <v>6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f>SUM(Table1[[#This Row],[Accepted_Campaign_2]]+Table1[[#This Row],[Accepted_Campaign_1]]+Table1[[#This Row],[Accepted_Campaign_5]]+Table1[[#This Row],[Accepted_Campaign_4]]+Table1[[#This Row],[Accepted_Campaign_3]])</f>
        <v>0</v>
      </c>
      <c r="AC1601">
        <v>0</v>
      </c>
      <c r="AD1601">
        <v>0</v>
      </c>
    </row>
    <row r="1602" spans="1:30" x14ac:dyDescent="0.25">
      <c r="A1602">
        <v>41482</v>
      </c>
      <c r="B1602">
        <v>5062</v>
      </c>
      <c r="C1602">
        <v>1963</v>
      </c>
      <c r="D1602" t="s">
        <v>20</v>
      </c>
      <c r="E1602" t="s">
        <v>14</v>
      </c>
      <c r="F1602" t="s">
        <v>11</v>
      </c>
      <c r="G1602">
        <v>54072</v>
      </c>
      <c r="H1602">
        <v>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f>SUM(Table1[[#This Row],[Gold Spending]]+Table1[[#This Row],[Sweet Spending]]+Table1[[#This Row],[Fish Spending]]+Table1[[#This Row],[Meat Spending]]+Table1[[#This Row],[Fruits Spending]]+Table1[[#This Row],[Wine Spending ]])</f>
        <v>39</v>
      </c>
      <c r="Q1602">
        <v>1</v>
      </c>
      <c r="R1602">
        <v>2</v>
      </c>
      <c r="S1602">
        <v>0</v>
      </c>
      <c r="T1602">
        <v>2</v>
      </c>
      <c r="U1602">
        <f>SUM(Table1[[#This Row],[Store_Purchases]]+Table1[[#This Row],[Catalog_Purchases]]+Table1[[#This Row],[Web_Purchases]]+Table1[[#This Row],[Deal_Purchases]])</f>
        <v>5</v>
      </c>
      <c r="V1602">
        <v>8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f>SUM(Table1[[#This Row],[Accepted_Campaign_2]]+Table1[[#This Row],[Accepted_Campaign_1]]+Table1[[#This Row],[Accepted_Campaign_5]]+Table1[[#This Row],[Accepted_Campaign_4]]+Table1[[#This Row],[Accepted_Campaign_3]])</f>
        <v>0</v>
      </c>
      <c r="AC1602">
        <v>0</v>
      </c>
      <c r="AD1602">
        <v>0</v>
      </c>
    </row>
    <row r="1603" spans="1:30" x14ac:dyDescent="0.25">
      <c r="A1603">
        <v>41461</v>
      </c>
      <c r="B1603">
        <v>6349</v>
      </c>
      <c r="C1603">
        <v>1987</v>
      </c>
      <c r="D1603" t="s">
        <v>8</v>
      </c>
      <c r="E1603" t="s">
        <v>18</v>
      </c>
      <c r="F1603" t="s">
        <v>7</v>
      </c>
      <c r="G1603">
        <v>61787</v>
      </c>
      <c r="H1603">
        <v>0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f>SUM(Table1[[#This Row],[Gold Spending]]+Table1[[#This Row],[Sweet Spending]]+Table1[[#This Row],[Fish Spending]]+Table1[[#This Row],[Meat Spending]]+Table1[[#This Row],[Fruits Spending]]+Table1[[#This Row],[Wine Spending ]])</f>
        <v>1319</v>
      </c>
      <c r="Q1603">
        <v>1</v>
      </c>
      <c r="R1603">
        <v>8</v>
      </c>
      <c r="S1603">
        <v>4</v>
      </c>
      <c r="T1603">
        <v>6</v>
      </c>
      <c r="U1603">
        <f>SUM(Table1[[#This Row],[Store_Purchases]]+Table1[[#This Row],[Catalog_Purchases]]+Table1[[#This Row],[Web_Purchases]]+Table1[[#This Row],[Deal_Purchases]])</f>
        <v>19</v>
      </c>
      <c r="V1603">
        <v>5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f>SUM(Table1[[#This Row],[Accepted_Campaign_2]]+Table1[[#This Row],[Accepted_Campaign_1]]+Table1[[#This Row],[Accepted_Campaign_5]]+Table1[[#This Row],[Accepted_Campaign_4]]+Table1[[#This Row],[Accepted_Campaign_3]])</f>
        <v>0</v>
      </c>
      <c r="AC1603">
        <v>0</v>
      </c>
      <c r="AD1603">
        <v>0</v>
      </c>
    </row>
    <row r="1604" spans="1:30" x14ac:dyDescent="0.25">
      <c r="A1604">
        <v>41446</v>
      </c>
      <c r="B1604">
        <v>3386</v>
      </c>
      <c r="C1604">
        <v>1992</v>
      </c>
      <c r="D1604" t="s">
        <v>8</v>
      </c>
      <c r="E1604" t="s">
        <v>6</v>
      </c>
      <c r="F1604" t="s">
        <v>11</v>
      </c>
      <c r="G1604">
        <v>34935</v>
      </c>
      <c r="H1604">
        <v>0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f>SUM(Table1[[#This Row],[Gold Spending]]+Table1[[#This Row],[Sweet Spending]]+Table1[[#This Row],[Fish Spending]]+Table1[[#This Row],[Meat Spending]]+Table1[[#This Row],[Fruits Spending]]+Table1[[#This Row],[Wine Spending ]])</f>
        <v>137</v>
      </c>
      <c r="Q1604">
        <v>1</v>
      </c>
      <c r="R1604">
        <v>2</v>
      </c>
      <c r="S1604">
        <v>1</v>
      </c>
      <c r="T1604">
        <v>4</v>
      </c>
      <c r="U1604">
        <f>SUM(Table1[[#This Row],[Store_Purchases]]+Table1[[#This Row],[Catalog_Purchases]]+Table1[[#This Row],[Web_Purchases]]+Table1[[#This Row],[Deal_Purchases]])</f>
        <v>8</v>
      </c>
      <c r="V1604">
        <v>7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f>SUM(Table1[[#This Row],[Accepted_Campaign_2]]+Table1[[#This Row],[Accepted_Campaign_1]]+Table1[[#This Row],[Accepted_Campaign_5]]+Table1[[#This Row],[Accepted_Campaign_4]]+Table1[[#This Row],[Accepted_Campaign_3]])</f>
        <v>0</v>
      </c>
      <c r="AC1604">
        <v>0</v>
      </c>
      <c r="AD1604">
        <v>0</v>
      </c>
    </row>
    <row r="1605" spans="1:30" x14ac:dyDescent="0.25">
      <c r="A1605">
        <v>41446</v>
      </c>
      <c r="B1605">
        <v>8175</v>
      </c>
      <c r="C1605">
        <v>1992</v>
      </c>
      <c r="D1605" t="s">
        <v>20</v>
      </c>
      <c r="E1605" t="s">
        <v>6</v>
      </c>
      <c r="F1605" t="s">
        <v>11</v>
      </c>
      <c r="G1605">
        <v>34935</v>
      </c>
      <c r="H1605">
        <v>0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f>SUM(Table1[[#This Row],[Gold Spending]]+Table1[[#This Row],[Sweet Spending]]+Table1[[#This Row],[Fish Spending]]+Table1[[#This Row],[Meat Spending]]+Table1[[#This Row],[Fruits Spending]]+Table1[[#This Row],[Wine Spending ]])</f>
        <v>137</v>
      </c>
      <c r="Q1605">
        <v>1</v>
      </c>
      <c r="R1605">
        <v>2</v>
      </c>
      <c r="S1605">
        <v>1</v>
      </c>
      <c r="T1605">
        <v>4</v>
      </c>
      <c r="U1605">
        <f>SUM(Table1[[#This Row],[Store_Purchases]]+Table1[[#This Row],[Catalog_Purchases]]+Table1[[#This Row],[Web_Purchases]]+Table1[[#This Row],[Deal_Purchases]])</f>
        <v>8</v>
      </c>
      <c r="V1605">
        <v>7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f>SUM(Table1[[#This Row],[Accepted_Campaign_2]]+Table1[[#This Row],[Accepted_Campaign_1]]+Table1[[#This Row],[Accepted_Campaign_5]]+Table1[[#This Row],[Accepted_Campaign_4]]+Table1[[#This Row],[Accepted_Campaign_3]])</f>
        <v>0</v>
      </c>
      <c r="AC1605">
        <v>0</v>
      </c>
      <c r="AD1605">
        <v>0</v>
      </c>
    </row>
    <row r="1606" spans="1:30" x14ac:dyDescent="0.25">
      <c r="A1606">
        <v>41438</v>
      </c>
      <c r="B1606">
        <v>6245</v>
      </c>
      <c r="C1606">
        <v>1950</v>
      </c>
      <c r="D1606" t="s">
        <v>8</v>
      </c>
      <c r="E1606" t="s">
        <v>14</v>
      </c>
      <c r="F1606" t="s">
        <v>12</v>
      </c>
      <c r="G1606">
        <v>59292</v>
      </c>
      <c r="H1606">
        <v>1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f>SUM(Table1[[#This Row],[Gold Spending]]+Table1[[#This Row],[Sweet Spending]]+Table1[[#This Row],[Fish Spending]]+Table1[[#This Row],[Meat Spending]]+Table1[[#This Row],[Fruits Spending]]+Table1[[#This Row],[Wine Spending ]])</f>
        <v>507</v>
      </c>
      <c r="Q1606">
        <v>2</v>
      </c>
      <c r="R1606">
        <v>3</v>
      </c>
      <c r="S1606">
        <v>5</v>
      </c>
      <c r="T1606">
        <v>8</v>
      </c>
      <c r="U1606">
        <f>SUM(Table1[[#This Row],[Store_Purchases]]+Table1[[#This Row],[Catalog_Purchases]]+Table1[[#This Row],[Web_Purchases]]+Table1[[#This Row],[Deal_Purchases]])</f>
        <v>18</v>
      </c>
      <c r="V1606">
        <v>3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f>SUM(Table1[[#This Row],[Accepted_Campaign_2]]+Table1[[#This Row],[Accepted_Campaign_1]]+Table1[[#This Row],[Accepted_Campaign_5]]+Table1[[#This Row],[Accepted_Campaign_4]]+Table1[[#This Row],[Accepted_Campaign_3]])</f>
        <v>0</v>
      </c>
      <c r="AC1606">
        <v>0</v>
      </c>
      <c r="AD1606">
        <v>0</v>
      </c>
    </row>
    <row r="1607" spans="1:30" x14ac:dyDescent="0.25">
      <c r="A1607">
        <v>41438</v>
      </c>
      <c r="B1607">
        <v>8780</v>
      </c>
      <c r="C1607">
        <v>1950</v>
      </c>
      <c r="D1607" t="s">
        <v>8</v>
      </c>
      <c r="E1607" t="s">
        <v>14</v>
      </c>
      <c r="F1607" t="s">
        <v>12</v>
      </c>
      <c r="G1607">
        <v>59292</v>
      </c>
      <c r="H1607">
        <v>1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f>SUM(Table1[[#This Row],[Gold Spending]]+Table1[[#This Row],[Sweet Spending]]+Table1[[#This Row],[Fish Spending]]+Table1[[#This Row],[Meat Spending]]+Table1[[#This Row],[Fruits Spending]]+Table1[[#This Row],[Wine Spending ]])</f>
        <v>507</v>
      </c>
      <c r="Q1607">
        <v>2</v>
      </c>
      <c r="R1607">
        <v>3</v>
      </c>
      <c r="S1607">
        <v>5</v>
      </c>
      <c r="T1607">
        <v>8</v>
      </c>
      <c r="U1607">
        <f>SUM(Table1[[#This Row],[Store_Purchases]]+Table1[[#This Row],[Catalog_Purchases]]+Table1[[#This Row],[Web_Purchases]]+Table1[[#This Row],[Deal_Purchases]])</f>
        <v>18</v>
      </c>
      <c r="V1607">
        <v>3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f>SUM(Table1[[#This Row],[Accepted_Campaign_2]]+Table1[[#This Row],[Accepted_Campaign_1]]+Table1[[#This Row],[Accepted_Campaign_5]]+Table1[[#This Row],[Accepted_Campaign_4]]+Table1[[#This Row],[Accepted_Campaign_3]])</f>
        <v>0</v>
      </c>
      <c r="AC1607">
        <v>0</v>
      </c>
      <c r="AD1607">
        <v>0</v>
      </c>
    </row>
    <row r="1608" spans="1:30" x14ac:dyDescent="0.25">
      <c r="A1608">
        <v>41396</v>
      </c>
      <c r="B1608">
        <v>2276</v>
      </c>
      <c r="C1608">
        <v>1955</v>
      </c>
      <c r="D1608" t="s">
        <v>8</v>
      </c>
      <c r="E1608" t="s">
        <v>6</v>
      </c>
      <c r="F1608" t="s">
        <v>9</v>
      </c>
      <c r="G1608">
        <v>57959</v>
      </c>
      <c r="H1608">
        <v>1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f>SUM(Table1[[#This Row],[Gold Spending]]+Table1[[#This Row],[Sweet Spending]]+Table1[[#This Row],[Fish Spending]]+Table1[[#This Row],[Meat Spending]]+Table1[[#This Row],[Fruits Spending]]+Table1[[#This Row],[Wine Spending ]])</f>
        <v>868</v>
      </c>
      <c r="Q1608">
        <v>5</v>
      </c>
      <c r="R1608">
        <v>4</v>
      </c>
      <c r="S1608">
        <v>7</v>
      </c>
      <c r="T1608">
        <v>11</v>
      </c>
      <c r="U1608">
        <f>SUM(Table1[[#This Row],[Store_Purchases]]+Table1[[#This Row],[Catalog_Purchases]]+Table1[[#This Row],[Web_Purchases]]+Table1[[#This Row],[Deal_Purchases]])</f>
        <v>27</v>
      </c>
      <c r="V1608">
        <v>3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f>SUM(Table1[[#This Row],[Accepted_Campaign_2]]+Table1[[#This Row],[Accepted_Campaign_1]]+Table1[[#This Row],[Accepted_Campaign_5]]+Table1[[#This Row],[Accepted_Campaign_4]]+Table1[[#This Row],[Accepted_Campaign_3]])</f>
        <v>0</v>
      </c>
      <c r="AC1608">
        <v>0</v>
      </c>
      <c r="AD1608">
        <v>0</v>
      </c>
    </row>
    <row r="1609" spans="1:30" x14ac:dyDescent="0.25">
      <c r="A1609">
        <v>41395</v>
      </c>
      <c r="B1609">
        <v>1172</v>
      </c>
      <c r="C1609">
        <v>1983</v>
      </c>
      <c r="D1609" t="s">
        <v>8</v>
      </c>
      <c r="E1609" t="s">
        <v>14</v>
      </c>
      <c r="F1609" t="s">
        <v>11</v>
      </c>
      <c r="G1609">
        <v>92491</v>
      </c>
      <c r="H1609">
        <v>0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f>SUM(Table1[[#This Row],[Gold Spending]]+Table1[[#This Row],[Sweet Spending]]+Table1[[#This Row],[Fish Spending]]+Table1[[#This Row],[Meat Spending]]+Table1[[#This Row],[Fruits Spending]]+Table1[[#This Row],[Wine Spending ]])</f>
        <v>2034</v>
      </c>
      <c r="Q1609">
        <v>1</v>
      </c>
      <c r="R1609">
        <v>7</v>
      </c>
      <c r="S1609">
        <v>5</v>
      </c>
      <c r="T1609">
        <v>12</v>
      </c>
      <c r="U1609">
        <f>SUM(Table1[[#This Row],[Store_Purchases]]+Table1[[#This Row],[Catalog_Purchases]]+Table1[[#This Row],[Web_Purchases]]+Table1[[#This Row],[Deal_Purchases]])</f>
        <v>25</v>
      </c>
      <c r="V1609">
        <v>3</v>
      </c>
      <c r="W1609">
        <v>0</v>
      </c>
      <c r="X1609">
        <v>1</v>
      </c>
      <c r="Y1609">
        <v>1</v>
      </c>
      <c r="Z1609">
        <v>1</v>
      </c>
      <c r="AA1609">
        <v>0</v>
      </c>
      <c r="AB1609">
        <f>SUM(Table1[[#This Row],[Accepted_Campaign_2]]+Table1[[#This Row],[Accepted_Campaign_1]]+Table1[[#This Row],[Accepted_Campaign_5]]+Table1[[#This Row],[Accepted_Campaign_4]]+Table1[[#This Row],[Accepted_Campaign_3]])</f>
        <v>3</v>
      </c>
      <c r="AC1609">
        <v>1</v>
      </c>
      <c r="AD1609">
        <v>0</v>
      </c>
    </row>
    <row r="1610" spans="1:30" x14ac:dyDescent="0.25">
      <c r="A1610">
        <v>41365</v>
      </c>
      <c r="B1610">
        <v>3225</v>
      </c>
      <c r="C1610">
        <v>1984</v>
      </c>
      <c r="D1610" t="s">
        <v>8</v>
      </c>
      <c r="E1610" t="s">
        <v>18</v>
      </c>
      <c r="F1610" t="s">
        <v>11</v>
      </c>
      <c r="G1610">
        <v>42207</v>
      </c>
      <c r="H1610">
        <v>1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f>SUM(Table1[[#This Row],[Gold Spending]]+Table1[[#This Row],[Sweet Spending]]+Table1[[#This Row],[Fish Spending]]+Table1[[#This Row],[Meat Spending]]+Table1[[#This Row],[Fruits Spending]]+Table1[[#This Row],[Wine Spending ]])</f>
        <v>265</v>
      </c>
      <c r="Q1610">
        <v>4</v>
      </c>
      <c r="R1610">
        <v>4</v>
      </c>
      <c r="S1610">
        <v>1</v>
      </c>
      <c r="T1610">
        <v>5</v>
      </c>
      <c r="U1610">
        <f>SUM(Table1[[#This Row],[Store_Purchases]]+Table1[[#This Row],[Catalog_Purchases]]+Table1[[#This Row],[Web_Purchases]]+Table1[[#This Row],[Deal_Purchases]])</f>
        <v>14</v>
      </c>
      <c r="V1610">
        <v>6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f>SUM(Table1[[#This Row],[Accepted_Campaign_2]]+Table1[[#This Row],[Accepted_Campaign_1]]+Table1[[#This Row],[Accepted_Campaign_5]]+Table1[[#This Row],[Accepted_Campaign_4]]+Table1[[#This Row],[Accepted_Campaign_3]])</f>
        <v>1</v>
      </c>
      <c r="AC1610">
        <v>1</v>
      </c>
      <c r="AD1610">
        <v>0</v>
      </c>
    </row>
    <row r="1611" spans="1:30" x14ac:dyDescent="0.25">
      <c r="A1611">
        <v>41359</v>
      </c>
      <c r="B1611">
        <v>8629</v>
      </c>
      <c r="C1611">
        <v>1956</v>
      </c>
      <c r="D1611" t="s">
        <v>10</v>
      </c>
      <c r="E1611" t="s">
        <v>6</v>
      </c>
      <c r="F1611" t="s">
        <v>19</v>
      </c>
      <c r="G1611">
        <v>46984</v>
      </c>
      <c r="H1611">
        <v>2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f>SUM(Table1[[#This Row],[Gold Spending]]+Table1[[#This Row],[Sweet Spending]]+Table1[[#This Row],[Fish Spending]]+Table1[[#This Row],[Meat Spending]]+Table1[[#This Row],[Fruits Spending]]+Table1[[#This Row],[Wine Spending ]])</f>
        <v>41</v>
      </c>
      <c r="Q1611">
        <v>1</v>
      </c>
      <c r="R1611">
        <v>1</v>
      </c>
      <c r="S1611">
        <v>0</v>
      </c>
      <c r="T1611">
        <v>3</v>
      </c>
      <c r="U1611">
        <f>SUM(Table1[[#This Row],[Store_Purchases]]+Table1[[#This Row],[Catalog_Purchases]]+Table1[[#This Row],[Web_Purchases]]+Table1[[#This Row],[Deal_Purchases]])</f>
        <v>5</v>
      </c>
      <c r="V1611">
        <v>5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f>SUM(Table1[[#This Row],[Accepted_Campaign_2]]+Table1[[#This Row],[Accepted_Campaign_1]]+Table1[[#This Row],[Accepted_Campaign_5]]+Table1[[#This Row],[Accepted_Campaign_4]]+Table1[[#This Row],[Accepted_Campaign_3]])</f>
        <v>0</v>
      </c>
      <c r="AC1611">
        <v>0</v>
      </c>
      <c r="AD1611">
        <v>0</v>
      </c>
    </row>
    <row r="1612" spans="1:30" x14ac:dyDescent="0.25">
      <c r="A1612">
        <v>41267</v>
      </c>
      <c r="B1612">
        <v>798</v>
      </c>
      <c r="C1612">
        <v>1987</v>
      </c>
      <c r="D1612" t="s">
        <v>8</v>
      </c>
      <c r="E1612" t="s">
        <v>6</v>
      </c>
      <c r="F1612" t="s">
        <v>9</v>
      </c>
      <c r="G1612">
        <v>23442</v>
      </c>
      <c r="H1612">
        <v>1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f>SUM(Table1[[#This Row],[Gold Spending]]+Table1[[#This Row],[Sweet Spending]]+Table1[[#This Row],[Fish Spending]]+Table1[[#This Row],[Meat Spending]]+Table1[[#This Row],[Fruits Spending]]+Table1[[#This Row],[Wine Spending ]])</f>
        <v>27</v>
      </c>
      <c r="Q1612">
        <v>1</v>
      </c>
      <c r="R1612">
        <v>1</v>
      </c>
      <c r="S1612">
        <v>0</v>
      </c>
      <c r="T1612">
        <v>3</v>
      </c>
      <c r="U1612">
        <f>SUM(Table1[[#This Row],[Store_Purchases]]+Table1[[#This Row],[Catalog_Purchases]]+Table1[[#This Row],[Web_Purchases]]+Table1[[#This Row],[Deal_Purchases]])</f>
        <v>5</v>
      </c>
      <c r="V1612">
        <v>7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f>SUM(Table1[[#This Row],[Accepted_Campaign_2]]+Table1[[#This Row],[Accepted_Campaign_1]]+Table1[[#This Row],[Accepted_Campaign_5]]+Table1[[#This Row],[Accepted_Campaign_4]]+Table1[[#This Row],[Accepted_Campaign_3]])</f>
        <v>0</v>
      </c>
      <c r="AC1612">
        <v>0</v>
      </c>
      <c r="AD1612">
        <v>0</v>
      </c>
    </row>
    <row r="1613" spans="1:30" x14ac:dyDescent="0.25">
      <c r="A1613">
        <v>41229</v>
      </c>
      <c r="B1613">
        <v>269</v>
      </c>
      <c r="C1613">
        <v>1963</v>
      </c>
      <c r="D1613" t="s">
        <v>8</v>
      </c>
      <c r="E1613" t="s">
        <v>14</v>
      </c>
      <c r="F1613" t="s">
        <v>9</v>
      </c>
      <c r="G1613">
        <v>46757</v>
      </c>
      <c r="H1613">
        <v>1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f>SUM(Table1[[#This Row],[Gold Spending]]+Table1[[#This Row],[Sweet Spending]]+Table1[[#This Row],[Fish Spending]]+Table1[[#This Row],[Meat Spending]]+Table1[[#This Row],[Fruits Spending]]+Table1[[#This Row],[Wine Spending ]])</f>
        <v>1143</v>
      </c>
      <c r="Q1613">
        <v>6</v>
      </c>
      <c r="R1613">
        <v>4</v>
      </c>
      <c r="S1613">
        <v>4</v>
      </c>
      <c r="T1613">
        <v>7</v>
      </c>
      <c r="U1613">
        <f>SUM(Table1[[#This Row],[Store_Purchases]]+Table1[[#This Row],[Catalog_Purchases]]+Table1[[#This Row],[Web_Purchases]]+Table1[[#This Row],[Deal_Purchases]])</f>
        <v>21</v>
      </c>
      <c r="V1613">
        <v>9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f>SUM(Table1[[#This Row],[Accepted_Campaign_2]]+Table1[[#This Row],[Accepted_Campaign_1]]+Table1[[#This Row],[Accepted_Campaign_5]]+Table1[[#This Row],[Accepted_Campaign_4]]+Table1[[#This Row],[Accepted_Campaign_3]])</f>
        <v>0</v>
      </c>
      <c r="AC1613">
        <v>0</v>
      </c>
      <c r="AD1613">
        <v>0</v>
      </c>
    </row>
    <row r="1614" spans="1:30" x14ac:dyDescent="0.25">
      <c r="A1614">
        <v>41222</v>
      </c>
      <c r="B1614">
        <v>8213</v>
      </c>
      <c r="C1614">
        <v>1980</v>
      </c>
      <c r="D1614" t="s">
        <v>8</v>
      </c>
      <c r="E1614" t="s">
        <v>15</v>
      </c>
      <c r="F1614" t="s">
        <v>12</v>
      </c>
      <c r="G1614">
        <v>14515</v>
      </c>
      <c r="H1614">
        <v>1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f>SUM(Table1[[#This Row],[Gold Spending]]+Table1[[#This Row],[Sweet Spending]]+Table1[[#This Row],[Fish Spending]]+Table1[[#This Row],[Meat Spending]]+Table1[[#This Row],[Fruits Spending]]+Table1[[#This Row],[Wine Spending ]])</f>
        <v>96</v>
      </c>
      <c r="Q1614">
        <v>4</v>
      </c>
      <c r="R1614">
        <v>2</v>
      </c>
      <c r="S1614">
        <v>2</v>
      </c>
      <c r="T1614">
        <v>3</v>
      </c>
      <c r="U1614">
        <f>SUM(Table1[[#This Row],[Store_Purchases]]+Table1[[#This Row],[Catalog_Purchases]]+Table1[[#This Row],[Web_Purchases]]+Table1[[#This Row],[Deal_Purchases]])</f>
        <v>11</v>
      </c>
      <c r="V1614">
        <v>7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f>SUM(Table1[[#This Row],[Accepted_Campaign_2]]+Table1[[#This Row],[Accepted_Campaign_1]]+Table1[[#This Row],[Accepted_Campaign_5]]+Table1[[#This Row],[Accepted_Campaign_4]]+Table1[[#This Row],[Accepted_Campaign_3]])</f>
        <v>0</v>
      </c>
      <c r="AC1614">
        <v>1</v>
      </c>
      <c r="AD1614">
        <v>0</v>
      </c>
    </row>
    <row r="1615" spans="1:30" x14ac:dyDescent="0.25">
      <c r="A1615">
        <v>41213</v>
      </c>
      <c r="B1615">
        <v>10245</v>
      </c>
      <c r="C1615">
        <v>1986</v>
      </c>
      <c r="D1615" t="s">
        <v>8</v>
      </c>
      <c r="E1615" t="s">
        <v>15</v>
      </c>
      <c r="F1615" t="s">
        <v>9</v>
      </c>
      <c r="G1615">
        <v>80910</v>
      </c>
      <c r="H1615">
        <v>0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f>SUM(Table1[[#This Row],[Gold Spending]]+Table1[[#This Row],[Sweet Spending]]+Table1[[#This Row],[Fish Spending]]+Table1[[#This Row],[Meat Spending]]+Table1[[#This Row],[Fruits Spending]]+Table1[[#This Row],[Wine Spending ]])</f>
        <v>756</v>
      </c>
      <c r="Q1615">
        <v>1</v>
      </c>
      <c r="R1615">
        <v>3</v>
      </c>
      <c r="S1615">
        <v>3</v>
      </c>
      <c r="T1615">
        <v>8</v>
      </c>
      <c r="U1615">
        <f>SUM(Table1[[#This Row],[Store_Purchases]]+Table1[[#This Row],[Catalog_Purchases]]+Table1[[#This Row],[Web_Purchases]]+Table1[[#This Row],[Deal_Purchases]])</f>
        <v>15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f>SUM(Table1[[#This Row],[Accepted_Campaign_2]]+Table1[[#This Row],[Accepted_Campaign_1]]+Table1[[#This Row],[Accepted_Campaign_5]]+Table1[[#This Row],[Accepted_Campaign_4]]+Table1[[#This Row],[Accepted_Campaign_3]])</f>
        <v>0</v>
      </c>
      <c r="AC1615">
        <v>0</v>
      </c>
      <c r="AD1615">
        <v>0</v>
      </c>
    </row>
    <row r="1616" spans="1:30" x14ac:dyDescent="0.25">
      <c r="A1616">
        <v>41199</v>
      </c>
      <c r="B1616">
        <v>2447</v>
      </c>
      <c r="C1616">
        <v>1979</v>
      </c>
      <c r="D1616" t="s">
        <v>17</v>
      </c>
      <c r="E1616" t="s">
        <v>6</v>
      </c>
      <c r="F1616" t="s">
        <v>12</v>
      </c>
      <c r="G1616">
        <v>30545</v>
      </c>
      <c r="H1616">
        <v>1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f>SUM(Table1[[#This Row],[Gold Spending]]+Table1[[#This Row],[Sweet Spending]]+Table1[[#This Row],[Fish Spending]]+Table1[[#This Row],[Meat Spending]]+Table1[[#This Row],[Fruits Spending]]+Table1[[#This Row],[Wine Spending ]])</f>
        <v>69</v>
      </c>
      <c r="Q1616">
        <v>2</v>
      </c>
      <c r="R1616">
        <v>2</v>
      </c>
      <c r="S1616">
        <v>0</v>
      </c>
      <c r="T1616">
        <v>3</v>
      </c>
      <c r="U1616">
        <f>SUM(Table1[[#This Row],[Store_Purchases]]+Table1[[#This Row],[Catalog_Purchases]]+Table1[[#This Row],[Web_Purchases]]+Table1[[#This Row],[Deal_Purchases]])</f>
        <v>7</v>
      </c>
      <c r="V1616">
        <v>7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f>SUM(Table1[[#This Row],[Accepted_Campaign_2]]+Table1[[#This Row],[Accepted_Campaign_1]]+Table1[[#This Row],[Accepted_Campaign_5]]+Table1[[#This Row],[Accepted_Campaign_4]]+Table1[[#This Row],[Accepted_Campaign_3]])</f>
        <v>0</v>
      </c>
      <c r="AC1616">
        <v>0</v>
      </c>
      <c r="AD1616">
        <v>0</v>
      </c>
    </row>
    <row r="1617" spans="1:30" x14ac:dyDescent="0.25">
      <c r="A1617">
        <v>41142</v>
      </c>
      <c r="B1617">
        <v>9817</v>
      </c>
      <c r="C1617">
        <v>1970</v>
      </c>
      <c r="D1617" t="s">
        <v>17</v>
      </c>
      <c r="E1617" t="s">
        <v>18</v>
      </c>
      <c r="F1617" t="s">
        <v>9</v>
      </c>
      <c r="G1617">
        <v>44802</v>
      </c>
      <c r="H1617">
        <v>0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f>SUM(Table1[[#This Row],[Gold Spending]]+Table1[[#This Row],[Sweet Spending]]+Table1[[#This Row],[Fish Spending]]+Table1[[#This Row],[Meat Spending]]+Table1[[#This Row],[Fruits Spending]]+Table1[[#This Row],[Wine Spending ]])</f>
        <v>1049</v>
      </c>
      <c r="Q1617">
        <v>2</v>
      </c>
      <c r="R1617">
        <v>9</v>
      </c>
      <c r="S1617">
        <v>4</v>
      </c>
      <c r="T1617">
        <v>12</v>
      </c>
      <c r="U1617">
        <f>SUM(Table1[[#This Row],[Store_Purchases]]+Table1[[#This Row],[Catalog_Purchases]]+Table1[[#This Row],[Web_Purchases]]+Table1[[#This Row],[Deal_Purchases]])</f>
        <v>27</v>
      </c>
      <c r="V1617">
        <v>8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f>SUM(Table1[[#This Row],[Accepted_Campaign_2]]+Table1[[#This Row],[Accepted_Campaign_1]]+Table1[[#This Row],[Accepted_Campaign_5]]+Table1[[#This Row],[Accepted_Campaign_4]]+Table1[[#This Row],[Accepted_Campaign_3]])</f>
        <v>0</v>
      </c>
      <c r="AC1617">
        <v>0</v>
      </c>
      <c r="AD1617">
        <v>0</v>
      </c>
    </row>
    <row r="1618" spans="1:30" x14ac:dyDescent="0.25">
      <c r="A1618">
        <v>41818</v>
      </c>
      <c r="B1618">
        <v>1371</v>
      </c>
      <c r="C1618">
        <v>1976</v>
      </c>
      <c r="D1618" t="s">
        <v>13</v>
      </c>
      <c r="E1618" t="s">
        <v>6</v>
      </c>
      <c r="F1618" t="s">
        <v>9</v>
      </c>
      <c r="G1618">
        <v>79941</v>
      </c>
      <c r="H1618">
        <v>0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f>SUM(Table1[[#This Row],[Gold Spending]]+Table1[[#This Row],[Sweet Spending]]+Table1[[#This Row],[Fish Spending]]+Table1[[#This Row],[Meat Spending]]+Table1[[#This Row],[Fruits Spending]]+Table1[[#This Row],[Wine Spending ]])</f>
        <v>984</v>
      </c>
      <c r="Q1618">
        <v>1</v>
      </c>
      <c r="R1618">
        <v>2</v>
      </c>
      <c r="S1618">
        <v>4</v>
      </c>
      <c r="T1618">
        <v>9</v>
      </c>
      <c r="U1618">
        <f>SUM(Table1[[#This Row],[Store_Purchases]]+Table1[[#This Row],[Catalog_Purchases]]+Table1[[#This Row],[Web_Purchases]]+Table1[[#This Row],[Deal_Purchases]])</f>
        <v>16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f>SUM(Table1[[#This Row],[Accepted_Campaign_2]]+Table1[[#This Row],[Accepted_Campaign_1]]+Table1[[#This Row],[Accepted_Campaign_5]]+Table1[[#This Row],[Accepted_Campaign_4]]+Table1[[#This Row],[Accepted_Campaign_3]])</f>
        <v>0</v>
      </c>
      <c r="AC1618">
        <v>0</v>
      </c>
      <c r="AD1618">
        <v>0</v>
      </c>
    </row>
    <row r="1619" spans="1:30" x14ac:dyDescent="0.25">
      <c r="A1619">
        <v>41818</v>
      </c>
      <c r="B1619">
        <v>8093</v>
      </c>
      <c r="C1619">
        <v>1969</v>
      </c>
      <c r="D1619" t="s">
        <v>8</v>
      </c>
      <c r="E1619" t="s">
        <v>18</v>
      </c>
      <c r="F1619" t="s">
        <v>11</v>
      </c>
      <c r="G1619">
        <v>79734</v>
      </c>
      <c r="H1619">
        <v>0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f>SUM(Table1[[#This Row],[Gold Spending]]+Table1[[#This Row],[Sweet Spending]]+Table1[[#This Row],[Fish Spending]]+Table1[[#This Row],[Meat Spending]]+Table1[[#This Row],[Fruits Spending]]+Table1[[#This Row],[Wine Spending ]])</f>
        <v>914</v>
      </c>
      <c r="Q1619">
        <v>1</v>
      </c>
      <c r="R1619">
        <v>4</v>
      </c>
      <c r="S1619">
        <v>3</v>
      </c>
      <c r="T1619">
        <v>6</v>
      </c>
      <c r="U1619">
        <f>SUM(Table1[[#This Row],[Store_Purchases]]+Table1[[#This Row],[Catalog_Purchases]]+Table1[[#This Row],[Web_Purchases]]+Table1[[#This Row],[Deal_Purchases]])</f>
        <v>14</v>
      </c>
      <c r="V1619">
        <v>1</v>
      </c>
      <c r="W1619">
        <v>0</v>
      </c>
      <c r="X1619">
        <v>0</v>
      </c>
      <c r="Y1619">
        <v>0</v>
      </c>
      <c r="Z1619">
        <v>1</v>
      </c>
      <c r="AA1619">
        <v>0</v>
      </c>
      <c r="AB1619">
        <f>SUM(Table1[[#This Row],[Accepted_Campaign_2]]+Table1[[#This Row],[Accepted_Campaign_1]]+Table1[[#This Row],[Accepted_Campaign_5]]+Table1[[#This Row],[Accepted_Campaign_4]]+Table1[[#This Row],[Accepted_Campaign_3]])</f>
        <v>1</v>
      </c>
      <c r="AC1619">
        <v>0</v>
      </c>
      <c r="AD1619">
        <v>0</v>
      </c>
    </row>
    <row r="1620" spans="1:30" x14ac:dyDescent="0.25">
      <c r="A1620">
        <v>41798</v>
      </c>
      <c r="B1620">
        <v>713</v>
      </c>
      <c r="C1620">
        <v>1977</v>
      </c>
      <c r="D1620" t="s">
        <v>8</v>
      </c>
      <c r="E1620" t="s">
        <v>18</v>
      </c>
      <c r="F1620" t="s">
        <v>11</v>
      </c>
      <c r="G1620">
        <v>50353</v>
      </c>
      <c r="H1620">
        <v>0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f>SUM(Table1[[#This Row],[Gold Spending]]+Table1[[#This Row],[Sweet Spending]]+Table1[[#This Row],[Fish Spending]]+Table1[[#This Row],[Meat Spending]]+Table1[[#This Row],[Fruits Spending]]+Table1[[#This Row],[Wine Spending ]])</f>
        <v>442</v>
      </c>
      <c r="Q1620">
        <v>1</v>
      </c>
      <c r="R1620">
        <v>4</v>
      </c>
      <c r="S1620">
        <v>4</v>
      </c>
      <c r="T1620">
        <v>6</v>
      </c>
      <c r="U1620">
        <f>SUM(Table1[[#This Row],[Store_Purchases]]+Table1[[#This Row],[Catalog_Purchases]]+Table1[[#This Row],[Web_Purchases]]+Table1[[#This Row],[Deal_Purchases]])</f>
        <v>15</v>
      </c>
      <c r="V1620">
        <v>3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f>SUM(Table1[[#This Row],[Accepted_Campaign_2]]+Table1[[#This Row],[Accepted_Campaign_1]]+Table1[[#This Row],[Accepted_Campaign_5]]+Table1[[#This Row],[Accepted_Campaign_4]]+Table1[[#This Row],[Accepted_Campaign_3]])</f>
        <v>0</v>
      </c>
      <c r="AC1620">
        <v>0</v>
      </c>
      <c r="AD1620">
        <v>0</v>
      </c>
    </row>
    <row r="1621" spans="1:30" x14ac:dyDescent="0.25">
      <c r="A1621">
        <v>41769</v>
      </c>
      <c r="B1621">
        <v>11051</v>
      </c>
      <c r="C1621">
        <v>1956</v>
      </c>
      <c r="D1621" t="s">
        <v>10</v>
      </c>
      <c r="E1621" t="s">
        <v>14</v>
      </c>
      <c r="F1621" t="s">
        <v>12</v>
      </c>
      <c r="G1621">
        <v>77376</v>
      </c>
      <c r="H1621">
        <v>2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f>SUM(Table1[[#This Row],[Gold Spending]]+Table1[[#This Row],[Sweet Spending]]+Table1[[#This Row],[Fish Spending]]+Table1[[#This Row],[Meat Spending]]+Table1[[#This Row],[Fruits Spending]]+Table1[[#This Row],[Wine Spending ]])</f>
        <v>661</v>
      </c>
      <c r="Q1621">
        <v>4</v>
      </c>
      <c r="R1621">
        <v>6</v>
      </c>
      <c r="S1621">
        <v>3</v>
      </c>
      <c r="T1621">
        <v>10</v>
      </c>
      <c r="U1621">
        <f>SUM(Table1[[#This Row],[Store_Purchases]]+Table1[[#This Row],[Catalog_Purchases]]+Table1[[#This Row],[Web_Purchases]]+Table1[[#This Row],[Deal_Purchases]])</f>
        <v>23</v>
      </c>
      <c r="V1621">
        <v>4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f>SUM(Table1[[#This Row],[Accepted_Campaign_2]]+Table1[[#This Row],[Accepted_Campaign_1]]+Table1[[#This Row],[Accepted_Campaign_5]]+Table1[[#This Row],[Accepted_Campaign_4]]+Table1[[#This Row],[Accepted_Campaign_3]])</f>
        <v>0</v>
      </c>
      <c r="AC1621">
        <v>0</v>
      </c>
      <c r="AD1621">
        <v>0</v>
      </c>
    </row>
    <row r="1622" spans="1:30" x14ac:dyDescent="0.25">
      <c r="A1622">
        <v>41734</v>
      </c>
      <c r="B1622">
        <v>5545</v>
      </c>
      <c r="C1622">
        <v>1972</v>
      </c>
      <c r="D1622" t="s">
        <v>8</v>
      </c>
      <c r="E1622" t="s">
        <v>14</v>
      </c>
      <c r="F1622" t="s">
        <v>11</v>
      </c>
      <c r="G1622">
        <v>78075</v>
      </c>
      <c r="H1622">
        <v>0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f>SUM(Table1[[#This Row],[Gold Spending]]+Table1[[#This Row],[Sweet Spending]]+Table1[[#This Row],[Fish Spending]]+Table1[[#This Row],[Meat Spending]]+Table1[[#This Row],[Fruits Spending]]+Table1[[#This Row],[Wine Spending ]])</f>
        <v>988</v>
      </c>
      <c r="Q1622">
        <v>1</v>
      </c>
      <c r="R1622">
        <v>3</v>
      </c>
      <c r="S1622">
        <v>5</v>
      </c>
      <c r="T1622">
        <v>5</v>
      </c>
      <c r="U1622">
        <f>SUM(Table1[[#This Row],[Store_Purchases]]+Table1[[#This Row],[Catalog_Purchases]]+Table1[[#This Row],[Web_Purchases]]+Table1[[#This Row],[Deal_Purchases]])</f>
        <v>14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f>SUM(Table1[[#This Row],[Accepted_Campaign_2]]+Table1[[#This Row],[Accepted_Campaign_1]]+Table1[[#This Row],[Accepted_Campaign_5]]+Table1[[#This Row],[Accepted_Campaign_4]]+Table1[[#This Row],[Accepted_Campaign_3]])</f>
        <v>0</v>
      </c>
      <c r="AC1622">
        <v>0</v>
      </c>
      <c r="AD1622">
        <v>0</v>
      </c>
    </row>
    <row r="1623" spans="1:30" x14ac:dyDescent="0.25">
      <c r="A1623">
        <v>41687</v>
      </c>
      <c r="B1623">
        <v>5283</v>
      </c>
      <c r="C1623">
        <v>1976</v>
      </c>
      <c r="D1623" t="s">
        <v>8</v>
      </c>
      <c r="E1623" t="s">
        <v>14</v>
      </c>
      <c r="F1623" t="s">
        <v>9</v>
      </c>
      <c r="G1623">
        <v>42473</v>
      </c>
      <c r="H1623">
        <v>2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f>SUM(Table1[[#This Row],[Gold Spending]]+Table1[[#This Row],[Sweet Spending]]+Table1[[#This Row],[Fish Spending]]+Table1[[#This Row],[Meat Spending]]+Table1[[#This Row],[Fruits Spending]]+Table1[[#This Row],[Wine Spending ]])</f>
        <v>144</v>
      </c>
      <c r="Q1623">
        <v>3</v>
      </c>
      <c r="R1623">
        <v>2</v>
      </c>
      <c r="S1623">
        <v>1</v>
      </c>
      <c r="T1623">
        <v>4</v>
      </c>
      <c r="U1623">
        <f>SUM(Table1[[#This Row],[Store_Purchases]]+Table1[[#This Row],[Catalog_Purchases]]+Table1[[#This Row],[Web_Purchases]]+Table1[[#This Row],[Deal_Purchases]])</f>
        <v>10</v>
      </c>
      <c r="V1623">
        <v>5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f>SUM(Table1[[#This Row],[Accepted_Campaign_2]]+Table1[[#This Row],[Accepted_Campaign_1]]+Table1[[#This Row],[Accepted_Campaign_5]]+Table1[[#This Row],[Accepted_Campaign_4]]+Table1[[#This Row],[Accepted_Campaign_3]])</f>
        <v>0</v>
      </c>
      <c r="AC1623">
        <v>0</v>
      </c>
      <c r="AD1623">
        <v>0</v>
      </c>
    </row>
    <row r="1624" spans="1:30" x14ac:dyDescent="0.25">
      <c r="A1624">
        <v>41672</v>
      </c>
      <c r="B1624">
        <v>5010</v>
      </c>
      <c r="C1624">
        <v>1988</v>
      </c>
      <c r="D1624" t="s">
        <v>8</v>
      </c>
      <c r="E1624" t="s">
        <v>6</v>
      </c>
      <c r="F1624" t="s">
        <v>9</v>
      </c>
      <c r="G1624">
        <v>25008</v>
      </c>
      <c r="H1624">
        <v>1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f>SUM(Table1[[#This Row],[Gold Spending]]+Table1[[#This Row],[Sweet Spending]]+Table1[[#This Row],[Fish Spending]]+Table1[[#This Row],[Meat Spending]]+Table1[[#This Row],[Fruits Spending]]+Table1[[#This Row],[Wine Spending ]])</f>
        <v>34</v>
      </c>
      <c r="Q1624">
        <v>2</v>
      </c>
      <c r="R1624">
        <v>1</v>
      </c>
      <c r="S1624">
        <v>0</v>
      </c>
      <c r="T1624">
        <v>3</v>
      </c>
      <c r="U1624">
        <f>SUM(Table1[[#This Row],[Store_Purchases]]+Table1[[#This Row],[Catalog_Purchases]]+Table1[[#This Row],[Web_Purchases]]+Table1[[#This Row],[Deal_Purchases]])</f>
        <v>6</v>
      </c>
      <c r="V1624">
        <v>8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f>SUM(Table1[[#This Row],[Accepted_Campaign_2]]+Table1[[#This Row],[Accepted_Campaign_1]]+Table1[[#This Row],[Accepted_Campaign_5]]+Table1[[#This Row],[Accepted_Campaign_4]]+Table1[[#This Row],[Accepted_Campaign_3]])</f>
        <v>0</v>
      </c>
      <c r="AC1624">
        <v>0</v>
      </c>
      <c r="AD1624">
        <v>0</v>
      </c>
    </row>
    <row r="1625" spans="1:30" x14ac:dyDescent="0.25">
      <c r="A1625">
        <v>41628</v>
      </c>
      <c r="B1625">
        <v>7495</v>
      </c>
      <c r="C1625">
        <v>1948</v>
      </c>
      <c r="D1625" t="s">
        <v>8</v>
      </c>
      <c r="E1625" t="s">
        <v>14</v>
      </c>
      <c r="F1625" t="s">
        <v>11</v>
      </c>
      <c r="G1625">
        <v>56223</v>
      </c>
      <c r="H1625">
        <v>1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f>SUM(Table1[[#This Row],[Gold Spending]]+Table1[[#This Row],[Sweet Spending]]+Table1[[#This Row],[Fish Spending]]+Table1[[#This Row],[Meat Spending]]+Table1[[#This Row],[Fruits Spending]]+Table1[[#This Row],[Wine Spending ]])</f>
        <v>156</v>
      </c>
      <c r="Q1625">
        <v>2</v>
      </c>
      <c r="R1625">
        <v>2</v>
      </c>
      <c r="S1625">
        <v>1</v>
      </c>
      <c r="T1625">
        <v>5</v>
      </c>
      <c r="U1625">
        <f>SUM(Table1[[#This Row],[Store_Purchases]]+Table1[[#This Row],[Catalog_Purchases]]+Table1[[#This Row],[Web_Purchases]]+Table1[[#This Row],[Deal_Purchases]])</f>
        <v>10</v>
      </c>
      <c r="V1625">
        <v>4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f>SUM(Table1[[#This Row],[Accepted_Campaign_2]]+Table1[[#This Row],[Accepted_Campaign_1]]+Table1[[#This Row],[Accepted_Campaign_5]]+Table1[[#This Row],[Accepted_Campaign_4]]+Table1[[#This Row],[Accepted_Campaign_3]])</f>
        <v>0</v>
      </c>
      <c r="AC1625">
        <v>0</v>
      </c>
      <c r="AD1625">
        <v>0</v>
      </c>
    </row>
    <row r="1626" spans="1:30" x14ac:dyDescent="0.25">
      <c r="A1626">
        <v>41611</v>
      </c>
      <c r="B1626">
        <v>4368</v>
      </c>
      <c r="C1626">
        <v>1980</v>
      </c>
      <c r="D1626" t="s">
        <v>8</v>
      </c>
      <c r="E1626" t="s">
        <v>6</v>
      </c>
      <c r="F1626" t="s">
        <v>11</v>
      </c>
      <c r="G1626">
        <v>47850</v>
      </c>
      <c r="H1626">
        <v>1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f>SUM(Table1[[#This Row],[Gold Spending]]+Table1[[#This Row],[Sweet Spending]]+Table1[[#This Row],[Fish Spending]]+Table1[[#This Row],[Meat Spending]]+Table1[[#This Row],[Fruits Spending]]+Table1[[#This Row],[Wine Spending ]])</f>
        <v>134</v>
      </c>
      <c r="Q1626">
        <v>1</v>
      </c>
      <c r="R1626">
        <v>3</v>
      </c>
      <c r="S1626">
        <v>0</v>
      </c>
      <c r="T1626">
        <v>4</v>
      </c>
      <c r="U1626">
        <f>SUM(Table1[[#This Row],[Store_Purchases]]+Table1[[#This Row],[Catalog_Purchases]]+Table1[[#This Row],[Web_Purchases]]+Table1[[#This Row],[Deal_Purchases]])</f>
        <v>8</v>
      </c>
      <c r="V1626">
        <v>6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f>SUM(Table1[[#This Row],[Accepted_Campaign_2]]+Table1[[#This Row],[Accepted_Campaign_1]]+Table1[[#This Row],[Accepted_Campaign_5]]+Table1[[#This Row],[Accepted_Campaign_4]]+Table1[[#This Row],[Accepted_Campaign_3]])</f>
        <v>0</v>
      </c>
      <c r="AC1626">
        <v>0</v>
      </c>
      <c r="AD1626">
        <v>0</v>
      </c>
    </row>
    <row r="1627" spans="1:30" x14ac:dyDescent="0.25">
      <c r="A1627">
        <v>41601</v>
      </c>
      <c r="B1627">
        <v>6303</v>
      </c>
      <c r="C1627">
        <v>1986</v>
      </c>
      <c r="D1627" t="s">
        <v>10</v>
      </c>
      <c r="E1627" t="s">
        <v>14</v>
      </c>
      <c r="F1627" t="s">
        <v>12</v>
      </c>
      <c r="G1627">
        <v>91820</v>
      </c>
      <c r="H1627">
        <v>0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f>SUM(Table1[[#This Row],[Gold Spending]]+Table1[[#This Row],[Sweet Spending]]+Table1[[#This Row],[Fish Spending]]+Table1[[#This Row],[Meat Spending]]+Table1[[#This Row],[Fruits Spending]]+Table1[[#This Row],[Wine Spending ]])</f>
        <v>1497</v>
      </c>
      <c r="Q1627">
        <v>0</v>
      </c>
      <c r="R1627">
        <v>5</v>
      </c>
      <c r="S1627">
        <v>5</v>
      </c>
      <c r="T1627">
        <v>12</v>
      </c>
      <c r="U1627">
        <f>SUM(Table1[[#This Row],[Store_Purchases]]+Table1[[#This Row],[Catalog_Purchases]]+Table1[[#This Row],[Web_Purchases]]+Table1[[#This Row],[Deal_Purchases]])</f>
        <v>22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f>SUM(Table1[[#This Row],[Accepted_Campaign_2]]+Table1[[#This Row],[Accepted_Campaign_1]]+Table1[[#This Row],[Accepted_Campaign_5]]+Table1[[#This Row],[Accepted_Campaign_4]]+Table1[[#This Row],[Accepted_Campaign_3]])</f>
        <v>0</v>
      </c>
      <c r="AC1627">
        <v>0</v>
      </c>
      <c r="AD1627">
        <v>0</v>
      </c>
    </row>
    <row r="1628" spans="1:30" x14ac:dyDescent="0.25">
      <c r="A1628">
        <v>41472</v>
      </c>
      <c r="B1628">
        <v>1030</v>
      </c>
      <c r="C1628">
        <v>1965</v>
      </c>
      <c r="D1628" t="s">
        <v>20</v>
      </c>
      <c r="E1628" t="s">
        <v>14</v>
      </c>
      <c r="F1628" t="s">
        <v>9</v>
      </c>
      <c r="G1628">
        <v>40637</v>
      </c>
      <c r="H1628">
        <v>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f>SUM(Table1[[#This Row],[Gold Spending]]+Table1[[#This Row],[Sweet Spending]]+Table1[[#This Row],[Fish Spending]]+Table1[[#This Row],[Meat Spending]]+Table1[[#This Row],[Fruits Spending]]+Table1[[#This Row],[Wine Spending ]])</f>
        <v>38</v>
      </c>
      <c r="Q1628">
        <v>2</v>
      </c>
      <c r="R1628">
        <v>1</v>
      </c>
      <c r="S1628">
        <v>0</v>
      </c>
      <c r="T1628">
        <v>3</v>
      </c>
      <c r="U1628">
        <f>SUM(Table1[[#This Row],[Store_Purchases]]+Table1[[#This Row],[Catalog_Purchases]]+Table1[[#This Row],[Web_Purchases]]+Table1[[#This Row],[Deal_Purchases]])</f>
        <v>6</v>
      </c>
      <c r="V1628">
        <v>7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f>SUM(Table1[[#This Row],[Accepted_Campaign_2]]+Table1[[#This Row],[Accepted_Campaign_1]]+Table1[[#This Row],[Accepted_Campaign_5]]+Table1[[#This Row],[Accepted_Campaign_4]]+Table1[[#This Row],[Accepted_Campaign_3]])</f>
        <v>0</v>
      </c>
      <c r="AC1628">
        <v>0</v>
      </c>
      <c r="AD1628">
        <v>0</v>
      </c>
    </row>
    <row r="1629" spans="1:30" x14ac:dyDescent="0.25">
      <c r="A1629">
        <v>41468</v>
      </c>
      <c r="B1629">
        <v>10364</v>
      </c>
      <c r="C1629">
        <v>1959</v>
      </c>
      <c r="D1629" t="s">
        <v>8</v>
      </c>
      <c r="E1629" t="s">
        <v>6</v>
      </c>
      <c r="F1629" t="s">
        <v>7</v>
      </c>
      <c r="G1629">
        <v>23295</v>
      </c>
      <c r="H1629">
        <v>0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f>SUM(Table1[[#This Row],[Gold Spending]]+Table1[[#This Row],[Sweet Spending]]+Table1[[#This Row],[Fish Spending]]+Table1[[#This Row],[Meat Spending]]+Table1[[#This Row],[Fruits Spending]]+Table1[[#This Row],[Wine Spending ]])</f>
        <v>20</v>
      </c>
      <c r="Q1629">
        <v>1</v>
      </c>
      <c r="R1629">
        <v>1</v>
      </c>
      <c r="S1629">
        <v>0</v>
      </c>
      <c r="T1629">
        <v>2</v>
      </c>
      <c r="U1629">
        <f>SUM(Table1[[#This Row],[Store_Purchases]]+Table1[[#This Row],[Catalog_Purchases]]+Table1[[#This Row],[Web_Purchases]]+Table1[[#This Row],[Deal_Purchases]])</f>
        <v>4</v>
      </c>
      <c r="V1629">
        <v>8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f>SUM(Table1[[#This Row],[Accepted_Campaign_2]]+Table1[[#This Row],[Accepted_Campaign_1]]+Table1[[#This Row],[Accepted_Campaign_5]]+Table1[[#This Row],[Accepted_Campaign_4]]+Table1[[#This Row],[Accepted_Campaign_3]])</f>
        <v>0</v>
      </c>
      <c r="AC1629">
        <v>0</v>
      </c>
      <c r="AD1629">
        <v>0</v>
      </c>
    </row>
    <row r="1630" spans="1:30" x14ac:dyDescent="0.25">
      <c r="A1630">
        <v>41429</v>
      </c>
      <c r="B1630">
        <v>6945</v>
      </c>
      <c r="C1630">
        <v>1952</v>
      </c>
      <c r="D1630" t="s">
        <v>8</v>
      </c>
      <c r="E1630" t="s">
        <v>6</v>
      </c>
      <c r="F1630" t="s">
        <v>9</v>
      </c>
      <c r="G1630">
        <v>84574</v>
      </c>
      <c r="H1630">
        <v>0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f>SUM(Table1[[#This Row],[Gold Spending]]+Table1[[#This Row],[Sweet Spending]]+Table1[[#This Row],[Fish Spending]]+Table1[[#This Row],[Meat Spending]]+Table1[[#This Row],[Fruits Spending]]+Table1[[#This Row],[Wine Spending ]])</f>
        <v>1375</v>
      </c>
      <c r="Q1630">
        <v>1</v>
      </c>
      <c r="R1630">
        <v>9</v>
      </c>
      <c r="S1630">
        <v>11</v>
      </c>
      <c r="T1630">
        <v>11</v>
      </c>
      <c r="U1630">
        <f>SUM(Table1[[#This Row],[Store_Purchases]]+Table1[[#This Row],[Catalog_Purchases]]+Table1[[#This Row],[Web_Purchases]]+Table1[[#This Row],[Deal_Purchases]])</f>
        <v>32</v>
      </c>
      <c r="V1630">
        <v>5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f>SUM(Table1[[#This Row],[Accepted_Campaign_2]]+Table1[[#This Row],[Accepted_Campaign_1]]+Table1[[#This Row],[Accepted_Campaign_5]]+Table1[[#This Row],[Accepted_Campaign_4]]+Table1[[#This Row],[Accepted_Campaign_3]])</f>
        <v>0</v>
      </c>
      <c r="AC1630">
        <v>0</v>
      </c>
      <c r="AD1630">
        <v>0</v>
      </c>
    </row>
    <row r="1631" spans="1:30" x14ac:dyDescent="0.25">
      <c r="A1631">
        <v>41422</v>
      </c>
      <c r="B1631">
        <v>8562</v>
      </c>
      <c r="C1631">
        <v>1969</v>
      </c>
      <c r="D1631" t="s">
        <v>8</v>
      </c>
      <c r="E1631" t="s">
        <v>6</v>
      </c>
      <c r="F1631" t="s">
        <v>12</v>
      </c>
      <c r="G1631">
        <v>54165</v>
      </c>
      <c r="H1631">
        <v>0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f>SUM(Table1[[#This Row],[Gold Spending]]+Table1[[#This Row],[Sweet Spending]]+Table1[[#This Row],[Fish Spending]]+Table1[[#This Row],[Meat Spending]]+Table1[[#This Row],[Fruits Spending]]+Table1[[#This Row],[Wine Spending ]])</f>
        <v>236</v>
      </c>
      <c r="Q1631">
        <v>1</v>
      </c>
      <c r="R1631">
        <v>2</v>
      </c>
      <c r="S1631">
        <v>1</v>
      </c>
      <c r="T1631">
        <v>7</v>
      </c>
      <c r="U1631">
        <f>SUM(Table1[[#This Row],[Store_Purchases]]+Table1[[#This Row],[Catalog_Purchases]]+Table1[[#This Row],[Web_Purchases]]+Table1[[#This Row],[Deal_Purchases]])</f>
        <v>11</v>
      </c>
      <c r="V1631">
        <v>2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f>SUM(Table1[[#This Row],[Accepted_Campaign_2]]+Table1[[#This Row],[Accepted_Campaign_1]]+Table1[[#This Row],[Accepted_Campaign_5]]+Table1[[#This Row],[Accepted_Campaign_4]]+Table1[[#This Row],[Accepted_Campaign_3]])</f>
        <v>0</v>
      </c>
      <c r="AC1631">
        <v>0</v>
      </c>
      <c r="AD1631">
        <v>0</v>
      </c>
    </row>
    <row r="1632" spans="1:30" x14ac:dyDescent="0.25">
      <c r="A1632">
        <v>41377</v>
      </c>
      <c r="B1632">
        <v>2918</v>
      </c>
      <c r="C1632">
        <v>1981</v>
      </c>
      <c r="D1632" t="s">
        <v>8</v>
      </c>
      <c r="E1632" t="s">
        <v>6</v>
      </c>
      <c r="F1632" t="s">
        <v>7</v>
      </c>
      <c r="G1632">
        <v>28510</v>
      </c>
      <c r="H1632">
        <v>2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f>SUM(Table1[[#This Row],[Gold Spending]]+Table1[[#This Row],[Sweet Spending]]+Table1[[#This Row],[Fish Spending]]+Table1[[#This Row],[Meat Spending]]+Table1[[#This Row],[Fruits Spending]]+Table1[[#This Row],[Wine Spending ]])</f>
        <v>91</v>
      </c>
      <c r="Q1632">
        <v>3</v>
      </c>
      <c r="R1632">
        <v>2</v>
      </c>
      <c r="S1632">
        <v>0</v>
      </c>
      <c r="T1632">
        <v>4</v>
      </c>
      <c r="U1632">
        <f>SUM(Table1[[#This Row],[Store_Purchases]]+Table1[[#This Row],[Catalog_Purchases]]+Table1[[#This Row],[Web_Purchases]]+Table1[[#This Row],[Deal_Purchases]])</f>
        <v>9</v>
      </c>
      <c r="V1632">
        <v>5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f>SUM(Table1[[#This Row],[Accepted_Campaign_2]]+Table1[[#This Row],[Accepted_Campaign_1]]+Table1[[#This Row],[Accepted_Campaign_5]]+Table1[[#This Row],[Accepted_Campaign_4]]+Table1[[#This Row],[Accepted_Campaign_3]])</f>
        <v>0</v>
      </c>
      <c r="AC1632">
        <v>0</v>
      </c>
      <c r="AD1632">
        <v>0</v>
      </c>
    </row>
    <row r="1633" spans="1:30" x14ac:dyDescent="0.25">
      <c r="A1633">
        <v>41359</v>
      </c>
      <c r="B1633">
        <v>9167</v>
      </c>
      <c r="C1633">
        <v>1956</v>
      </c>
      <c r="D1633" t="s">
        <v>8</v>
      </c>
      <c r="E1633" t="s">
        <v>6</v>
      </c>
      <c r="F1633" t="s">
        <v>11</v>
      </c>
      <c r="G1633">
        <v>67131</v>
      </c>
      <c r="H1633">
        <v>1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f>SUM(Table1[[#This Row],[Gold Spending]]+Table1[[#This Row],[Sweet Spending]]+Table1[[#This Row],[Fish Spending]]+Table1[[#This Row],[Meat Spending]]+Table1[[#This Row],[Fruits Spending]]+Table1[[#This Row],[Wine Spending ]])</f>
        <v>976</v>
      </c>
      <c r="Q1633">
        <v>3</v>
      </c>
      <c r="R1633">
        <v>9</v>
      </c>
      <c r="S1633">
        <v>2</v>
      </c>
      <c r="T1633">
        <v>12</v>
      </c>
      <c r="U1633">
        <f>SUM(Table1[[#This Row],[Store_Purchases]]+Table1[[#This Row],[Catalog_Purchases]]+Table1[[#This Row],[Web_Purchases]]+Table1[[#This Row],[Deal_Purchases]])</f>
        <v>26</v>
      </c>
      <c r="V1633">
        <v>6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f>SUM(Table1[[#This Row],[Accepted_Campaign_2]]+Table1[[#This Row],[Accepted_Campaign_1]]+Table1[[#This Row],[Accepted_Campaign_5]]+Table1[[#This Row],[Accepted_Campaign_4]]+Table1[[#This Row],[Accepted_Campaign_3]])</f>
        <v>0</v>
      </c>
      <c r="AC1633">
        <v>0</v>
      </c>
      <c r="AD1633">
        <v>0</v>
      </c>
    </row>
    <row r="1634" spans="1:30" x14ac:dyDescent="0.25">
      <c r="A1634">
        <v>41336</v>
      </c>
      <c r="B1634">
        <v>4743</v>
      </c>
      <c r="C1634">
        <v>1969</v>
      </c>
      <c r="D1634" t="s">
        <v>63</v>
      </c>
      <c r="E1634" t="s">
        <v>14</v>
      </c>
      <c r="F1634" t="s">
        <v>11</v>
      </c>
      <c r="G1634">
        <v>56242</v>
      </c>
      <c r="H1634">
        <v>1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f>SUM(Table1[[#This Row],[Gold Spending]]+Table1[[#This Row],[Sweet Spending]]+Table1[[#This Row],[Fish Spending]]+Table1[[#This Row],[Meat Spending]]+Table1[[#This Row],[Fruits Spending]]+Table1[[#This Row],[Wine Spending ]])</f>
        <v>971</v>
      </c>
      <c r="Q1634">
        <v>5</v>
      </c>
      <c r="R1634">
        <v>8</v>
      </c>
      <c r="S1634">
        <v>4</v>
      </c>
      <c r="T1634">
        <v>11</v>
      </c>
      <c r="U1634">
        <f>SUM(Table1[[#This Row],[Store_Purchases]]+Table1[[#This Row],[Catalog_Purchases]]+Table1[[#This Row],[Web_Purchases]]+Table1[[#This Row],[Deal_Purchases]])</f>
        <v>28</v>
      </c>
      <c r="V1634">
        <v>6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f>SUM(Table1[[#This Row],[Accepted_Campaign_2]]+Table1[[#This Row],[Accepted_Campaign_1]]+Table1[[#This Row],[Accepted_Campaign_5]]+Table1[[#This Row],[Accepted_Campaign_4]]+Table1[[#This Row],[Accepted_Campaign_3]])</f>
        <v>0</v>
      </c>
      <c r="AC1634">
        <v>0</v>
      </c>
      <c r="AD1634">
        <v>0</v>
      </c>
    </row>
    <row r="1635" spans="1:30" x14ac:dyDescent="0.25">
      <c r="A1635">
        <v>41332</v>
      </c>
      <c r="B1635">
        <v>10742</v>
      </c>
      <c r="C1635">
        <v>1983</v>
      </c>
      <c r="D1635" t="s">
        <v>8</v>
      </c>
      <c r="E1635" t="s">
        <v>14</v>
      </c>
      <c r="F1635" t="s">
        <v>11</v>
      </c>
      <c r="G1635">
        <v>86580</v>
      </c>
      <c r="H1635">
        <v>0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f>SUM(Table1[[#This Row],[Gold Spending]]+Table1[[#This Row],[Sweet Spending]]+Table1[[#This Row],[Fish Spending]]+Table1[[#This Row],[Meat Spending]]+Table1[[#This Row],[Fruits Spending]]+Table1[[#This Row],[Wine Spending ]])</f>
        <v>746</v>
      </c>
      <c r="Q1635">
        <v>0</v>
      </c>
      <c r="R1635">
        <v>4</v>
      </c>
      <c r="S1635">
        <v>2</v>
      </c>
      <c r="T1635">
        <v>5</v>
      </c>
      <c r="U1635">
        <f>SUM(Table1[[#This Row],[Store_Purchases]]+Table1[[#This Row],[Catalog_Purchases]]+Table1[[#This Row],[Web_Purchases]]+Table1[[#This Row],[Deal_Purchases]])</f>
        <v>11</v>
      </c>
      <c r="V1635">
        <v>1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f>SUM(Table1[[#This Row],[Accepted_Campaign_2]]+Table1[[#This Row],[Accepted_Campaign_1]]+Table1[[#This Row],[Accepted_Campaign_5]]+Table1[[#This Row],[Accepted_Campaign_4]]+Table1[[#This Row],[Accepted_Campaign_3]])</f>
        <v>1</v>
      </c>
      <c r="AC1635">
        <v>0</v>
      </c>
      <c r="AD1635">
        <v>0</v>
      </c>
    </row>
    <row r="1636" spans="1:30" x14ac:dyDescent="0.25">
      <c r="A1636">
        <v>41327</v>
      </c>
      <c r="B1636">
        <v>10965</v>
      </c>
      <c r="C1636">
        <v>1955</v>
      </c>
      <c r="D1636" t="s">
        <v>8</v>
      </c>
      <c r="E1636" t="s">
        <v>6</v>
      </c>
      <c r="F1636" t="s">
        <v>12</v>
      </c>
      <c r="G1636">
        <v>76005</v>
      </c>
      <c r="H1636">
        <v>0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f>SUM(Table1[[#This Row],[Gold Spending]]+Table1[[#This Row],[Sweet Spending]]+Table1[[#This Row],[Fish Spending]]+Table1[[#This Row],[Meat Spending]]+Table1[[#This Row],[Fruits Spending]]+Table1[[#This Row],[Wine Spending ]])</f>
        <v>1722</v>
      </c>
      <c r="Q1636">
        <v>1</v>
      </c>
      <c r="R1636">
        <v>3</v>
      </c>
      <c r="S1636">
        <v>5</v>
      </c>
      <c r="T1636">
        <v>13</v>
      </c>
      <c r="U1636">
        <f>SUM(Table1[[#This Row],[Store_Purchases]]+Table1[[#This Row],[Catalog_Purchases]]+Table1[[#This Row],[Web_Purchases]]+Table1[[#This Row],[Deal_Purchases]])</f>
        <v>22</v>
      </c>
      <c r="V1636">
        <v>6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f>SUM(Table1[[#This Row],[Accepted_Campaign_2]]+Table1[[#This Row],[Accepted_Campaign_1]]+Table1[[#This Row],[Accepted_Campaign_5]]+Table1[[#This Row],[Accepted_Campaign_4]]+Table1[[#This Row],[Accepted_Campaign_3]])</f>
        <v>1</v>
      </c>
      <c r="AC1636">
        <v>0</v>
      </c>
      <c r="AD1636">
        <v>0</v>
      </c>
    </row>
    <row r="1637" spans="1:30" x14ac:dyDescent="0.25">
      <c r="A1637">
        <v>41322</v>
      </c>
      <c r="B1637">
        <v>7129</v>
      </c>
      <c r="C1637">
        <v>1962</v>
      </c>
      <c r="D1637" t="s">
        <v>8</v>
      </c>
      <c r="E1637" t="s">
        <v>14</v>
      </c>
      <c r="F1637" t="s">
        <v>11</v>
      </c>
      <c r="G1637">
        <v>54693</v>
      </c>
      <c r="H1637">
        <v>1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f>SUM(Table1[[#This Row],[Gold Spending]]+Table1[[#This Row],[Sweet Spending]]+Table1[[#This Row],[Fish Spending]]+Table1[[#This Row],[Meat Spending]]+Table1[[#This Row],[Fruits Spending]]+Table1[[#This Row],[Wine Spending ]])</f>
        <v>929</v>
      </c>
      <c r="Q1637">
        <v>8</v>
      </c>
      <c r="R1637">
        <v>6</v>
      </c>
      <c r="S1637">
        <v>4</v>
      </c>
      <c r="T1637">
        <v>13</v>
      </c>
      <c r="U1637">
        <f>SUM(Table1[[#This Row],[Store_Purchases]]+Table1[[#This Row],[Catalog_Purchases]]+Table1[[#This Row],[Web_Purchases]]+Table1[[#This Row],[Deal_Purchases]])</f>
        <v>31</v>
      </c>
      <c r="V1637">
        <v>6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f>SUM(Table1[[#This Row],[Accepted_Campaign_2]]+Table1[[#This Row],[Accepted_Campaign_1]]+Table1[[#This Row],[Accepted_Campaign_5]]+Table1[[#This Row],[Accepted_Campaign_4]]+Table1[[#This Row],[Accepted_Campaign_3]])</f>
        <v>0</v>
      </c>
      <c r="AC1637">
        <v>0</v>
      </c>
      <c r="AD1637">
        <v>0</v>
      </c>
    </row>
    <row r="1638" spans="1:30" x14ac:dyDescent="0.25">
      <c r="A1638">
        <v>41309</v>
      </c>
      <c r="B1638">
        <v>3732</v>
      </c>
      <c r="C1638">
        <v>1955</v>
      </c>
      <c r="D1638" t="s">
        <v>10</v>
      </c>
      <c r="E1638" t="s">
        <v>18</v>
      </c>
      <c r="F1638" t="s">
        <v>11</v>
      </c>
      <c r="G1638">
        <v>52750</v>
      </c>
      <c r="H1638">
        <v>1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f>SUM(Table1[[#This Row],[Gold Spending]]+Table1[[#This Row],[Sweet Spending]]+Table1[[#This Row],[Fish Spending]]+Table1[[#This Row],[Meat Spending]]+Table1[[#This Row],[Fruits Spending]]+Table1[[#This Row],[Wine Spending ]])</f>
        <v>860</v>
      </c>
      <c r="Q1638">
        <v>6</v>
      </c>
      <c r="R1638">
        <v>5</v>
      </c>
      <c r="S1638">
        <v>7</v>
      </c>
      <c r="T1638">
        <v>9</v>
      </c>
      <c r="U1638">
        <f>SUM(Table1[[#This Row],[Store_Purchases]]+Table1[[#This Row],[Catalog_Purchases]]+Table1[[#This Row],[Web_Purchases]]+Table1[[#This Row],[Deal_Purchases]])</f>
        <v>27</v>
      </c>
      <c r="V1638">
        <v>4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f>SUM(Table1[[#This Row],[Accepted_Campaign_2]]+Table1[[#This Row],[Accepted_Campaign_1]]+Table1[[#This Row],[Accepted_Campaign_5]]+Table1[[#This Row],[Accepted_Campaign_4]]+Table1[[#This Row],[Accepted_Campaign_3]])</f>
        <v>0</v>
      </c>
      <c r="AC1638">
        <v>0</v>
      </c>
      <c r="AD1638">
        <v>0</v>
      </c>
    </row>
    <row r="1639" spans="1:30" x14ac:dyDescent="0.25">
      <c r="A1639">
        <v>41306</v>
      </c>
      <c r="B1639">
        <v>7124</v>
      </c>
      <c r="C1639">
        <v>1968</v>
      </c>
      <c r="D1639" t="s">
        <v>10</v>
      </c>
      <c r="E1639" t="s">
        <v>6</v>
      </c>
      <c r="F1639" t="s">
        <v>7</v>
      </c>
      <c r="G1639">
        <v>36997</v>
      </c>
      <c r="H1639">
        <v>2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f>SUM(Table1[[#This Row],[Gold Spending]]+Table1[[#This Row],[Sweet Spending]]+Table1[[#This Row],[Fish Spending]]+Table1[[#This Row],[Meat Spending]]+Table1[[#This Row],[Fruits Spending]]+Table1[[#This Row],[Wine Spending ]])</f>
        <v>94</v>
      </c>
      <c r="Q1639">
        <v>5</v>
      </c>
      <c r="R1639">
        <v>2</v>
      </c>
      <c r="S1639">
        <v>1</v>
      </c>
      <c r="T1639">
        <v>4</v>
      </c>
      <c r="U1639">
        <f>SUM(Table1[[#This Row],[Store_Purchases]]+Table1[[#This Row],[Catalog_Purchases]]+Table1[[#This Row],[Web_Purchases]]+Table1[[#This Row],[Deal_Purchases]])</f>
        <v>12</v>
      </c>
      <c r="V1639">
        <v>5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f>SUM(Table1[[#This Row],[Accepted_Campaign_2]]+Table1[[#This Row],[Accepted_Campaign_1]]+Table1[[#This Row],[Accepted_Campaign_5]]+Table1[[#This Row],[Accepted_Campaign_4]]+Table1[[#This Row],[Accepted_Campaign_3]])</f>
        <v>0</v>
      </c>
      <c r="AC1639">
        <v>0</v>
      </c>
      <c r="AD1639">
        <v>0</v>
      </c>
    </row>
    <row r="1640" spans="1:30" x14ac:dyDescent="0.25">
      <c r="A1640">
        <v>41269</v>
      </c>
      <c r="B1640">
        <v>10686</v>
      </c>
      <c r="C1640">
        <v>1965</v>
      </c>
      <c r="D1640" t="s">
        <v>8</v>
      </c>
      <c r="E1640" t="s">
        <v>14</v>
      </c>
      <c r="F1640" t="s">
        <v>12</v>
      </c>
      <c r="G1640">
        <v>34230</v>
      </c>
      <c r="H1640">
        <v>2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f>SUM(Table1[[#This Row],[Gold Spending]]+Table1[[#This Row],[Sweet Spending]]+Table1[[#This Row],[Fish Spending]]+Table1[[#This Row],[Meat Spending]]+Table1[[#This Row],[Fruits Spending]]+Table1[[#This Row],[Wine Spending ]])</f>
        <v>21</v>
      </c>
      <c r="Q1640">
        <v>1</v>
      </c>
      <c r="R1640">
        <v>1</v>
      </c>
      <c r="S1640">
        <v>0</v>
      </c>
      <c r="T1640">
        <v>2</v>
      </c>
      <c r="U1640">
        <f>SUM(Table1[[#This Row],[Store_Purchases]]+Table1[[#This Row],[Catalog_Purchases]]+Table1[[#This Row],[Web_Purchases]]+Table1[[#This Row],[Deal_Purchases]])</f>
        <v>4</v>
      </c>
      <c r="V1640">
        <v>7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f>SUM(Table1[[#This Row],[Accepted_Campaign_2]]+Table1[[#This Row],[Accepted_Campaign_1]]+Table1[[#This Row],[Accepted_Campaign_5]]+Table1[[#This Row],[Accepted_Campaign_4]]+Table1[[#This Row],[Accepted_Campaign_3]])</f>
        <v>0</v>
      </c>
      <c r="AC1640">
        <v>0</v>
      </c>
      <c r="AD1640">
        <v>0</v>
      </c>
    </row>
    <row r="1641" spans="1:30" x14ac:dyDescent="0.25">
      <c r="A1641">
        <v>41235</v>
      </c>
      <c r="B1641">
        <v>7247</v>
      </c>
      <c r="C1641">
        <v>1960</v>
      </c>
      <c r="D1641" t="s">
        <v>16</v>
      </c>
      <c r="E1641" t="s">
        <v>6</v>
      </c>
      <c r="F1641" t="s">
        <v>19</v>
      </c>
      <c r="G1641">
        <v>47916</v>
      </c>
      <c r="H1641">
        <v>1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f>SUM(Table1[[#This Row],[Gold Spending]]+Table1[[#This Row],[Sweet Spending]]+Table1[[#This Row],[Fish Spending]]+Table1[[#This Row],[Meat Spending]]+Table1[[#This Row],[Fruits Spending]]+Table1[[#This Row],[Wine Spending ]])</f>
        <v>606</v>
      </c>
      <c r="Q1641">
        <v>5</v>
      </c>
      <c r="R1641">
        <v>7</v>
      </c>
      <c r="S1641">
        <v>4</v>
      </c>
      <c r="T1641">
        <v>6</v>
      </c>
      <c r="U1641">
        <f>SUM(Table1[[#This Row],[Store_Purchases]]+Table1[[#This Row],[Catalog_Purchases]]+Table1[[#This Row],[Web_Purchases]]+Table1[[#This Row],[Deal_Purchases]])</f>
        <v>22</v>
      </c>
      <c r="V1641">
        <v>6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f>SUM(Table1[[#This Row],[Accepted_Campaign_2]]+Table1[[#This Row],[Accepted_Campaign_1]]+Table1[[#This Row],[Accepted_Campaign_5]]+Table1[[#This Row],[Accepted_Campaign_4]]+Table1[[#This Row],[Accepted_Campaign_3]])</f>
        <v>1</v>
      </c>
      <c r="AC1641">
        <v>0</v>
      </c>
      <c r="AD1641">
        <v>0</v>
      </c>
    </row>
    <row r="1642" spans="1:30" x14ac:dyDescent="0.25">
      <c r="A1642">
        <v>41149</v>
      </c>
      <c r="B1642">
        <v>1513</v>
      </c>
      <c r="C1642">
        <v>1979</v>
      </c>
      <c r="D1642" t="s">
        <v>8</v>
      </c>
      <c r="E1642" t="s">
        <v>15</v>
      </c>
      <c r="F1642" t="s">
        <v>12</v>
      </c>
      <c r="G1642">
        <v>60839</v>
      </c>
      <c r="H1642">
        <v>2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f>SUM(Table1[[#This Row],[Gold Spending]]+Table1[[#This Row],[Sweet Spending]]+Table1[[#This Row],[Fish Spending]]+Table1[[#This Row],[Meat Spending]]+Table1[[#This Row],[Fruits Spending]]+Table1[[#This Row],[Wine Spending ]])</f>
        <v>1250</v>
      </c>
      <c r="Q1642">
        <v>13</v>
      </c>
      <c r="R1642">
        <v>2</v>
      </c>
      <c r="S1642">
        <v>2</v>
      </c>
      <c r="T1642">
        <v>12</v>
      </c>
      <c r="U1642">
        <f>SUM(Table1[[#This Row],[Store_Purchases]]+Table1[[#This Row],[Catalog_Purchases]]+Table1[[#This Row],[Web_Purchases]]+Table1[[#This Row],[Deal_Purchases]])</f>
        <v>29</v>
      </c>
      <c r="V1642">
        <v>8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f>SUM(Table1[[#This Row],[Accepted_Campaign_2]]+Table1[[#This Row],[Accepted_Campaign_1]]+Table1[[#This Row],[Accepted_Campaign_5]]+Table1[[#This Row],[Accepted_Campaign_4]]+Table1[[#This Row],[Accepted_Campaign_3]])</f>
        <v>0</v>
      </c>
      <c r="AC1642">
        <v>0</v>
      </c>
      <c r="AD1642">
        <v>0</v>
      </c>
    </row>
    <row r="1643" spans="1:30" x14ac:dyDescent="0.25">
      <c r="A1643">
        <v>41129</v>
      </c>
      <c r="B1643">
        <v>460</v>
      </c>
      <c r="C1643">
        <v>1972</v>
      </c>
      <c r="D1643" t="s">
        <v>20</v>
      </c>
      <c r="E1643" t="s">
        <v>14</v>
      </c>
      <c r="F1643" t="s">
        <v>11</v>
      </c>
      <c r="G1643">
        <v>79930</v>
      </c>
      <c r="H1643">
        <v>0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f>SUM(Table1[[#This Row],[Gold Spending]]+Table1[[#This Row],[Sweet Spending]]+Table1[[#This Row],[Fish Spending]]+Table1[[#This Row],[Meat Spending]]+Table1[[#This Row],[Fruits Spending]]+Table1[[#This Row],[Wine Spending ]])</f>
        <v>1753</v>
      </c>
      <c r="Q1643">
        <v>1</v>
      </c>
      <c r="R1643">
        <v>3</v>
      </c>
      <c r="S1643">
        <v>5</v>
      </c>
      <c r="T1643">
        <v>8</v>
      </c>
      <c r="U1643">
        <f>SUM(Table1[[#This Row],[Store_Purchases]]+Table1[[#This Row],[Catalog_Purchases]]+Table1[[#This Row],[Web_Purchases]]+Table1[[#This Row],[Deal_Purchases]])</f>
        <v>17</v>
      </c>
      <c r="V1643">
        <v>2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f>SUM(Table1[[#This Row],[Accepted_Campaign_2]]+Table1[[#This Row],[Accepted_Campaign_1]]+Table1[[#This Row],[Accepted_Campaign_5]]+Table1[[#This Row],[Accepted_Campaign_4]]+Table1[[#This Row],[Accepted_Campaign_3]])</f>
        <v>0</v>
      </c>
      <c r="AC1643">
        <v>0</v>
      </c>
      <c r="AD1643">
        <v>0</v>
      </c>
    </row>
    <row r="1644" spans="1:30" x14ac:dyDescent="0.25">
      <c r="A1644">
        <v>41120</v>
      </c>
      <c r="B1644">
        <v>6653</v>
      </c>
      <c r="C1644">
        <v>1970</v>
      </c>
      <c r="D1644" t="s">
        <v>8</v>
      </c>
      <c r="E1644" t="s">
        <v>14</v>
      </c>
      <c r="F1644" t="s">
        <v>11</v>
      </c>
      <c r="G1644">
        <v>55158</v>
      </c>
      <c r="H1644">
        <v>2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f>SUM(Table1[[#This Row],[Gold Spending]]+Table1[[#This Row],[Sweet Spending]]+Table1[[#This Row],[Fish Spending]]+Table1[[#This Row],[Meat Spending]]+Table1[[#This Row],[Fruits Spending]]+Table1[[#This Row],[Wine Spending ]])</f>
        <v>418</v>
      </c>
      <c r="Q1644">
        <v>4</v>
      </c>
      <c r="R1644">
        <v>7</v>
      </c>
      <c r="S1644">
        <v>2</v>
      </c>
      <c r="T1644">
        <v>5</v>
      </c>
      <c r="U1644">
        <f>SUM(Table1[[#This Row],[Store_Purchases]]+Table1[[#This Row],[Catalog_Purchases]]+Table1[[#This Row],[Web_Purchases]]+Table1[[#This Row],[Deal_Purchases]])</f>
        <v>18</v>
      </c>
      <c r="V1644">
        <v>7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f>SUM(Table1[[#This Row],[Accepted_Campaign_2]]+Table1[[#This Row],[Accepted_Campaign_1]]+Table1[[#This Row],[Accepted_Campaign_5]]+Table1[[#This Row],[Accepted_Campaign_4]]+Table1[[#This Row],[Accepted_Campaign_3]])</f>
        <v>0</v>
      </c>
      <c r="AC1644">
        <v>1</v>
      </c>
      <c r="AD1644">
        <v>0</v>
      </c>
    </row>
    <row r="1645" spans="1:30" x14ac:dyDescent="0.25">
      <c r="A1645">
        <v>41811</v>
      </c>
      <c r="B1645">
        <v>9400</v>
      </c>
      <c r="C1645">
        <v>1958</v>
      </c>
      <c r="D1645" t="s">
        <v>8</v>
      </c>
      <c r="E1645" t="s">
        <v>15</v>
      </c>
      <c r="F1645" t="s">
        <v>9</v>
      </c>
      <c r="G1645">
        <v>85485</v>
      </c>
      <c r="H1645">
        <v>0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f>SUM(Table1[[#This Row],[Gold Spending]]+Table1[[#This Row],[Sweet Spending]]+Table1[[#This Row],[Fish Spending]]+Table1[[#This Row],[Meat Spending]]+Table1[[#This Row],[Fruits Spending]]+Table1[[#This Row],[Wine Spending ]])</f>
        <v>1383</v>
      </c>
      <c r="Q1645">
        <v>1</v>
      </c>
      <c r="R1645">
        <v>6</v>
      </c>
      <c r="S1645">
        <v>6</v>
      </c>
      <c r="T1645">
        <v>6</v>
      </c>
      <c r="U1645">
        <f>SUM(Table1[[#This Row],[Store_Purchases]]+Table1[[#This Row],[Catalog_Purchases]]+Table1[[#This Row],[Web_Purchases]]+Table1[[#This Row],[Deal_Purchases]])</f>
        <v>19</v>
      </c>
      <c r="V1645">
        <v>2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f>SUM(Table1[[#This Row],[Accepted_Campaign_2]]+Table1[[#This Row],[Accepted_Campaign_1]]+Table1[[#This Row],[Accepted_Campaign_5]]+Table1[[#This Row],[Accepted_Campaign_4]]+Table1[[#This Row],[Accepted_Campaign_3]])</f>
        <v>0</v>
      </c>
      <c r="AC1645">
        <v>0</v>
      </c>
      <c r="AD1645">
        <v>0</v>
      </c>
    </row>
    <row r="1646" spans="1:30" x14ac:dyDescent="0.25">
      <c r="A1646">
        <v>41729</v>
      </c>
      <c r="B1646">
        <v>7106</v>
      </c>
      <c r="C1646">
        <v>1943</v>
      </c>
      <c r="D1646" t="s">
        <v>8</v>
      </c>
      <c r="E1646" t="s">
        <v>14</v>
      </c>
      <c r="F1646" t="s">
        <v>11</v>
      </c>
      <c r="G1646">
        <v>75865</v>
      </c>
      <c r="H1646">
        <v>0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f>SUM(Table1[[#This Row],[Gold Spending]]+Table1[[#This Row],[Sweet Spending]]+Table1[[#This Row],[Fish Spending]]+Table1[[#This Row],[Meat Spending]]+Table1[[#This Row],[Fruits Spending]]+Table1[[#This Row],[Wine Spending ]])</f>
        <v>1242</v>
      </c>
      <c r="Q1646">
        <v>1</v>
      </c>
      <c r="R1646">
        <v>3</v>
      </c>
      <c r="S1646">
        <v>5</v>
      </c>
      <c r="T1646">
        <v>10</v>
      </c>
      <c r="U1646">
        <f>SUM(Table1[[#This Row],[Store_Purchases]]+Table1[[#This Row],[Catalog_Purchases]]+Table1[[#This Row],[Web_Purchases]]+Table1[[#This Row],[Deal_Purchases]])</f>
        <v>19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f>SUM(Table1[[#This Row],[Accepted_Campaign_2]]+Table1[[#This Row],[Accepted_Campaign_1]]+Table1[[#This Row],[Accepted_Campaign_5]]+Table1[[#This Row],[Accepted_Campaign_4]]+Table1[[#This Row],[Accepted_Campaign_3]])</f>
        <v>0</v>
      </c>
      <c r="AC1646">
        <v>0</v>
      </c>
      <c r="AD1646">
        <v>0</v>
      </c>
    </row>
    <row r="1647" spans="1:30" x14ac:dyDescent="0.25">
      <c r="A1647">
        <v>41721</v>
      </c>
      <c r="B1647">
        <v>4252</v>
      </c>
      <c r="C1647">
        <v>1965</v>
      </c>
      <c r="D1647" t="s">
        <v>8</v>
      </c>
      <c r="E1647" t="s">
        <v>6</v>
      </c>
      <c r="F1647" t="s">
        <v>11</v>
      </c>
      <c r="G1647">
        <v>44375</v>
      </c>
      <c r="H1647">
        <v>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f>SUM(Table1[[#This Row],[Gold Spending]]+Table1[[#This Row],[Sweet Spending]]+Table1[[#This Row],[Fish Spending]]+Table1[[#This Row],[Meat Spending]]+Table1[[#This Row],[Fruits Spending]]+Table1[[#This Row],[Wine Spending ]])</f>
        <v>301</v>
      </c>
      <c r="Q1647">
        <v>1</v>
      </c>
      <c r="R1647">
        <v>4</v>
      </c>
      <c r="S1647">
        <v>1</v>
      </c>
      <c r="T1647">
        <v>6</v>
      </c>
      <c r="U1647">
        <f>SUM(Table1[[#This Row],[Store_Purchases]]+Table1[[#This Row],[Catalog_Purchases]]+Table1[[#This Row],[Web_Purchases]]+Table1[[#This Row],[Deal_Purchases]])</f>
        <v>12</v>
      </c>
      <c r="V1647">
        <v>5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f>SUM(Table1[[#This Row],[Accepted_Campaign_2]]+Table1[[#This Row],[Accepted_Campaign_1]]+Table1[[#This Row],[Accepted_Campaign_5]]+Table1[[#This Row],[Accepted_Campaign_4]]+Table1[[#This Row],[Accepted_Campaign_3]])</f>
        <v>0</v>
      </c>
      <c r="AC1647">
        <v>0</v>
      </c>
      <c r="AD1647">
        <v>0</v>
      </c>
    </row>
    <row r="1648" spans="1:30" x14ac:dyDescent="0.25">
      <c r="A1648">
        <v>41677</v>
      </c>
      <c r="B1648">
        <v>9240</v>
      </c>
      <c r="C1648">
        <v>1971</v>
      </c>
      <c r="D1648" t="s">
        <v>8</v>
      </c>
      <c r="E1648" t="s">
        <v>14</v>
      </c>
      <c r="F1648" t="s">
        <v>9</v>
      </c>
      <c r="G1648">
        <v>60504</v>
      </c>
      <c r="H1648">
        <v>1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f>SUM(Table1[[#This Row],[Gold Spending]]+Table1[[#This Row],[Sweet Spending]]+Table1[[#This Row],[Fish Spending]]+Table1[[#This Row],[Meat Spending]]+Table1[[#This Row],[Fruits Spending]]+Table1[[#This Row],[Wine Spending ]])</f>
        <v>526</v>
      </c>
      <c r="Q1648">
        <v>2</v>
      </c>
      <c r="R1648">
        <v>6</v>
      </c>
      <c r="S1648">
        <v>2</v>
      </c>
      <c r="T1648">
        <v>8</v>
      </c>
      <c r="U1648">
        <f>SUM(Table1[[#This Row],[Store_Purchases]]+Table1[[#This Row],[Catalog_Purchases]]+Table1[[#This Row],[Web_Purchases]]+Table1[[#This Row],[Deal_Purchases]])</f>
        <v>18</v>
      </c>
      <c r="V1648">
        <v>6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f>SUM(Table1[[#This Row],[Accepted_Campaign_2]]+Table1[[#This Row],[Accepted_Campaign_1]]+Table1[[#This Row],[Accepted_Campaign_5]]+Table1[[#This Row],[Accepted_Campaign_4]]+Table1[[#This Row],[Accepted_Campaign_3]])</f>
        <v>0</v>
      </c>
      <c r="AC1648">
        <v>0</v>
      </c>
      <c r="AD1648">
        <v>0</v>
      </c>
    </row>
    <row r="1649" spans="1:30" x14ac:dyDescent="0.25">
      <c r="A1649">
        <v>41665</v>
      </c>
      <c r="B1649">
        <v>10770</v>
      </c>
      <c r="C1649">
        <v>1959</v>
      </c>
      <c r="D1649" t="s">
        <v>10</v>
      </c>
      <c r="E1649" t="s">
        <v>6</v>
      </c>
      <c r="F1649" t="s">
        <v>11</v>
      </c>
      <c r="G1649">
        <v>65492</v>
      </c>
      <c r="H1649">
        <v>0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f>SUM(Table1[[#This Row],[Gold Spending]]+Table1[[#This Row],[Sweet Spending]]+Table1[[#This Row],[Fish Spending]]+Table1[[#This Row],[Meat Spending]]+Table1[[#This Row],[Fruits Spending]]+Table1[[#This Row],[Wine Spending ]])</f>
        <v>1045</v>
      </c>
      <c r="Q1649">
        <v>2</v>
      </c>
      <c r="R1649">
        <v>4</v>
      </c>
      <c r="S1649">
        <v>7</v>
      </c>
      <c r="T1649">
        <v>13</v>
      </c>
      <c r="U1649">
        <f>SUM(Table1[[#This Row],[Store_Purchases]]+Table1[[#This Row],[Catalog_Purchases]]+Table1[[#This Row],[Web_Purchases]]+Table1[[#This Row],[Deal_Purchases]])</f>
        <v>26</v>
      </c>
      <c r="V1649">
        <v>2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f>SUM(Table1[[#This Row],[Accepted_Campaign_2]]+Table1[[#This Row],[Accepted_Campaign_1]]+Table1[[#This Row],[Accepted_Campaign_5]]+Table1[[#This Row],[Accepted_Campaign_4]]+Table1[[#This Row],[Accepted_Campaign_3]])</f>
        <v>0</v>
      </c>
      <c r="AC1649">
        <v>0</v>
      </c>
      <c r="AD1649">
        <v>0</v>
      </c>
    </row>
    <row r="1650" spans="1:30" x14ac:dyDescent="0.25">
      <c r="A1650">
        <v>41641</v>
      </c>
      <c r="B1650">
        <v>176</v>
      </c>
      <c r="C1650">
        <v>1980</v>
      </c>
      <c r="D1650" t="s">
        <v>8</v>
      </c>
      <c r="E1650" t="s">
        <v>15</v>
      </c>
      <c r="F1650" t="s">
        <v>9</v>
      </c>
      <c r="G1650">
        <v>67506</v>
      </c>
      <c r="H1650">
        <v>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f>SUM(Table1[[#This Row],[Gold Spending]]+Table1[[#This Row],[Sweet Spending]]+Table1[[#This Row],[Fish Spending]]+Table1[[#This Row],[Meat Spending]]+Table1[[#This Row],[Fruits Spending]]+Table1[[#This Row],[Wine Spending ]])</f>
        <v>331</v>
      </c>
      <c r="Q1650">
        <v>1</v>
      </c>
      <c r="R1650">
        <v>4</v>
      </c>
      <c r="S1650">
        <v>1</v>
      </c>
      <c r="T1650">
        <v>6</v>
      </c>
      <c r="U1650">
        <f>SUM(Table1[[#This Row],[Store_Purchases]]+Table1[[#This Row],[Catalog_Purchases]]+Table1[[#This Row],[Web_Purchases]]+Table1[[#This Row],[Deal_Purchases]])</f>
        <v>12</v>
      </c>
      <c r="V1650">
        <v>3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f>SUM(Table1[[#This Row],[Accepted_Campaign_2]]+Table1[[#This Row],[Accepted_Campaign_1]]+Table1[[#This Row],[Accepted_Campaign_5]]+Table1[[#This Row],[Accepted_Campaign_4]]+Table1[[#This Row],[Accepted_Campaign_3]])</f>
        <v>0</v>
      </c>
      <c r="AC1650">
        <v>0</v>
      </c>
      <c r="AD1650">
        <v>0</v>
      </c>
    </row>
    <row r="1651" spans="1:30" x14ac:dyDescent="0.25">
      <c r="A1651">
        <v>41534</v>
      </c>
      <c r="B1651">
        <v>6870</v>
      </c>
      <c r="C1651">
        <v>1959</v>
      </c>
      <c r="D1651" t="s">
        <v>8</v>
      </c>
      <c r="E1651" t="s">
        <v>14</v>
      </c>
      <c r="F1651" t="s">
        <v>7</v>
      </c>
      <c r="G1651">
        <v>68805</v>
      </c>
      <c r="H1651">
        <v>1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f>SUM(Table1[[#This Row],[Gold Spending]]+Table1[[#This Row],[Sweet Spending]]+Table1[[#This Row],[Fish Spending]]+Table1[[#This Row],[Meat Spending]]+Table1[[#This Row],[Fruits Spending]]+Table1[[#This Row],[Wine Spending ]])</f>
        <v>283</v>
      </c>
      <c r="Q1651">
        <v>1</v>
      </c>
      <c r="R1651">
        <v>3</v>
      </c>
      <c r="S1651">
        <v>1</v>
      </c>
      <c r="T1651">
        <v>7</v>
      </c>
      <c r="U1651">
        <f>SUM(Table1[[#This Row],[Store_Purchases]]+Table1[[#This Row],[Catalog_Purchases]]+Table1[[#This Row],[Web_Purchases]]+Table1[[#This Row],[Deal_Purchases]])</f>
        <v>12</v>
      </c>
      <c r="V1651">
        <v>2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f>SUM(Table1[[#This Row],[Accepted_Campaign_2]]+Table1[[#This Row],[Accepted_Campaign_1]]+Table1[[#This Row],[Accepted_Campaign_5]]+Table1[[#This Row],[Accepted_Campaign_4]]+Table1[[#This Row],[Accepted_Campaign_3]])</f>
        <v>0</v>
      </c>
      <c r="AC1651">
        <v>0</v>
      </c>
      <c r="AD1651">
        <v>0</v>
      </c>
    </row>
    <row r="1652" spans="1:30" x14ac:dyDescent="0.25">
      <c r="A1652">
        <v>41511</v>
      </c>
      <c r="B1652">
        <v>143</v>
      </c>
      <c r="C1652">
        <v>1970</v>
      </c>
      <c r="D1652" t="s">
        <v>63</v>
      </c>
      <c r="E1652" t="s">
        <v>6</v>
      </c>
      <c r="F1652" t="s">
        <v>9</v>
      </c>
      <c r="G1652">
        <v>61209</v>
      </c>
      <c r="H1652">
        <v>0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f>SUM(Table1[[#This Row],[Gold Spending]]+Table1[[#This Row],[Sweet Spending]]+Table1[[#This Row],[Fish Spending]]+Table1[[#This Row],[Meat Spending]]+Table1[[#This Row],[Fruits Spending]]+Table1[[#This Row],[Wine Spending ]])</f>
        <v>957</v>
      </c>
      <c r="Q1652">
        <v>1</v>
      </c>
      <c r="R1652">
        <v>5</v>
      </c>
      <c r="S1652">
        <v>3</v>
      </c>
      <c r="T1652">
        <v>4</v>
      </c>
      <c r="U1652">
        <f>SUM(Table1[[#This Row],[Store_Purchases]]+Table1[[#This Row],[Catalog_Purchases]]+Table1[[#This Row],[Web_Purchases]]+Table1[[#This Row],[Deal_Purchases]])</f>
        <v>13</v>
      </c>
      <c r="V1652">
        <v>2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f>SUM(Table1[[#This Row],[Accepted_Campaign_2]]+Table1[[#This Row],[Accepted_Campaign_1]]+Table1[[#This Row],[Accepted_Campaign_5]]+Table1[[#This Row],[Accepted_Campaign_4]]+Table1[[#This Row],[Accepted_Campaign_3]])</f>
        <v>0</v>
      </c>
      <c r="AC1652">
        <v>0</v>
      </c>
      <c r="AD1652">
        <v>0</v>
      </c>
    </row>
    <row r="1653" spans="1:30" x14ac:dyDescent="0.25">
      <c r="A1653">
        <v>41469</v>
      </c>
      <c r="B1653">
        <v>6445</v>
      </c>
      <c r="C1653">
        <v>1967</v>
      </c>
      <c r="D1653" t="s">
        <v>20</v>
      </c>
      <c r="E1653" t="s">
        <v>6</v>
      </c>
      <c r="F1653" t="s">
        <v>12</v>
      </c>
      <c r="G1653">
        <v>66825</v>
      </c>
      <c r="H1653">
        <v>0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f>SUM(Table1[[#This Row],[Gold Spending]]+Table1[[#This Row],[Sweet Spending]]+Table1[[#This Row],[Fish Spending]]+Table1[[#This Row],[Meat Spending]]+Table1[[#This Row],[Fruits Spending]]+Table1[[#This Row],[Wine Spending ]])</f>
        <v>858</v>
      </c>
      <c r="Q1653">
        <v>1</v>
      </c>
      <c r="R1653">
        <v>4</v>
      </c>
      <c r="S1653">
        <v>5</v>
      </c>
      <c r="T1653">
        <v>6</v>
      </c>
      <c r="U1653">
        <f>SUM(Table1[[#This Row],[Store_Purchases]]+Table1[[#This Row],[Catalog_Purchases]]+Table1[[#This Row],[Web_Purchases]]+Table1[[#This Row],[Deal_Purchases]])</f>
        <v>16</v>
      </c>
      <c r="V1653">
        <v>2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f>SUM(Table1[[#This Row],[Accepted_Campaign_2]]+Table1[[#This Row],[Accepted_Campaign_1]]+Table1[[#This Row],[Accepted_Campaign_5]]+Table1[[#This Row],[Accepted_Campaign_4]]+Table1[[#This Row],[Accepted_Campaign_3]])</f>
        <v>0</v>
      </c>
      <c r="AC1653">
        <v>0</v>
      </c>
      <c r="AD1653">
        <v>0</v>
      </c>
    </row>
    <row r="1654" spans="1:30" x14ac:dyDescent="0.25">
      <c r="A1654">
        <v>41428</v>
      </c>
      <c r="B1654">
        <v>4278</v>
      </c>
      <c r="C1654">
        <v>1983</v>
      </c>
      <c r="D1654" t="s">
        <v>17</v>
      </c>
      <c r="E1654" t="s">
        <v>14</v>
      </c>
      <c r="F1654" t="s">
        <v>9</v>
      </c>
      <c r="G1654">
        <v>87188</v>
      </c>
      <c r="H1654">
        <v>0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f>SUM(Table1[[#This Row],[Gold Spending]]+Table1[[#This Row],[Sweet Spending]]+Table1[[#This Row],[Fish Spending]]+Table1[[#This Row],[Meat Spending]]+Table1[[#This Row],[Fruits Spending]]+Table1[[#This Row],[Wine Spending ]])</f>
        <v>1923</v>
      </c>
      <c r="Q1654">
        <v>1</v>
      </c>
      <c r="R1654">
        <v>10</v>
      </c>
      <c r="S1654">
        <v>2</v>
      </c>
      <c r="T1654">
        <v>6</v>
      </c>
      <c r="U1654">
        <f>SUM(Table1[[#This Row],[Store_Purchases]]+Table1[[#This Row],[Catalog_Purchases]]+Table1[[#This Row],[Web_Purchases]]+Table1[[#This Row],[Deal_Purchases]])</f>
        <v>19</v>
      </c>
      <c r="V1654">
        <v>3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f>SUM(Table1[[#This Row],[Accepted_Campaign_2]]+Table1[[#This Row],[Accepted_Campaign_1]]+Table1[[#This Row],[Accepted_Campaign_5]]+Table1[[#This Row],[Accepted_Campaign_4]]+Table1[[#This Row],[Accepted_Campaign_3]])</f>
        <v>0</v>
      </c>
      <c r="AC1654">
        <v>1</v>
      </c>
      <c r="AD1654">
        <v>0</v>
      </c>
    </row>
    <row r="1655" spans="1:30" x14ac:dyDescent="0.25">
      <c r="A1655">
        <v>41428</v>
      </c>
      <c r="B1655">
        <v>6906</v>
      </c>
      <c r="C1655">
        <v>1953</v>
      </c>
      <c r="D1655" t="s">
        <v>8</v>
      </c>
      <c r="E1655" t="s">
        <v>18</v>
      </c>
      <c r="F1655" t="s">
        <v>19</v>
      </c>
      <c r="G1655">
        <v>84953</v>
      </c>
      <c r="H1655">
        <v>0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f>SUM(Table1[[#This Row],[Gold Spending]]+Table1[[#This Row],[Sweet Spending]]+Table1[[#This Row],[Fish Spending]]+Table1[[#This Row],[Meat Spending]]+Table1[[#This Row],[Fruits Spending]]+Table1[[#This Row],[Wine Spending ]])</f>
        <v>1024</v>
      </c>
      <c r="Q1655">
        <v>1</v>
      </c>
      <c r="R1655">
        <v>3</v>
      </c>
      <c r="S1655">
        <v>10</v>
      </c>
      <c r="T1655">
        <v>4</v>
      </c>
      <c r="U1655">
        <f>SUM(Table1[[#This Row],[Store_Purchases]]+Table1[[#This Row],[Catalog_Purchases]]+Table1[[#This Row],[Web_Purchases]]+Table1[[#This Row],[Deal_Purchases]])</f>
        <v>18</v>
      </c>
      <c r="V1655">
        <v>2</v>
      </c>
      <c r="W1655">
        <v>0</v>
      </c>
      <c r="X1655">
        <v>1</v>
      </c>
      <c r="Y1655">
        <v>1</v>
      </c>
      <c r="Z1655">
        <v>1</v>
      </c>
      <c r="AA1655">
        <v>0</v>
      </c>
      <c r="AB1655">
        <f>SUM(Table1[[#This Row],[Accepted_Campaign_2]]+Table1[[#This Row],[Accepted_Campaign_1]]+Table1[[#This Row],[Accepted_Campaign_5]]+Table1[[#This Row],[Accepted_Campaign_4]]+Table1[[#This Row],[Accepted_Campaign_3]])</f>
        <v>3</v>
      </c>
      <c r="AC1655">
        <v>1</v>
      </c>
      <c r="AD1655">
        <v>0</v>
      </c>
    </row>
    <row r="1656" spans="1:30" x14ac:dyDescent="0.25">
      <c r="A1656">
        <v>41412</v>
      </c>
      <c r="B1656">
        <v>4637</v>
      </c>
      <c r="C1656">
        <v>1954</v>
      </c>
      <c r="D1656" t="s">
        <v>20</v>
      </c>
      <c r="E1656" t="s">
        <v>14</v>
      </c>
      <c r="F1656" t="s">
        <v>9</v>
      </c>
      <c r="G1656">
        <v>74637</v>
      </c>
      <c r="H1656">
        <v>0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f>SUM(Table1[[#This Row],[Gold Spending]]+Table1[[#This Row],[Sweet Spending]]+Table1[[#This Row],[Fish Spending]]+Table1[[#This Row],[Meat Spending]]+Table1[[#This Row],[Fruits Spending]]+Table1[[#This Row],[Wine Spending ]])</f>
        <v>1650</v>
      </c>
      <c r="Q1656">
        <v>1</v>
      </c>
      <c r="R1656">
        <v>6</v>
      </c>
      <c r="S1656">
        <v>9</v>
      </c>
      <c r="T1656">
        <v>9</v>
      </c>
      <c r="U1656">
        <f>SUM(Table1[[#This Row],[Store_Purchases]]+Table1[[#This Row],[Catalog_Purchases]]+Table1[[#This Row],[Web_Purchases]]+Table1[[#This Row],[Deal_Purchases]])</f>
        <v>25</v>
      </c>
      <c r="V1656">
        <v>3</v>
      </c>
      <c r="W1656">
        <v>0</v>
      </c>
      <c r="X1656">
        <v>0</v>
      </c>
      <c r="Y1656">
        <v>0</v>
      </c>
      <c r="Z1656">
        <v>1</v>
      </c>
      <c r="AA1656">
        <v>0</v>
      </c>
      <c r="AB1656">
        <f>SUM(Table1[[#This Row],[Accepted_Campaign_2]]+Table1[[#This Row],[Accepted_Campaign_1]]+Table1[[#This Row],[Accepted_Campaign_5]]+Table1[[#This Row],[Accepted_Campaign_4]]+Table1[[#This Row],[Accepted_Campaign_3]])</f>
        <v>1</v>
      </c>
      <c r="AC1656">
        <v>0</v>
      </c>
      <c r="AD1656">
        <v>0</v>
      </c>
    </row>
    <row r="1657" spans="1:30" x14ac:dyDescent="0.25">
      <c r="A1657">
        <v>41383</v>
      </c>
      <c r="B1657">
        <v>8690</v>
      </c>
      <c r="C1657">
        <v>1962</v>
      </c>
      <c r="D1657" t="s">
        <v>10</v>
      </c>
      <c r="E1657" t="s">
        <v>6</v>
      </c>
      <c r="F1657" t="s">
        <v>11</v>
      </c>
      <c r="G1657">
        <v>86111</v>
      </c>
      <c r="H1657">
        <v>0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f>SUM(Table1[[#This Row],[Gold Spending]]+Table1[[#This Row],[Sweet Spending]]+Table1[[#This Row],[Fish Spending]]+Table1[[#This Row],[Meat Spending]]+Table1[[#This Row],[Fruits Spending]]+Table1[[#This Row],[Wine Spending ]])</f>
        <v>1385</v>
      </c>
      <c r="Q1657">
        <v>1</v>
      </c>
      <c r="R1657">
        <v>5</v>
      </c>
      <c r="S1657">
        <v>7</v>
      </c>
      <c r="T1657">
        <v>10</v>
      </c>
      <c r="U1657">
        <f>SUM(Table1[[#This Row],[Store_Purchases]]+Table1[[#This Row],[Catalog_Purchases]]+Table1[[#This Row],[Web_Purchases]]+Table1[[#This Row],[Deal_Purchases]])</f>
        <v>23</v>
      </c>
      <c r="V1657">
        <v>2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f>SUM(Table1[[#This Row],[Accepted_Campaign_2]]+Table1[[#This Row],[Accepted_Campaign_1]]+Table1[[#This Row],[Accepted_Campaign_5]]+Table1[[#This Row],[Accepted_Campaign_4]]+Table1[[#This Row],[Accepted_Campaign_3]])</f>
        <v>0</v>
      </c>
      <c r="AC1657">
        <v>0</v>
      </c>
      <c r="AD1657">
        <v>0</v>
      </c>
    </row>
    <row r="1658" spans="1:30" x14ac:dyDescent="0.25">
      <c r="A1658">
        <v>41343</v>
      </c>
      <c r="B1658">
        <v>1173</v>
      </c>
      <c r="C1658">
        <v>1947</v>
      </c>
      <c r="D1658" t="s">
        <v>8</v>
      </c>
      <c r="E1658" t="s">
        <v>18</v>
      </c>
      <c r="F1658" t="s">
        <v>12</v>
      </c>
      <c r="G1658">
        <v>77632</v>
      </c>
      <c r="H1658">
        <v>0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f>SUM(Table1[[#This Row],[Gold Spending]]+Table1[[#This Row],[Sweet Spending]]+Table1[[#This Row],[Fish Spending]]+Table1[[#This Row],[Meat Spending]]+Table1[[#This Row],[Fruits Spending]]+Table1[[#This Row],[Wine Spending ]])</f>
        <v>2252</v>
      </c>
      <c r="Q1658">
        <v>1</v>
      </c>
      <c r="R1658">
        <v>4</v>
      </c>
      <c r="S1658">
        <v>2</v>
      </c>
      <c r="T1658">
        <v>6</v>
      </c>
      <c r="U1658">
        <f>SUM(Table1[[#This Row],[Store_Purchases]]+Table1[[#This Row],[Catalog_Purchases]]+Table1[[#This Row],[Web_Purchases]]+Table1[[#This Row],[Deal_Purchases]])</f>
        <v>13</v>
      </c>
      <c r="V1658">
        <v>2</v>
      </c>
      <c r="W1658">
        <v>0</v>
      </c>
      <c r="X1658">
        <v>1</v>
      </c>
      <c r="Y1658">
        <v>1</v>
      </c>
      <c r="Z1658">
        <v>0</v>
      </c>
      <c r="AA1658">
        <v>0</v>
      </c>
      <c r="AB1658">
        <f>SUM(Table1[[#This Row],[Accepted_Campaign_2]]+Table1[[#This Row],[Accepted_Campaign_1]]+Table1[[#This Row],[Accepted_Campaign_5]]+Table1[[#This Row],[Accepted_Campaign_4]]+Table1[[#This Row],[Accepted_Campaign_3]])</f>
        <v>2</v>
      </c>
      <c r="AC1658">
        <v>1</v>
      </c>
      <c r="AD1658">
        <v>0</v>
      </c>
    </row>
    <row r="1659" spans="1:30" x14ac:dyDescent="0.25">
      <c r="A1659">
        <v>41314</v>
      </c>
      <c r="B1659">
        <v>1928</v>
      </c>
      <c r="C1659">
        <v>1973</v>
      </c>
      <c r="D1659" t="s">
        <v>20</v>
      </c>
      <c r="E1659" t="s">
        <v>6</v>
      </c>
      <c r="F1659" t="s">
        <v>11</v>
      </c>
      <c r="G1659">
        <v>31814</v>
      </c>
      <c r="H1659">
        <v>1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f>SUM(Table1[[#This Row],[Gold Spending]]+Table1[[#This Row],[Sweet Spending]]+Table1[[#This Row],[Fish Spending]]+Table1[[#This Row],[Meat Spending]]+Table1[[#This Row],[Fruits Spending]]+Table1[[#This Row],[Wine Spending ]])</f>
        <v>83</v>
      </c>
      <c r="Q1659">
        <v>2</v>
      </c>
      <c r="R1659">
        <v>2</v>
      </c>
      <c r="S1659">
        <v>0</v>
      </c>
      <c r="T1659">
        <v>3</v>
      </c>
      <c r="U1659">
        <f>SUM(Table1[[#This Row],[Store_Purchases]]+Table1[[#This Row],[Catalog_Purchases]]+Table1[[#This Row],[Web_Purchases]]+Table1[[#This Row],[Deal_Purchases]])</f>
        <v>7</v>
      </c>
      <c r="V1659">
        <v>9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f>SUM(Table1[[#This Row],[Accepted_Campaign_2]]+Table1[[#This Row],[Accepted_Campaign_1]]+Table1[[#This Row],[Accepted_Campaign_5]]+Table1[[#This Row],[Accepted_Campaign_4]]+Table1[[#This Row],[Accepted_Campaign_3]])</f>
        <v>1</v>
      </c>
      <c r="AC1659">
        <v>0</v>
      </c>
      <c r="AD1659">
        <v>0</v>
      </c>
    </row>
    <row r="1660" spans="1:30" x14ac:dyDescent="0.25">
      <c r="A1660">
        <v>41300</v>
      </c>
      <c r="B1660">
        <v>9029</v>
      </c>
      <c r="C1660">
        <v>1972</v>
      </c>
      <c r="D1660" t="s">
        <v>8</v>
      </c>
      <c r="E1660" t="s">
        <v>14</v>
      </c>
      <c r="F1660" t="s">
        <v>11</v>
      </c>
      <c r="G1660">
        <v>70116</v>
      </c>
      <c r="H1660">
        <v>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f>SUM(Table1[[#This Row],[Gold Spending]]+Table1[[#This Row],[Sweet Spending]]+Table1[[#This Row],[Fish Spending]]+Table1[[#This Row],[Meat Spending]]+Table1[[#This Row],[Fruits Spending]]+Table1[[#This Row],[Wine Spending ]])</f>
        <v>1536</v>
      </c>
      <c r="Q1660">
        <v>1</v>
      </c>
      <c r="R1660">
        <v>2</v>
      </c>
      <c r="S1660">
        <v>8</v>
      </c>
      <c r="T1660">
        <v>12</v>
      </c>
      <c r="U1660">
        <f>SUM(Table1[[#This Row],[Store_Purchases]]+Table1[[#This Row],[Catalog_Purchases]]+Table1[[#This Row],[Web_Purchases]]+Table1[[#This Row],[Deal_Purchases]])</f>
        <v>23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f>SUM(Table1[[#This Row],[Accepted_Campaign_2]]+Table1[[#This Row],[Accepted_Campaign_1]]+Table1[[#This Row],[Accepted_Campaign_5]]+Table1[[#This Row],[Accepted_Campaign_4]]+Table1[[#This Row],[Accepted_Campaign_3]])</f>
        <v>0</v>
      </c>
      <c r="AC1660">
        <v>0</v>
      </c>
      <c r="AD1660">
        <v>0</v>
      </c>
    </row>
    <row r="1661" spans="1:30" x14ac:dyDescent="0.25">
      <c r="A1661">
        <v>41222</v>
      </c>
      <c r="B1661">
        <v>10299</v>
      </c>
      <c r="C1661">
        <v>1969</v>
      </c>
      <c r="D1661" t="s">
        <v>8</v>
      </c>
      <c r="E1661" t="s">
        <v>14</v>
      </c>
      <c r="F1661" t="s">
        <v>9</v>
      </c>
      <c r="G1661">
        <v>48240</v>
      </c>
      <c r="H1661">
        <v>0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f>SUM(Table1[[#This Row],[Gold Spending]]+Table1[[#This Row],[Sweet Spending]]+Table1[[#This Row],[Fish Spending]]+Table1[[#This Row],[Meat Spending]]+Table1[[#This Row],[Fruits Spending]]+Table1[[#This Row],[Wine Spending ]])</f>
        <v>882</v>
      </c>
      <c r="Q1661">
        <v>3</v>
      </c>
      <c r="R1661">
        <v>6</v>
      </c>
      <c r="S1661">
        <v>3</v>
      </c>
      <c r="T1661">
        <v>13</v>
      </c>
      <c r="U1661">
        <f>SUM(Table1[[#This Row],[Store_Purchases]]+Table1[[#This Row],[Catalog_Purchases]]+Table1[[#This Row],[Web_Purchases]]+Table1[[#This Row],[Deal_Purchases]])</f>
        <v>25</v>
      </c>
      <c r="V1661">
        <v>5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f>SUM(Table1[[#This Row],[Accepted_Campaign_2]]+Table1[[#This Row],[Accepted_Campaign_1]]+Table1[[#This Row],[Accepted_Campaign_5]]+Table1[[#This Row],[Accepted_Campaign_4]]+Table1[[#This Row],[Accepted_Campaign_3]])</f>
        <v>0</v>
      </c>
      <c r="AC1661">
        <v>1</v>
      </c>
      <c r="AD1661">
        <v>0</v>
      </c>
    </row>
    <row r="1662" spans="1:30" x14ac:dyDescent="0.25">
      <c r="A1662">
        <v>41196</v>
      </c>
      <c r="B1662">
        <v>9246</v>
      </c>
      <c r="C1662">
        <v>1985</v>
      </c>
      <c r="D1662" t="s">
        <v>17</v>
      </c>
      <c r="E1662" t="s">
        <v>18</v>
      </c>
      <c r="F1662" t="s">
        <v>12</v>
      </c>
      <c r="G1662">
        <v>40101</v>
      </c>
      <c r="H1662">
        <v>1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f>SUM(Table1[[#This Row],[Gold Spending]]+Table1[[#This Row],[Sweet Spending]]+Table1[[#This Row],[Fish Spending]]+Table1[[#This Row],[Meat Spending]]+Table1[[#This Row],[Fruits Spending]]+Table1[[#This Row],[Wine Spending ]])</f>
        <v>415</v>
      </c>
      <c r="Q1662">
        <v>4</v>
      </c>
      <c r="R1662">
        <v>6</v>
      </c>
      <c r="S1662">
        <v>1</v>
      </c>
      <c r="T1662">
        <v>6</v>
      </c>
      <c r="U1662">
        <f>SUM(Table1[[#This Row],[Store_Purchases]]+Table1[[#This Row],[Catalog_Purchases]]+Table1[[#This Row],[Web_Purchases]]+Table1[[#This Row],[Deal_Purchases]])</f>
        <v>17</v>
      </c>
      <c r="V1662">
        <v>7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f>SUM(Table1[[#This Row],[Accepted_Campaign_2]]+Table1[[#This Row],[Accepted_Campaign_1]]+Table1[[#This Row],[Accepted_Campaign_5]]+Table1[[#This Row],[Accepted_Campaign_4]]+Table1[[#This Row],[Accepted_Campaign_3]])</f>
        <v>0</v>
      </c>
      <c r="AC1662">
        <v>0</v>
      </c>
      <c r="AD1662">
        <v>0</v>
      </c>
    </row>
    <row r="1663" spans="1:30" x14ac:dyDescent="0.25">
      <c r="A1663">
        <v>41182</v>
      </c>
      <c r="B1663">
        <v>4943</v>
      </c>
      <c r="C1663">
        <v>1953</v>
      </c>
      <c r="D1663" t="s">
        <v>8</v>
      </c>
      <c r="E1663" t="s">
        <v>6</v>
      </c>
      <c r="F1663" t="s">
        <v>11</v>
      </c>
      <c r="G1663">
        <v>70503</v>
      </c>
      <c r="H1663">
        <v>0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f>SUM(Table1[[#This Row],[Gold Spending]]+Table1[[#This Row],[Sweet Spending]]+Table1[[#This Row],[Fish Spending]]+Table1[[#This Row],[Meat Spending]]+Table1[[#This Row],[Fruits Spending]]+Table1[[#This Row],[Wine Spending ]])</f>
        <v>1727</v>
      </c>
      <c r="Q1663">
        <v>1</v>
      </c>
      <c r="R1663">
        <v>2</v>
      </c>
      <c r="S1663">
        <v>4</v>
      </c>
      <c r="T1663">
        <v>9</v>
      </c>
      <c r="U1663">
        <f>SUM(Table1[[#This Row],[Store_Purchases]]+Table1[[#This Row],[Catalog_Purchases]]+Table1[[#This Row],[Web_Purchases]]+Table1[[#This Row],[Deal_Purchases]])</f>
        <v>16</v>
      </c>
      <c r="V1663">
        <v>6</v>
      </c>
      <c r="W1663">
        <v>0</v>
      </c>
      <c r="X1663">
        <v>1</v>
      </c>
      <c r="Y1663">
        <v>1</v>
      </c>
      <c r="Z1663">
        <v>0</v>
      </c>
      <c r="AA1663">
        <v>0</v>
      </c>
      <c r="AB1663">
        <f>SUM(Table1[[#This Row],[Accepted_Campaign_2]]+Table1[[#This Row],[Accepted_Campaign_1]]+Table1[[#This Row],[Accepted_Campaign_5]]+Table1[[#This Row],[Accepted_Campaign_4]]+Table1[[#This Row],[Accepted_Campaign_3]])</f>
        <v>2</v>
      </c>
      <c r="AC1663">
        <v>0</v>
      </c>
      <c r="AD1663">
        <v>0</v>
      </c>
    </row>
    <row r="1664" spans="1:30" x14ac:dyDescent="0.25">
      <c r="A1664">
        <v>41150</v>
      </c>
      <c r="B1664">
        <v>4122</v>
      </c>
      <c r="C1664">
        <v>1975</v>
      </c>
      <c r="D1664" t="s">
        <v>8</v>
      </c>
      <c r="E1664" t="s">
        <v>6</v>
      </c>
      <c r="F1664" t="s">
        <v>11</v>
      </c>
      <c r="G1664">
        <v>79205</v>
      </c>
      <c r="H1664">
        <v>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f>SUM(Table1[[#This Row],[Gold Spending]]+Table1[[#This Row],[Sweet Spending]]+Table1[[#This Row],[Fish Spending]]+Table1[[#This Row],[Meat Spending]]+Table1[[#This Row],[Fruits Spending]]+Table1[[#This Row],[Wine Spending ]])</f>
        <v>895</v>
      </c>
      <c r="Q1664">
        <v>1</v>
      </c>
      <c r="R1664">
        <v>6</v>
      </c>
      <c r="S1664">
        <v>5</v>
      </c>
      <c r="T1664">
        <v>4</v>
      </c>
      <c r="U1664">
        <f>SUM(Table1[[#This Row],[Store_Purchases]]+Table1[[#This Row],[Catalog_Purchases]]+Table1[[#This Row],[Web_Purchases]]+Table1[[#This Row],[Deal_Purchases]])</f>
        <v>16</v>
      </c>
      <c r="V1664">
        <v>4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f>SUM(Table1[[#This Row],[Accepted_Campaign_2]]+Table1[[#This Row],[Accepted_Campaign_1]]+Table1[[#This Row],[Accepted_Campaign_5]]+Table1[[#This Row],[Accepted_Campaign_4]]+Table1[[#This Row],[Accepted_Campaign_3]])</f>
        <v>1</v>
      </c>
      <c r="AC1664">
        <v>1</v>
      </c>
      <c r="AD1664">
        <v>0</v>
      </c>
    </row>
    <row r="1665" spans="1:30" x14ac:dyDescent="0.25">
      <c r="A1665">
        <v>41709</v>
      </c>
      <c r="B1665">
        <v>2853</v>
      </c>
      <c r="C1665">
        <v>1980</v>
      </c>
      <c r="D1665" t="s">
        <v>10</v>
      </c>
      <c r="E1665" t="s">
        <v>6</v>
      </c>
      <c r="F1665" t="s">
        <v>9</v>
      </c>
      <c r="G1665">
        <v>51766</v>
      </c>
      <c r="H1665">
        <v>1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f>SUM(Table1[[#This Row],[Gold Spending]]+Table1[[#This Row],[Sweet Spending]]+Table1[[#This Row],[Fish Spending]]+Table1[[#This Row],[Meat Spending]]+Table1[[#This Row],[Fruits Spending]]+Table1[[#This Row],[Wine Spending ]])</f>
        <v>275</v>
      </c>
      <c r="Q1665">
        <v>2</v>
      </c>
      <c r="R1665">
        <v>4</v>
      </c>
      <c r="S1665">
        <v>2</v>
      </c>
      <c r="T1665">
        <v>4</v>
      </c>
      <c r="U1665">
        <f>SUM(Table1[[#This Row],[Store_Purchases]]+Table1[[#This Row],[Catalog_Purchases]]+Table1[[#This Row],[Web_Purchases]]+Table1[[#This Row],[Deal_Purchases]])</f>
        <v>12</v>
      </c>
      <c r="V1665">
        <v>5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f>SUM(Table1[[#This Row],[Accepted_Campaign_2]]+Table1[[#This Row],[Accepted_Campaign_1]]+Table1[[#This Row],[Accepted_Campaign_5]]+Table1[[#This Row],[Accepted_Campaign_4]]+Table1[[#This Row],[Accepted_Campaign_3]])</f>
        <v>0</v>
      </c>
      <c r="AC1665">
        <v>0</v>
      </c>
      <c r="AD1665">
        <v>0</v>
      </c>
    </row>
    <row r="1666" spans="1:30" x14ac:dyDescent="0.25">
      <c r="A1666">
        <v>41702</v>
      </c>
      <c r="B1666">
        <v>902</v>
      </c>
      <c r="C1666">
        <v>1980</v>
      </c>
      <c r="D1666" t="s">
        <v>10</v>
      </c>
      <c r="E1666" t="s">
        <v>6</v>
      </c>
      <c r="F1666" t="s">
        <v>12</v>
      </c>
      <c r="G1666">
        <v>62994</v>
      </c>
      <c r="H1666">
        <v>1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f>SUM(Table1[[#This Row],[Gold Spending]]+Table1[[#This Row],[Sweet Spending]]+Table1[[#This Row],[Fish Spending]]+Table1[[#This Row],[Meat Spending]]+Table1[[#This Row],[Fruits Spending]]+Table1[[#This Row],[Wine Spending ]])</f>
        <v>312</v>
      </c>
      <c r="Q1666">
        <v>1</v>
      </c>
      <c r="R1666">
        <v>6</v>
      </c>
      <c r="S1666">
        <v>2</v>
      </c>
      <c r="T1666">
        <v>4</v>
      </c>
      <c r="U1666">
        <f>SUM(Table1[[#This Row],[Store_Purchases]]+Table1[[#This Row],[Catalog_Purchases]]+Table1[[#This Row],[Web_Purchases]]+Table1[[#This Row],[Deal_Purchases]])</f>
        <v>13</v>
      </c>
      <c r="V1666">
        <v>6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f>SUM(Table1[[#This Row],[Accepted_Campaign_2]]+Table1[[#This Row],[Accepted_Campaign_1]]+Table1[[#This Row],[Accepted_Campaign_5]]+Table1[[#This Row],[Accepted_Campaign_4]]+Table1[[#This Row],[Accepted_Campaign_3]])</f>
        <v>0</v>
      </c>
      <c r="AC1666">
        <v>0</v>
      </c>
      <c r="AD1666">
        <v>0</v>
      </c>
    </row>
    <row r="1667" spans="1:30" x14ac:dyDescent="0.25">
      <c r="A1667">
        <v>41699</v>
      </c>
      <c r="B1667">
        <v>1672</v>
      </c>
      <c r="C1667">
        <v>1974</v>
      </c>
      <c r="D1667" t="s">
        <v>20</v>
      </c>
      <c r="E1667" t="s">
        <v>14</v>
      </c>
      <c r="F1667" t="s">
        <v>12</v>
      </c>
      <c r="G1667">
        <v>65640</v>
      </c>
      <c r="H1667">
        <v>1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f>SUM(Table1[[#This Row],[Gold Spending]]+Table1[[#This Row],[Sweet Spending]]+Table1[[#This Row],[Fish Spending]]+Table1[[#This Row],[Meat Spending]]+Table1[[#This Row],[Fruits Spending]]+Table1[[#This Row],[Wine Spending ]])</f>
        <v>461</v>
      </c>
      <c r="Q1667">
        <v>1</v>
      </c>
      <c r="R1667">
        <v>5</v>
      </c>
      <c r="S1667">
        <v>1</v>
      </c>
      <c r="T1667">
        <v>8</v>
      </c>
      <c r="U1667">
        <f>SUM(Table1[[#This Row],[Store_Purchases]]+Table1[[#This Row],[Catalog_Purchases]]+Table1[[#This Row],[Web_Purchases]]+Table1[[#This Row],[Deal_Purchases]])</f>
        <v>15</v>
      </c>
      <c r="V1667">
        <v>2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f>SUM(Table1[[#This Row],[Accepted_Campaign_2]]+Table1[[#This Row],[Accepted_Campaign_1]]+Table1[[#This Row],[Accepted_Campaign_5]]+Table1[[#This Row],[Accepted_Campaign_4]]+Table1[[#This Row],[Accepted_Campaign_3]])</f>
        <v>0</v>
      </c>
      <c r="AC1667">
        <v>0</v>
      </c>
      <c r="AD1667">
        <v>0</v>
      </c>
    </row>
    <row r="1668" spans="1:30" x14ac:dyDescent="0.25">
      <c r="A1668">
        <v>41635</v>
      </c>
      <c r="B1668">
        <v>7254</v>
      </c>
      <c r="C1668">
        <v>1969</v>
      </c>
      <c r="D1668" t="s">
        <v>20</v>
      </c>
      <c r="E1668" t="s">
        <v>6</v>
      </c>
      <c r="F1668" t="s">
        <v>12</v>
      </c>
      <c r="G1668">
        <v>38361</v>
      </c>
      <c r="H1668">
        <v>1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f>SUM(Table1[[#This Row],[Gold Spending]]+Table1[[#This Row],[Sweet Spending]]+Table1[[#This Row],[Fish Spending]]+Table1[[#This Row],[Meat Spending]]+Table1[[#This Row],[Fruits Spending]]+Table1[[#This Row],[Wine Spending ]])</f>
        <v>137</v>
      </c>
      <c r="Q1668">
        <v>3</v>
      </c>
      <c r="R1668">
        <v>3</v>
      </c>
      <c r="S1668">
        <v>1</v>
      </c>
      <c r="T1668">
        <v>3</v>
      </c>
      <c r="U1668">
        <f>SUM(Table1[[#This Row],[Store_Purchases]]+Table1[[#This Row],[Catalog_Purchases]]+Table1[[#This Row],[Web_Purchases]]+Table1[[#This Row],[Deal_Purchases]])</f>
        <v>10</v>
      </c>
      <c r="V1668">
        <v>7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f>SUM(Table1[[#This Row],[Accepted_Campaign_2]]+Table1[[#This Row],[Accepted_Campaign_1]]+Table1[[#This Row],[Accepted_Campaign_5]]+Table1[[#This Row],[Accepted_Campaign_4]]+Table1[[#This Row],[Accepted_Campaign_3]])</f>
        <v>0</v>
      </c>
      <c r="AC1668">
        <v>0</v>
      </c>
      <c r="AD1668">
        <v>0</v>
      </c>
    </row>
    <row r="1669" spans="1:30" x14ac:dyDescent="0.25">
      <c r="A1669">
        <v>41635</v>
      </c>
      <c r="B1669">
        <v>8775</v>
      </c>
      <c r="C1669">
        <v>1969</v>
      </c>
      <c r="D1669" t="s">
        <v>13</v>
      </c>
      <c r="E1669" t="s">
        <v>6</v>
      </c>
      <c r="F1669" t="s">
        <v>12</v>
      </c>
      <c r="G1669">
        <v>38361</v>
      </c>
      <c r="H1669">
        <v>1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f>SUM(Table1[[#This Row],[Gold Spending]]+Table1[[#This Row],[Sweet Spending]]+Table1[[#This Row],[Fish Spending]]+Table1[[#This Row],[Meat Spending]]+Table1[[#This Row],[Fruits Spending]]+Table1[[#This Row],[Wine Spending ]])</f>
        <v>137</v>
      </c>
      <c r="Q1669">
        <v>3</v>
      </c>
      <c r="R1669">
        <v>3</v>
      </c>
      <c r="S1669">
        <v>1</v>
      </c>
      <c r="T1669">
        <v>3</v>
      </c>
      <c r="U1669">
        <f>SUM(Table1[[#This Row],[Store_Purchases]]+Table1[[#This Row],[Catalog_Purchases]]+Table1[[#This Row],[Web_Purchases]]+Table1[[#This Row],[Deal_Purchases]])</f>
        <v>10</v>
      </c>
      <c r="V1669">
        <v>7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f>SUM(Table1[[#This Row],[Accepted_Campaign_2]]+Table1[[#This Row],[Accepted_Campaign_1]]+Table1[[#This Row],[Accepted_Campaign_5]]+Table1[[#This Row],[Accepted_Campaign_4]]+Table1[[#This Row],[Accepted_Campaign_3]])</f>
        <v>0</v>
      </c>
      <c r="AC1669">
        <v>0</v>
      </c>
      <c r="AD1669">
        <v>0</v>
      </c>
    </row>
    <row r="1670" spans="1:30" x14ac:dyDescent="0.25">
      <c r="A1670">
        <v>41592</v>
      </c>
      <c r="B1670">
        <v>9543</v>
      </c>
      <c r="C1670">
        <v>1985</v>
      </c>
      <c r="D1670" t="s">
        <v>8</v>
      </c>
      <c r="E1670" t="s">
        <v>6</v>
      </c>
      <c r="F1670" t="s">
        <v>11</v>
      </c>
      <c r="G1670">
        <v>19986</v>
      </c>
      <c r="H1670">
        <v>1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1670">
        <v>1</v>
      </c>
      <c r="R1670">
        <v>0</v>
      </c>
      <c r="S1670">
        <v>0</v>
      </c>
      <c r="T1670">
        <v>3</v>
      </c>
      <c r="U1670">
        <f>SUM(Table1[[#This Row],[Store_Purchases]]+Table1[[#This Row],[Catalog_Purchases]]+Table1[[#This Row],[Web_Purchases]]+Table1[[#This Row],[Deal_Purchases]])</f>
        <v>4</v>
      </c>
      <c r="V1670">
        <v>7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f>SUM(Table1[[#This Row],[Accepted_Campaign_2]]+Table1[[#This Row],[Accepted_Campaign_1]]+Table1[[#This Row],[Accepted_Campaign_5]]+Table1[[#This Row],[Accepted_Campaign_4]]+Table1[[#This Row],[Accepted_Campaign_3]])</f>
        <v>0</v>
      </c>
      <c r="AC1670">
        <v>0</v>
      </c>
      <c r="AD1670">
        <v>0</v>
      </c>
    </row>
    <row r="1671" spans="1:30" x14ac:dyDescent="0.25">
      <c r="A1671">
        <v>41592</v>
      </c>
      <c r="B1671">
        <v>7093</v>
      </c>
      <c r="C1671">
        <v>1985</v>
      </c>
      <c r="D1671" t="s">
        <v>8</v>
      </c>
      <c r="E1671" t="s">
        <v>6</v>
      </c>
      <c r="F1671" t="s">
        <v>11</v>
      </c>
      <c r="G1671">
        <v>19986</v>
      </c>
      <c r="H1671">
        <v>1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1671">
        <v>1</v>
      </c>
      <c r="R1671">
        <v>0</v>
      </c>
      <c r="S1671">
        <v>0</v>
      </c>
      <c r="T1671">
        <v>3</v>
      </c>
      <c r="U1671">
        <f>SUM(Table1[[#This Row],[Store_Purchases]]+Table1[[#This Row],[Catalog_Purchases]]+Table1[[#This Row],[Web_Purchases]]+Table1[[#This Row],[Deal_Purchases]])</f>
        <v>4</v>
      </c>
      <c r="V1671">
        <v>7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f>SUM(Table1[[#This Row],[Accepted_Campaign_2]]+Table1[[#This Row],[Accepted_Campaign_1]]+Table1[[#This Row],[Accepted_Campaign_5]]+Table1[[#This Row],[Accepted_Campaign_4]]+Table1[[#This Row],[Accepted_Campaign_3]])</f>
        <v>0</v>
      </c>
      <c r="AC1671">
        <v>0</v>
      </c>
      <c r="AD1671">
        <v>0</v>
      </c>
    </row>
    <row r="1672" spans="1:30" x14ac:dyDescent="0.25">
      <c r="A1672">
        <v>41576</v>
      </c>
      <c r="B1672">
        <v>2894</v>
      </c>
      <c r="C1672">
        <v>1985</v>
      </c>
      <c r="D1672" t="s">
        <v>8</v>
      </c>
      <c r="E1672" t="s">
        <v>6</v>
      </c>
      <c r="F1672" t="s">
        <v>9</v>
      </c>
      <c r="G1672">
        <v>72903</v>
      </c>
      <c r="H1672">
        <v>0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f>SUM(Table1[[#This Row],[Gold Spending]]+Table1[[#This Row],[Sweet Spending]]+Table1[[#This Row],[Fish Spending]]+Table1[[#This Row],[Meat Spending]]+Table1[[#This Row],[Fruits Spending]]+Table1[[#This Row],[Wine Spending ]])</f>
        <v>2013</v>
      </c>
      <c r="Q1672">
        <v>1</v>
      </c>
      <c r="R1672">
        <v>7</v>
      </c>
      <c r="S1672">
        <v>5</v>
      </c>
      <c r="T1672">
        <v>8</v>
      </c>
      <c r="U1672">
        <f>SUM(Table1[[#This Row],[Store_Purchases]]+Table1[[#This Row],[Catalog_Purchases]]+Table1[[#This Row],[Web_Purchases]]+Table1[[#This Row],[Deal_Purchases]])</f>
        <v>21</v>
      </c>
      <c r="V1672">
        <v>4</v>
      </c>
      <c r="W1672">
        <v>0</v>
      </c>
      <c r="X1672">
        <v>1</v>
      </c>
      <c r="Y1672">
        <v>1</v>
      </c>
      <c r="Z1672">
        <v>1</v>
      </c>
      <c r="AA1672">
        <v>0</v>
      </c>
      <c r="AB1672">
        <f>SUM(Table1[[#This Row],[Accepted_Campaign_2]]+Table1[[#This Row],[Accepted_Campaign_1]]+Table1[[#This Row],[Accepted_Campaign_5]]+Table1[[#This Row],[Accepted_Campaign_4]]+Table1[[#This Row],[Accepted_Campaign_3]])</f>
        <v>3</v>
      </c>
      <c r="AC1672">
        <v>1</v>
      </c>
      <c r="AD1672">
        <v>0</v>
      </c>
    </row>
    <row r="1673" spans="1:30" x14ac:dyDescent="0.25">
      <c r="A1673">
        <v>41563</v>
      </c>
      <c r="B1673">
        <v>5956</v>
      </c>
      <c r="C1673">
        <v>1948</v>
      </c>
      <c r="D1673" t="s">
        <v>13</v>
      </c>
      <c r="E1673" t="s">
        <v>14</v>
      </c>
      <c r="F1673" t="s">
        <v>7</v>
      </c>
      <c r="G1673">
        <v>45072</v>
      </c>
      <c r="H1673">
        <v>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f>SUM(Table1[[#This Row],[Gold Spending]]+Table1[[#This Row],[Sweet Spending]]+Table1[[#This Row],[Fish Spending]]+Table1[[#This Row],[Meat Spending]]+Table1[[#This Row],[Fruits Spending]]+Table1[[#This Row],[Wine Spending ]])</f>
        <v>284</v>
      </c>
      <c r="Q1673">
        <v>5</v>
      </c>
      <c r="R1673">
        <v>6</v>
      </c>
      <c r="S1673">
        <v>1</v>
      </c>
      <c r="T1673">
        <v>4</v>
      </c>
      <c r="U1673">
        <f>SUM(Table1[[#This Row],[Store_Purchases]]+Table1[[#This Row],[Catalog_Purchases]]+Table1[[#This Row],[Web_Purchases]]+Table1[[#This Row],[Deal_Purchases]])</f>
        <v>16</v>
      </c>
      <c r="V1673">
        <v>8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f>SUM(Table1[[#This Row],[Accepted_Campaign_2]]+Table1[[#This Row],[Accepted_Campaign_1]]+Table1[[#This Row],[Accepted_Campaign_5]]+Table1[[#This Row],[Accepted_Campaign_4]]+Table1[[#This Row],[Accepted_Campaign_3]])</f>
        <v>0</v>
      </c>
      <c r="AC1673">
        <v>0</v>
      </c>
      <c r="AD1673">
        <v>0</v>
      </c>
    </row>
    <row r="1674" spans="1:30" x14ac:dyDescent="0.25">
      <c r="A1674">
        <v>41550</v>
      </c>
      <c r="B1674">
        <v>1921</v>
      </c>
      <c r="C1674">
        <v>1967</v>
      </c>
      <c r="D1674" t="s">
        <v>8</v>
      </c>
      <c r="E1674" t="s">
        <v>14</v>
      </c>
      <c r="F1674" t="s">
        <v>11</v>
      </c>
      <c r="G1674">
        <v>59062</v>
      </c>
      <c r="H1674">
        <v>3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f>SUM(Table1[[#This Row],[Gold Spending]]+Table1[[#This Row],[Sweet Spending]]+Table1[[#This Row],[Fish Spending]]+Table1[[#This Row],[Meat Spending]]+Table1[[#This Row],[Fruits Spending]]+Table1[[#This Row],[Wine Spending ]])</f>
        <v>71</v>
      </c>
      <c r="Q1674">
        <v>2</v>
      </c>
      <c r="R1674">
        <v>2</v>
      </c>
      <c r="S1674">
        <v>0</v>
      </c>
      <c r="T1674">
        <v>3</v>
      </c>
      <c r="U1674">
        <f>SUM(Table1[[#This Row],[Store_Purchases]]+Table1[[#This Row],[Catalog_Purchases]]+Table1[[#This Row],[Web_Purchases]]+Table1[[#This Row],[Deal_Purchases]])</f>
        <v>7</v>
      </c>
      <c r="V1674">
        <v>4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f>SUM(Table1[[#This Row],[Accepted_Campaign_2]]+Table1[[#This Row],[Accepted_Campaign_1]]+Table1[[#This Row],[Accepted_Campaign_5]]+Table1[[#This Row],[Accepted_Campaign_4]]+Table1[[#This Row],[Accepted_Campaign_3]])</f>
        <v>0</v>
      </c>
      <c r="AC1674">
        <v>0</v>
      </c>
      <c r="AD1674">
        <v>0</v>
      </c>
    </row>
    <row r="1675" spans="1:30" x14ac:dyDescent="0.25">
      <c r="A1675">
        <v>41531</v>
      </c>
      <c r="B1675">
        <v>5057</v>
      </c>
      <c r="C1675">
        <v>1961</v>
      </c>
      <c r="D1675" t="s">
        <v>8</v>
      </c>
      <c r="E1675" t="s">
        <v>18</v>
      </c>
      <c r="F1675" t="s">
        <v>11</v>
      </c>
      <c r="G1675">
        <v>61794</v>
      </c>
      <c r="H1675">
        <v>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f>SUM(Table1[[#This Row],[Gold Spending]]+Table1[[#This Row],[Sweet Spending]]+Table1[[#This Row],[Fish Spending]]+Table1[[#This Row],[Meat Spending]]+Table1[[#This Row],[Fruits Spending]]+Table1[[#This Row],[Wine Spending ]])</f>
        <v>611</v>
      </c>
      <c r="Q1675">
        <v>2</v>
      </c>
      <c r="R1675">
        <v>4</v>
      </c>
      <c r="S1675">
        <v>4</v>
      </c>
      <c r="T1675">
        <v>10</v>
      </c>
      <c r="U1675">
        <f>SUM(Table1[[#This Row],[Store_Purchases]]+Table1[[#This Row],[Catalog_Purchases]]+Table1[[#This Row],[Web_Purchases]]+Table1[[#This Row],[Deal_Purchases]])</f>
        <v>20</v>
      </c>
      <c r="V1675">
        <v>2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f>SUM(Table1[[#This Row],[Accepted_Campaign_2]]+Table1[[#This Row],[Accepted_Campaign_1]]+Table1[[#This Row],[Accepted_Campaign_5]]+Table1[[#This Row],[Accepted_Campaign_4]]+Table1[[#This Row],[Accepted_Campaign_3]])</f>
        <v>0</v>
      </c>
      <c r="AC1675">
        <v>0</v>
      </c>
      <c r="AD1675">
        <v>0</v>
      </c>
    </row>
    <row r="1676" spans="1:30" x14ac:dyDescent="0.25">
      <c r="A1676">
        <v>41512</v>
      </c>
      <c r="B1676">
        <v>10260</v>
      </c>
      <c r="C1676">
        <v>1965</v>
      </c>
      <c r="D1676" t="s">
        <v>8</v>
      </c>
      <c r="E1676" t="s">
        <v>18</v>
      </c>
      <c r="F1676" t="s">
        <v>12</v>
      </c>
      <c r="G1676">
        <v>45143</v>
      </c>
      <c r="H1676">
        <v>1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f>SUM(Table1[[#This Row],[Gold Spending]]+Table1[[#This Row],[Sweet Spending]]+Table1[[#This Row],[Fish Spending]]+Table1[[#This Row],[Meat Spending]]+Table1[[#This Row],[Fruits Spending]]+Table1[[#This Row],[Wine Spending ]])</f>
        <v>311</v>
      </c>
      <c r="Q1676">
        <v>3</v>
      </c>
      <c r="R1676">
        <v>6</v>
      </c>
      <c r="S1676">
        <v>1</v>
      </c>
      <c r="T1676">
        <v>5</v>
      </c>
      <c r="U1676">
        <f>SUM(Table1[[#This Row],[Store_Purchases]]+Table1[[#This Row],[Catalog_Purchases]]+Table1[[#This Row],[Web_Purchases]]+Table1[[#This Row],[Deal_Purchases]])</f>
        <v>15</v>
      </c>
      <c r="V1676">
        <v>7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f>SUM(Table1[[#This Row],[Accepted_Campaign_2]]+Table1[[#This Row],[Accepted_Campaign_1]]+Table1[[#This Row],[Accepted_Campaign_5]]+Table1[[#This Row],[Accepted_Campaign_4]]+Table1[[#This Row],[Accepted_Campaign_3]])</f>
        <v>0</v>
      </c>
      <c r="AC1676">
        <v>0</v>
      </c>
      <c r="AD1676">
        <v>0</v>
      </c>
    </row>
    <row r="1677" spans="1:30" x14ac:dyDescent="0.25">
      <c r="A1677">
        <v>41512</v>
      </c>
      <c r="B1677">
        <v>2262</v>
      </c>
      <c r="C1677">
        <v>1965</v>
      </c>
      <c r="D1677" t="s">
        <v>20</v>
      </c>
      <c r="E1677" t="s">
        <v>18</v>
      </c>
      <c r="F1677" t="s">
        <v>12</v>
      </c>
      <c r="G1677">
        <v>45143</v>
      </c>
      <c r="H1677">
        <v>1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f>SUM(Table1[[#This Row],[Gold Spending]]+Table1[[#This Row],[Sweet Spending]]+Table1[[#This Row],[Fish Spending]]+Table1[[#This Row],[Meat Spending]]+Table1[[#This Row],[Fruits Spending]]+Table1[[#This Row],[Wine Spending ]])</f>
        <v>311</v>
      </c>
      <c r="Q1677">
        <v>3</v>
      </c>
      <c r="R1677">
        <v>6</v>
      </c>
      <c r="S1677">
        <v>1</v>
      </c>
      <c r="T1677">
        <v>5</v>
      </c>
      <c r="U1677">
        <f>SUM(Table1[[#This Row],[Store_Purchases]]+Table1[[#This Row],[Catalog_Purchases]]+Table1[[#This Row],[Web_Purchases]]+Table1[[#This Row],[Deal_Purchases]])</f>
        <v>15</v>
      </c>
      <c r="V1677">
        <v>7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f>SUM(Table1[[#This Row],[Accepted_Campaign_2]]+Table1[[#This Row],[Accepted_Campaign_1]]+Table1[[#This Row],[Accepted_Campaign_5]]+Table1[[#This Row],[Accepted_Campaign_4]]+Table1[[#This Row],[Accepted_Campaign_3]])</f>
        <v>0</v>
      </c>
      <c r="AC1677">
        <v>0</v>
      </c>
      <c r="AD1677">
        <v>0</v>
      </c>
    </row>
    <row r="1678" spans="1:30" x14ac:dyDescent="0.25">
      <c r="A1678">
        <v>41505</v>
      </c>
      <c r="B1678">
        <v>7930</v>
      </c>
      <c r="C1678">
        <v>1969</v>
      </c>
      <c r="D1678" t="s">
        <v>8</v>
      </c>
      <c r="E1678" t="s">
        <v>18</v>
      </c>
      <c r="F1678" t="s">
        <v>9</v>
      </c>
      <c r="G1678">
        <v>26877</v>
      </c>
      <c r="H1678">
        <v>0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f>SUM(Table1[[#This Row],[Gold Spending]]+Table1[[#This Row],[Sweet Spending]]+Table1[[#This Row],[Fish Spending]]+Table1[[#This Row],[Meat Spending]]+Table1[[#This Row],[Fruits Spending]]+Table1[[#This Row],[Wine Spending ]])</f>
        <v>268</v>
      </c>
      <c r="Q1678">
        <v>2</v>
      </c>
      <c r="R1678">
        <v>3</v>
      </c>
      <c r="S1678">
        <v>1</v>
      </c>
      <c r="T1678">
        <v>6</v>
      </c>
      <c r="U1678">
        <f>SUM(Table1[[#This Row],[Store_Purchases]]+Table1[[#This Row],[Catalog_Purchases]]+Table1[[#This Row],[Web_Purchases]]+Table1[[#This Row],[Deal_Purchases]])</f>
        <v>12</v>
      </c>
      <c r="V1678">
        <v>6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f>SUM(Table1[[#This Row],[Accepted_Campaign_2]]+Table1[[#This Row],[Accepted_Campaign_1]]+Table1[[#This Row],[Accepted_Campaign_5]]+Table1[[#This Row],[Accepted_Campaign_4]]+Table1[[#This Row],[Accepted_Campaign_3]])</f>
        <v>0</v>
      </c>
      <c r="AC1678">
        <v>0</v>
      </c>
      <c r="AD1678">
        <v>0</v>
      </c>
    </row>
    <row r="1679" spans="1:30" x14ac:dyDescent="0.25">
      <c r="A1679">
        <v>41483</v>
      </c>
      <c r="B1679">
        <v>1461</v>
      </c>
      <c r="C1679">
        <v>1965</v>
      </c>
      <c r="D1679" t="s">
        <v>10</v>
      </c>
      <c r="E1679" t="s">
        <v>14</v>
      </c>
      <c r="F1679" t="s">
        <v>7</v>
      </c>
      <c r="G1679">
        <v>36921</v>
      </c>
      <c r="H1679">
        <v>2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f>SUM(Table1[[#This Row],[Gold Spending]]+Table1[[#This Row],[Sweet Spending]]+Table1[[#This Row],[Fish Spending]]+Table1[[#This Row],[Meat Spending]]+Table1[[#This Row],[Fruits Spending]]+Table1[[#This Row],[Wine Spending ]])</f>
        <v>38</v>
      </c>
      <c r="Q1679">
        <v>2</v>
      </c>
      <c r="R1679">
        <v>2</v>
      </c>
      <c r="S1679">
        <v>0</v>
      </c>
      <c r="T1679">
        <v>3</v>
      </c>
      <c r="U1679">
        <f>SUM(Table1[[#This Row],[Store_Purchases]]+Table1[[#This Row],[Catalog_Purchases]]+Table1[[#This Row],[Web_Purchases]]+Table1[[#This Row],[Deal_Purchases]])</f>
        <v>7</v>
      </c>
      <c r="V1679">
        <v>7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f>SUM(Table1[[#This Row],[Accepted_Campaign_2]]+Table1[[#This Row],[Accepted_Campaign_1]]+Table1[[#This Row],[Accepted_Campaign_5]]+Table1[[#This Row],[Accepted_Campaign_4]]+Table1[[#This Row],[Accepted_Campaign_3]])</f>
        <v>0</v>
      </c>
      <c r="AC1679">
        <v>0</v>
      </c>
      <c r="AD1679">
        <v>0</v>
      </c>
    </row>
    <row r="1680" spans="1:30" x14ac:dyDescent="0.25">
      <c r="A1680">
        <v>41458</v>
      </c>
      <c r="B1680">
        <v>7514</v>
      </c>
      <c r="C1680">
        <v>1956</v>
      </c>
      <c r="D1680" t="s">
        <v>13</v>
      </c>
      <c r="E1680" t="s">
        <v>15</v>
      </c>
      <c r="F1680" t="s">
        <v>12</v>
      </c>
      <c r="G1680">
        <v>54342</v>
      </c>
      <c r="H1680">
        <v>2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f>SUM(Table1[[#This Row],[Gold Spending]]+Table1[[#This Row],[Sweet Spending]]+Table1[[#This Row],[Fish Spending]]+Table1[[#This Row],[Meat Spending]]+Table1[[#This Row],[Fruits Spending]]+Table1[[#This Row],[Wine Spending ]])</f>
        <v>177</v>
      </c>
      <c r="Q1680">
        <v>4</v>
      </c>
      <c r="R1680">
        <v>3</v>
      </c>
      <c r="S1680">
        <v>1</v>
      </c>
      <c r="T1680">
        <v>4</v>
      </c>
      <c r="U1680">
        <f>SUM(Table1[[#This Row],[Store_Purchases]]+Table1[[#This Row],[Catalog_Purchases]]+Table1[[#This Row],[Web_Purchases]]+Table1[[#This Row],[Deal_Purchases]])</f>
        <v>12</v>
      </c>
      <c r="V1680">
        <v>6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f>SUM(Table1[[#This Row],[Accepted_Campaign_2]]+Table1[[#This Row],[Accepted_Campaign_1]]+Table1[[#This Row],[Accepted_Campaign_5]]+Table1[[#This Row],[Accepted_Campaign_4]]+Table1[[#This Row],[Accepted_Campaign_3]])</f>
        <v>0</v>
      </c>
      <c r="AC1680">
        <v>0</v>
      </c>
      <c r="AD1680">
        <v>0</v>
      </c>
    </row>
    <row r="1681" spans="1:30" x14ac:dyDescent="0.25">
      <c r="A1681">
        <v>41413</v>
      </c>
      <c r="B1681">
        <v>6461</v>
      </c>
      <c r="C1681">
        <v>1969</v>
      </c>
      <c r="D1681" t="s">
        <v>8</v>
      </c>
      <c r="E1681" t="s">
        <v>18</v>
      </c>
      <c r="F1681" t="s">
        <v>9</v>
      </c>
      <c r="G1681">
        <v>62772</v>
      </c>
      <c r="H1681">
        <v>1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f>SUM(Table1[[#This Row],[Gold Spending]]+Table1[[#This Row],[Sweet Spending]]+Table1[[#This Row],[Fish Spending]]+Table1[[#This Row],[Meat Spending]]+Table1[[#This Row],[Fruits Spending]]+Table1[[#This Row],[Wine Spending ]])</f>
        <v>946</v>
      </c>
      <c r="Q1681">
        <v>1</v>
      </c>
      <c r="R1681">
        <v>5</v>
      </c>
      <c r="S1681">
        <v>6</v>
      </c>
      <c r="T1681">
        <v>11</v>
      </c>
      <c r="U1681">
        <f>SUM(Table1[[#This Row],[Store_Purchases]]+Table1[[#This Row],[Catalog_Purchases]]+Table1[[#This Row],[Web_Purchases]]+Table1[[#This Row],[Deal_Purchases]])</f>
        <v>23</v>
      </c>
      <c r="V1681">
        <v>2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f>SUM(Table1[[#This Row],[Accepted_Campaign_2]]+Table1[[#This Row],[Accepted_Campaign_1]]+Table1[[#This Row],[Accepted_Campaign_5]]+Table1[[#This Row],[Accepted_Campaign_4]]+Table1[[#This Row],[Accepted_Campaign_3]])</f>
        <v>1</v>
      </c>
      <c r="AC1681">
        <v>0</v>
      </c>
      <c r="AD1681">
        <v>0</v>
      </c>
    </row>
    <row r="1682" spans="1:30" x14ac:dyDescent="0.25">
      <c r="A1682">
        <v>41392</v>
      </c>
      <c r="B1682">
        <v>257</v>
      </c>
      <c r="C1682">
        <v>1959</v>
      </c>
      <c r="D1682" t="s">
        <v>8</v>
      </c>
      <c r="E1682" t="s">
        <v>14</v>
      </c>
      <c r="F1682" t="s">
        <v>11</v>
      </c>
      <c r="G1682">
        <v>75032</v>
      </c>
      <c r="H1682">
        <v>1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f>SUM(Table1[[#This Row],[Gold Spending]]+Table1[[#This Row],[Sweet Spending]]+Table1[[#This Row],[Fish Spending]]+Table1[[#This Row],[Meat Spending]]+Table1[[#This Row],[Fruits Spending]]+Table1[[#This Row],[Wine Spending ]])</f>
        <v>1215</v>
      </c>
      <c r="Q1682">
        <v>2</v>
      </c>
      <c r="R1682">
        <v>5</v>
      </c>
      <c r="S1682">
        <v>4</v>
      </c>
      <c r="T1682">
        <v>9</v>
      </c>
      <c r="U1682">
        <f>SUM(Table1[[#This Row],[Store_Purchases]]+Table1[[#This Row],[Catalog_Purchases]]+Table1[[#This Row],[Web_Purchases]]+Table1[[#This Row],[Deal_Purchases]])</f>
        <v>20</v>
      </c>
      <c r="V1682">
        <v>3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f>SUM(Table1[[#This Row],[Accepted_Campaign_2]]+Table1[[#This Row],[Accepted_Campaign_1]]+Table1[[#This Row],[Accepted_Campaign_5]]+Table1[[#This Row],[Accepted_Campaign_4]]+Table1[[#This Row],[Accepted_Campaign_3]])</f>
        <v>0</v>
      </c>
      <c r="AC1682">
        <v>0</v>
      </c>
      <c r="AD1682">
        <v>0</v>
      </c>
    </row>
    <row r="1683" spans="1:30" x14ac:dyDescent="0.25">
      <c r="A1683">
        <v>41382</v>
      </c>
      <c r="B1683">
        <v>9460</v>
      </c>
      <c r="C1683">
        <v>1963</v>
      </c>
      <c r="D1683" t="s">
        <v>8</v>
      </c>
      <c r="E1683" t="s">
        <v>6</v>
      </c>
      <c r="F1683" t="s">
        <v>11</v>
      </c>
      <c r="G1683">
        <v>22419</v>
      </c>
      <c r="H1683">
        <v>0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f>SUM(Table1[[#This Row],[Gold Spending]]+Table1[[#This Row],[Sweet Spending]]+Table1[[#This Row],[Fish Spending]]+Table1[[#This Row],[Meat Spending]]+Table1[[#This Row],[Fruits Spending]]+Table1[[#This Row],[Wine Spending ]])</f>
        <v>162</v>
      </c>
      <c r="Q1683">
        <v>1</v>
      </c>
      <c r="R1683">
        <v>3</v>
      </c>
      <c r="S1683">
        <v>2</v>
      </c>
      <c r="T1683">
        <v>2</v>
      </c>
      <c r="U1683">
        <f>SUM(Table1[[#This Row],[Store_Purchases]]+Table1[[#This Row],[Catalog_Purchases]]+Table1[[#This Row],[Web_Purchases]]+Table1[[#This Row],[Deal_Purchases]])</f>
        <v>8</v>
      </c>
      <c r="V1683">
        <v>8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f>SUM(Table1[[#This Row],[Accepted_Campaign_2]]+Table1[[#This Row],[Accepted_Campaign_1]]+Table1[[#This Row],[Accepted_Campaign_5]]+Table1[[#This Row],[Accepted_Campaign_4]]+Table1[[#This Row],[Accepted_Campaign_3]])</f>
        <v>0</v>
      </c>
      <c r="AC1683">
        <v>0</v>
      </c>
      <c r="AD1683">
        <v>0</v>
      </c>
    </row>
    <row r="1684" spans="1:30" x14ac:dyDescent="0.25">
      <c r="A1684">
        <v>41382</v>
      </c>
      <c r="B1684">
        <v>3855</v>
      </c>
      <c r="C1684">
        <v>1963</v>
      </c>
      <c r="D1684" t="s">
        <v>10</v>
      </c>
      <c r="E1684" t="s">
        <v>6</v>
      </c>
      <c r="F1684" t="s">
        <v>11</v>
      </c>
      <c r="G1684">
        <v>22419</v>
      </c>
      <c r="H1684">
        <v>0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f>SUM(Table1[[#This Row],[Gold Spending]]+Table1[[#This Row],[Sweet Spending]]+Table1[[#This Row],[Fish Spending]]+Table1[[#This Row],[Meat Spending]]+Table1[[#This Row],[Fruits Spending]]+Table1[[#This Row],[Wine Spending ]])</f>
        <v>162</v>
      </c>
      <c r="Q1684">
        <v>1</v>
      </c>
      <c r="R1684">
        <v>3</v>
      </c>
      <c r="S1684">
        <v>2</v>
      </c>
      <c r="T1684">
        <v>2</v>
      </c>
      <c r="U1684">
        <f>SUM(Table1[[#This Row],[Store_Purchases]]+Table1[[#This Row],[Catalog_Purchases]]+Table1[[#This Row],[Web_Purchases]]+Table1[[#This Row],[Deal_Purchases]])</f>
        <v>8</v>
      </c>
      <c r="V1684">
        <v>8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f>SUM(Table1[[#This Row],[Accepted_Campaign_2]]+Table1[[#This Row],[Accepted_Campaign_1]]+Table1[[#This Row],[Accepted_Campaign_5]]+Table1[[#This Row],[Accepted_Campaign_4]]+Table1[[#This Row],[Accepted_Campaign_3]])</f>
        <v>0</v>
      </c>
      <c r="AC1684">
        <v>0</v>
      </c>
      <c r="AD1684">
        <v>0</v>
      </c>
    </row>
    <row r="1685" spans="1:30" x14ac:dyDescent="0.25">
      <c r="A1685">
        <v>41324</v>
      </c>
      <c r="B1685">
        <v>367</v>
      </c>
      <c r="C1685">
        <v>1978</v>
      </c>
      <c r="D1685" t="s">
        <v>10</v>
      </c>
      <c r="E1685" t="s">
        <v>15</v>
      </c>
      <c r="F1685" t="s">
        <v>11</v>
      </c>
      <c r="G1685">
        <v>36550</v>
      </c>
      <c r="H1685">
        <v>1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f>SUM(Table1[[#This Row],[Gold Spending]]+Table1[[#This Row],[Sweet Spending]]+Table1[[#This Row],[Fish Spending]]+Table1[[#This Row],[Meat Spending]]+Table1[[#This Row],[Fruits Spending]]+Table1[[#This Row],[Wine Spending ]])</f>
        <v>577</v>
      </c>
      <c r="Q1685">
        <v>5</v>
      </c>
      <c r="R1685">
        <v>9</v>
      </c>
      <c r="S1685">
        <v>1</v>
      </c>
      <c r="T1685">
        <v>5</v>
      </c>
      <c r="U1685">
        <f>SUM(Table1[[#This Row],[Store_Purchases]]+Table1[[#This Row],[Catalog_Purchases]]+Table1[[#This Row],[Web_Purchases]]+Table1[[#This Row],[Deal_Purchases]])</f>
        <v>20</v>
      </c>
      <c r="V1685">
        <v>9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f>SUM(Table1[[#This Row],[Accepted_Campaign_2]]+Table1[[#This Row],[Accepted_Campaign_1]]+Table1[[#This Row],[Accepted_Campaign_5]]+Table1[[#This Row],[Accepted_Campaign_4]]+Table1[[#This Row],[Accepted_Campaign_3]])</f>
        <v>0</v>
      </c>
      <c r="AC1685">
        <v>0</v>
      </c>
      <c r="AD1685">
        <v>0</v>
      </c>
    </row>
    <row r="1686" spans="1:30" x14ac:dyDescent="0.25">
      <c r="A1686">
        <v>41283</v>
      </c>
      <c r="B1686">
        <v>9265</v>
      </c>
      <c r="C1686">
        <v>1953</v>
      </c>
      <c r="D1686" t="s">
        <v>20</v>
      </c>
      <c r="E1686" t="s">
        <v>6</v>
      </c>
      <c r="F1686" t="s">
        <v>11</v>
      </c>
      <c r="G1686">
        <v>75027</v>
      </c>
      <c r="H1686">
        <v>1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f>SUM(Table1[[#This Row],[Gold Spending]]+Table1[[#This Row],[Sweet Spending]]+Table1[[#This Row],[Fish Spending]]+Table1[[#This Row],[Meat Spending]]+Table1[[#This Row],[Fruits Spending]]+Table1[[#This Row],[Wine Spending ]])</f>
        <v>1390</v>
      </c>
      <c r="Q1686">
        <v>2</v>
      </c>
      <c r="R1686">
        <v>9</v>
      </c>
      <c r="S1686">
        <v>4</v>
      </c>
      <c r="T1686">
        <v>6</v>
      </c>
      <c r="U1686">
        <f>SUM(Table1[[#This Row],[Store_Purchases]]+Table1[[#This Row],[Catalog_Purchases]]+Table1[[#This Row],[Web_Purchases]]+Table1[[#This Row],[Deal_Purchases]])</f>
        <v>21</v>
      </c>
      <c r="V1686">
        <v>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f>SUM(Table1[[#This Row],[Accepted_Campaign_2]]+Table1[[#This Row],[Accepted_Campaign_1]]+Table1[[#This Row],[Accepted_Campaign_5]]+Table1[[#This Row],[Accepted_Campaign_4]]+Table1[[#This Row],[Accepted_Campaign_3]])</f>
        <v>0</v>
      </c>
      <c r="AC1686">
        <v>0</v>
      </c>
      <c r="AD1686">
        <v>0</v>
      </c>
    </row>
    <row r="1687" spans="1:30" x14ac:dyDescent="0.25">
      <c r="A1687">
        <v>41218</v>
      </c>
      <c r="B1687">
        <v>1990</v>
      </c>
      <c r="C1687">
        <v>1974</v>
      </c>
      <c r="D1687" t="s">
        <v>8</v>
      </c>
      <c r="E1687" t="s">
        <v>14</v>
      </c>
      <c r="F1687" t="s">
        <v>9</v>
      </c>
      <c r="G1687">
        <v>63159</v>
      </c>
      <c r="H1687">
        <v>0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f>SUM(Table1[[#This Row],[Gold Spending]]+Table1[[#This Row],[Sweet Spending]]+Table1[[#This Row],[Fish Spending]]+Table1[[#This Row],[Meat Spending]]+Table1[[#This Row],[Fruits Spending]]+Table1[[#This Row],[Wine Spending ]])</f>
        <v>1797</v>
      </c>
      <c r="Q1687">
        <v>1</v>
      </c>
      <c r="R1687">
        <v>3</v>
      </c>
      <c r="S1687">
        <v>5</v>
      </c>
      <c r="T1687">
        <v>8</v>
      </c>
      <c r="U1687">
        <f>SUM(Table1[[#This Row],[Store_Purchases]]+Table1[[#This Row],[Catalog_Purchases]]+Table1[[#This Row],[Web_Purchases]]+Table1[[#This Row],[Deal_Purchases]])</f>
        <v>17</v>
      </c>
      <c r="V1687">
        <v>3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f>SUM(Table1[[#This Row],[Accepted_Campaign_2]]+Table1[[#This Row],[Accepted_Campaign_1]]+Table1[[#This Row],[Accepted_Campaign_5]]+Table1[[#This Row],[Accepted_Campaign_4]]+Table1[[#This Row],[Accepted_Campaign_3]])</f>
        <v>1</v>
      </c>
      <c r="AC1687">
        <v>0</v>
      </c>
      <c r="AD1687">
        <v>0</v>
      </c>
    </row>
    <row r="1688" spans="1:30" x14ac:dyDescent="0.25">
      <c r="A1688">
        <v>41218</v>
      </c>
      <c r="B1688">
        <v>3594</v>
      </c>
      <c r="C1688">
        <v>1973</v>
      </c>
      <c r="D1688" t="s">
        <v>10</v>
      </c>
      <c r="E1688" t="s">
        <v>18</v>
      </c>
      <c r="F1688" t="s">
        <v>11</v>
      </c>
      <c r="G1688">
        <v>54108</v>
      </c>
      <c r="H1688">
        <v>2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f>SUM(Table1[[#This Row],[Gold Spending]]+Table1[[#This Row],[Sweet Spending]]+Table1[[#This Row],[Fish Spending]]+Table1[[#This Row],[Meat Spending]]+Table1[[#This Row],[Fruits Spending]]+Table1[[#This Row],[Wine Spending ]])</f>
        <v>747</v>
      </c>
      <c r="Q1688">
        <v>13</v>
      </c>
      <c r="R1688">
        <v>8</v>
      </c>
      <c r="S1688">
        <v>2</v>
      </c>
      <c r="T1688">
        <v>9</v>
      </c>
      <c r="U1688">
        <f>SUM(Table1[[#This Row],[Store_Purchases]]+Table1[[#This Row],[Catalog_Purchases]]+Table1[[#This Row],[Web_Purchases]]+Table1[[#This Row],[Deal_Purchases]])</f>
        <v>32</v>
      </c>
      <c r="V1688">
        <v>8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f>SUM(Table1[[#This Row],[Accepted_Campaign_2]]+Table1[[#This Row],[Accepted_Campaign_1]]+Table1[[#This Row],[Accepted_Campaign_5]]+Table1[[#This Row],[Accepted_Campaign_4]]+Table1[[#This Row],[Accepted_Campaign_3]])</f>
        <v>0</v>
      </c>
      <c r="AC1688">
        <v>0</v>
      </c>
      <c r="AD1688">
        <v>0</v>
      </c>
    </row>
    <row r="1689" spans="1:30" x14ac:dyDescent="0.25">
      <c r="A1689">
        <v>41208</v>
      </c>
      <c r="B1689">
        <v>9292</v>
      </c>
      <c r="C1689">
        <v>1952</v>
      </c>
      <c r="D1689" t="s">
        <v>8</v>
      </c>
      <c r="E1689" t="s">
        <v>6</v>
      </c>
      <c r="F1689" t="s">
        <v>11</v>
      </c>
      <c r="G1689">
        <v>81795</v>
      </c>
      <c r="H1689">
        <v>0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f>SUM(Table1[[#This Row],[Gold Spending]]+Table1[[#This Row],[Sweet Spending]]+Table1[[#This Row],[Fish Spending]]+Table1[[#This Row],[Meat Spending]]+Table1[[#This Row],[Fruits Spending]]+Table1[[#This Row],[Wine Spending ]])</f>
        <v>1382</v>
      </c>
      <c r="Q1689">
        <v>1</v>
      </c>
      <c r="R1689">
        <v>4</v>
      </c>
      <c r="S1689">
        <v>11</v>
      </c>
      <c r="T1689">
        <v>7</v>
      </c>
      <c r="U1689">
        <f>SUM(Table1[[#This Row],[Store_Purchases]]+Table1[[#This Row],[Catalog_Purchases]]+Table1[[#This Row],[Web_Purchases]]+Table1[[#This Row],[Deal_Purchases]])</f>
        <v>23</v>
      </c>
      <c r="V1689">
        <v>2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f>SUM(Table1[[#This Row],[Accepted_Campaign_2]]+Table1[[#This Row],[Accepted_Campaign_1]]+Table1[[#This Row],[Accepted_Campaign_5]]+Table1[[#This Row],[Accepted_Campaign_4]]+Table1[[#This Row],[Accepted_Campaign_3]])</f>
        <v>0</v>
      </c>
      <c r="AC1689">
        <v>0</v>
      </c>
      <c r="AD1689">
        <v>0</v>
      </c>
    </row>
    <row r="1690" spans="1:30" x14ac:dyDescent="0.25">
      <c r="A1690">
        <v>41202</v>
      </c>
      <c r="B1690">
        <v>6218</v>
      </c>
      <c r="C1690">
        <v>1965</v>
      </c>
      <c r="D1690" t="s">
        <v>8</v>
      </c>
      <c r="E1690" t="s">
        <v>6</v>
      </c>
      <c r="F1690" t="s">
        <v>11</v>
      </c>
      <c r="G1690">
        <v>59594</v>
      </c>
      <c r="H1690">
        <v>1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f>SUM(Table1[[#This Row],[Gold Spending]]+Table1[[#This Row],[Sweet Spending]]+Table1[[#This Row],[Fish Spending]]+Table1[[#This Row],[Meat Spending]]+Table1[[#This Row],[Fruits Spending]]+Table1[[#This Row],[Wine Spending ]])</f>
        <v>499</v>
      </c>
      <c r="Q1690">
        <v>1</v>
      </c>
      <c r="R1690">
        <v>8</v>
      </c>
      <c r="S1690">
        <v>1</v>
      </c>
      <c r="T1690">
        <v>7</v>
      </c>
      <c r="U1690">
        <f>SUM(Table1[[#This Row],[Store_Purchases]]+Table1[[#This Row],[Catalog_Purchases]]+Table1[[#This Row],[Web_Purchases]]+Table1[[#This Row],[Deal_Purchases]])</f>
        <v>17</v>
      </c>
      <c r="V1690">
        <v>7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f>SUM(Table1[[#This Row],[Accepted_Campaign_2]]+Table1[[#This Row],[Accepted_Campaign_1]]+Table1[[#This Row],[Accepted_Campaign_5]]+Table1[[#This Row],[Accepted_Campaign_4]]+Table1[[#This Row],[Accepted_Campaign_3]])</f>
        <v>1</v>
      </c>
      <c r="AC1690">
        <v>0</v>
      </c>
      <c r="AD1690">
        <v>0</v>
      </c>
    </row>
    <row r="1691" spans="1:30" x14ac:dyDescent="0.25">
      <c r="A1691">
        <v>41795</v>
      </c>
      <c r="B1691">
        <v>6528</v>
      </c>
      <c r="C1691">
        <v>1982</v>
      </c>
      <c r="D1691" t="s">
        <v>8</v>
      </c>
      <c r="E1691" t="s">
        <v>18</v>
      </c>
      <c r="F1691" t="s">
        <v>12</v>
      </c>
      <c r="G1691">
        <v>18492</v>
      </c>
      <c r="H1691">
        <v>1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f>SUM(Table1[[#This Row],[Gold Spending]]+Table1[[#This Row],[Sweet Spending]]+Table1[[#This Row],[Fish Spending]]+Table1[[#This Row],[Meat Spending]]+Table1[[#This Row],[Fruits Spending]]+Table1[[#This Row],[Wine Spending ]])</f>
        <v>10</v>
      </c>
      <c r="Q1691">
        <v>1</v>
      </c>
      <c r="R1691">
        <v>1</v>
      </c>
      <c r="S1691">
        <v>0</v>
      </c>
      <c r="T1691">
        <v>2</v>
      </c>
      <c r="U1691">
        <f>SUM(Table1[[#This Row],[Store_Purchases]]+Table1[[#This Row],[Catalog_Purchases]]+Table1[[#This Row],[Web_Purchases]]+Table1[[#This Row],[Deal_Purchases]])</f>
        <v>4</v>
      </c>
      <c r="V1691">
        <v>8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f>SUM(Table1[[#This Row],[Accepted_Campaign_2]]+Table1[[#This Row],[Accepted_Campaign_1]]+Table1[[#This Row],[Accepted_Campaign_5]]+Table1[[#This Row],[Accepted_Campaign_4]]+Table1[[#This Row],[Accepted_Campaign_3]])</f>
        <v>0</v>
      </c>
      <c r="AC1691">
        <v>0</v>
      </c>
      <c r="AD1691">
        <v>0</v>
      </c>
    </row>
    <row r="1692" spans="1:30" x14ac:dyDescent="0.25">
      <c r="A1692">
        <v>41732</v>
      </c>
      <c r="B1692">
        <v>10164</v>
      </c>
      <c r="C1692">
        <v>1958</v>
      </c>
      <c r="D1692" t="s">
        <v>8</v>
      </c>
      <c r="E1692" t="s">
        <v>6</v>
      </c>
      <c r="F1692" t="s">
        <v>9</v>
      </c>
      <c r="G1692">
        <v>94472</v>
      </c>
      <c r="H1692">
        <v>1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f>SUM(Table1[[#This Row],[Gold Spending]]+Table1[[#This Row],[Sweet Spending]]+Table1[[#This Row],[Fish Spending]]+Table1[[#This Row],[Meat Spending]]+Table1[[#This Row],[Fruits Spending]]+Table1[[#This Row],[Wine Spending ]])</f>
        <v>1691</v>
      </c>
      <c r="Q1692">
        <v>1</v>
      </c>
      <c r="R1692">
        <v>5</v>
      </c>
      <c r="S1692">
        <v>5</v>
      </c>
      <c r="T1692">
        <v>5</v>
      </c>
      <c r="U1692">
        <f>SUM(Table1[[#This Row],[Store_Purchases]]+Table1[[#This Row],[Catalog_Purchases]]+Table1[[#This Row],[Web_Purchases]]+Table1[[#This Row],[Deal_Purchases]])</f>
        <v>16</v>
      </c>
      <c r="V1692">
        <v>5</v>
      </c>
      <c r="W1692">
        <v>0</v>
      </c>
      <c r="X1692">
        <v>1</v>
      </c>
      <c r="Y1692">
        <v>1</v>
      </c>
      <c r="Z1692">
        <v>0</v>
      </c>
      <c r="AA1692">
        <v>0</v>
      </c>
      <c r="AB1692">
        <f>SUM(Table1[[#This Row],[Accepted_Campaign_2]]+Table1[[#This Row],[Accepted_Campaign_1]]+Table1[[#This Row],[Accepted_Campaign_5]]+Table1[[#This Row],[Accepted_Campaign_4]]+Table1[[#This Row],[Accepted_Campaign_3]])</f>
        <v>2</v>
      </c>
      <c r="AC1692">
        <v>0</v>
      </c>
      <c r="AD1692">
        <v>0</v>
      </c>
    </row>
    <row r="1693" spans="1:30" x14ac:dyDescent="0.25">
      <c r="A1693">
        <v>41641</v>
      </c>
      <c r="B1693">
        <v>9937</v>
      </c>
      <c r="C1693">
        <v>1979</v>
      </c>
      <c r="D1693" t="s">
        <v>63</v>
      </c>
      <c r="E1693" t="s">
        <v>6</v>
      </c>
      <c r="F1693" t="s">
        <v>9</v>
      </c>
      <c r="G1693">
        <v>70337</v>
      </c>
      <c r="H1693">
        <v>0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f>SUM(Table1[[#This Row],[Gold Spending]]+Table1[[#This Row],[Sweet Spending]]+Table1[[#This Row],[Fish Spending]]+Table1[[#This Row],[Meat Spending]]+Table1[[#This Row],[Fruits Spending]]+Table1[[#This Row],[Wine Spending ]])</f>
        <v>576</v>
      </c>
      <c r="Q1693">
        <v>1</v>
      </c>
      <c r="R1693">
        <v>2</v>
      </c>
      <c r="S1693">
        <v>2</v>
      </c>
      <c r="T1693">
        <v>12</v>
      </c>
      <c r="U1693">
        <f>SUM(Table1[[#This Row],[Store_Purchases]]+Table1[[#This Row],[Catalog_Purchases]]+Table1[[#This Row],[Web_Purchases]]+Table1[[#This Row],[Deal_Purchases]])</f>
        <v>17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f>SUM(Table1[[#This Row],[Accepted_Campaign_2]]+Table1[[#This Row],[Accepted_Campaign_1]]+Table1[[#This Row],[Accepted_Campaign_5]]+Table1[[#This Row],[Accepted_Campaign_4]]+Table1[[#This Row],[Accepted_Campaign_3]])</f>
        <v>0</v>
      </c>
      <c r="AC1693">
        <v>0</v>
      </c>
      <c r="AD1693">
        <v>0</v>
      </c>
    </row>
    <row r="1694" spans="1:30" x14ac:dyDescent="0.25">
      <c r="A1694">
        <v>41631</v>
      </c>
      <c r="B1694">
        <v>274</v>
      </c>
      <c r="C1694">
        <v>1973</v>
      </c>
      <c r="D1694" t="s">
        <v>16</v>
      </c>
      <c r="E1694" t="s">
        <v>6</v>
      </c>
      <c r="F1694" t="s">
        <v>9</v>
      </c>
      <c r="G1694">
        <v>34853</v>
      </c>
      <c r="H1694">
        <v>2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f>SUM(Table1[[#This Row],[Gold Spending]]+Table1[[#This Row],[Sweet Spending]]+Table1[[#This Row],[Fish Spending]]+Table1[[#This Row],[Meat Spending]]+Table1[[#This Row],[Fruits Spending]]+Table1[[#This Row],[Wine Spending ]])</f>
        <v>34</v>
      </c>
      <c r="Q1694">
        <v>2</v>
      </c>
      <c r="R1694">
        <v>2</v>
      </c>
      <c r="S1694">
        <v>0</v>
      </c>
      <c r="T1694">
        <v>3</v>
      </c>
      <c r="U1694">
        <f>SUM(Table1[[#This Row],[Store_Purchases]]+Table1[[#This Row],[Catalog_Purchases]]+Table1[[#This Row],[Web_Purchases]]+Table1[[#This Row],[Deal_Purchases]])</f>
        <v>7</v>
      </c>
      <c r="V1694">
        <v>6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f>SUM(Table1[[#This Row],[Accepted_Campaign_2]]+Table1[[#This Row],[Accepted_Campaign_1]]+Table1[[#This Row],[Accepted_Campaign_5]]+Table1[[#This Row],[Accepted_Campaign_4]]+Table1[[#This Row],[Accepted_Campaign_3]])</f>
        <v>0</v>
      </c>
      <c r="AC1694">
        <v>0</v>
      </c>
      <c r="AD1694">
        <v>0</v>
      </c>
    </row>
    <row r="1695" spans="1:30" x14ac:dyDescent="0.25">
      <c r="A1695">
        <v>41577</v>
      </c>
      <c r="B1695">
        <v>5250</v>
      </c>
      <c r="C1695">
        <v>1943</v>
      </c>
      <c r="D1695" t="s">
        <v>13</v>
      </c>
      <c r="E1695" t="s">
        <v>18</v>
      </c>
      <c r="F1695" t="s">
        <v>19</v>
      </c>
      <c r="G1695">
        <v>53790.45</v>
      </c>
      <c r="H1695">
        <v>0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f>SUM(Table1[[#This Row],[Gold Spending]]+Table1[[#This Row],[Sweet Spending]]+Table1[[#This Row],[Fish Spending]]+Table1[[#This Row],[Meat Spending]]+Table1[[#This Row],[Fruits Spending]]+Table1[[#This Row],[Wine Spending ]])</f>
        <v>1564</v>
      </c>
      <c r="Q1695">
        <v>1</v>
      </c>
      <c r="R1695">
        <v>5</v>
      </c>
      <c r="S1695">
        <v>5</v>
      </c>
      <c r="T1695">
        <v>11</v>
      </c>
      <c r="U1695">
        <f>SUM(Table1[[#This Row],[Store_Purchases]]+Table1[[#This Row],[Catalog_Purchases]]+Table1[[#This Row],[Web_Purchases]]+Table1[[#This Row],[Deal_Purchases]])</f>
        <v>22</v>
      </c>
      <c r="V1695">
        <v>1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f>SUM(Table1[[#This Row],[Accepted_Campaign_2]]+Table1[[#This Row],[Accepted_Campaign_1]]+Table1[[#This Row],[Accepted_Campaign_5]]+Table1[[#This Row],[Accepted_Campaign_4]]+Table1[[#This Row],[Accepted_Campaign_3]])</f>
        <v>1</v>
      </c>
      <c r="AC1695">
        <v>1</v>
      </c>
      <c r="AD1695">
        <v>0</v>
      </c>
    </row>
    <row r="1696" spans="1:30" x14ac:dyDescent="0.25">
      <c r="A1696">
        <v>41516</v>
      </c>
      <c r="B1696">
        <v>11010</v>
      </c>
      <c r="C1696">
        <v>1984</v>
      </c>
      <c r="D1696" t="s">
        <v>8</v>
      </c>
      <c r="E1696" t="s">
        <v>14</v>
      </c>
      <c r="F1696" t="s">
        <v>9</v>
      </c>
      <c r="G1696">
        <v>16269</v>
      </c>
      <c r="H1696">
        <v>1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1696">
        <v>3</v>
      </c>
      <c r="R1696">
        <v>3</v>
      </c>
      <c r="S1696">
        <v>0</v>
      </c>
      <c r="T1696">
        <v>3</v>
      </c>
      <c r="U1696">
        <f>SUM(Table1[[#This Row],[Store_Purchases]]+Table1[[#This Row],[Catalog_Purchases]]+Table1[[#This Row],[Web_Purchases]]+Table1[[#This Row],[Deal_Purchases]])</f>
        <v>9</v>
      </c>
      <c r="V1696">
        <v>8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f>SUM(Table1[[#This Row],[Accepted_Campaign_2]]+Table1[[#This Row],[Accepted_Campaign_1]]+Table1[[#This Row],[Accepted_Campaign_5]]+Table1[[#This Row],[Accepted_Campaign_4]]+Table1[[#This Row],[Accepted_Campaign_3]])</f>
        <v>0</v>
      </c>
      <c r="AC1696">
        <v>0</v>
      </c>
      <c r="AD1696">
        <v>0</v>
      </c>
    </row>
    <row r="1697" spans="1:30" x14ac:dyDescent="0.25">
      <c r="A1697">
        <v>41493</v>
      </c>
      <c r="B1697">
        <v>6969</v>
      </c>
      <c r="C1697">
        <v>1982</v>
      </c>
      <c r="D1697" t="s">
        <v>13</v>
      </c>
      <c r="E1697" t="s">
        <v>6</v>
      </c>
      <c r="F1697" t="s">
        <v>12</v>
      </c>
      <c r="G1697">
        <v>50272</v>
      </c>
      <c r="H1697">
        <v>1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f>SUM(Table1[[#This Row],[Gold Spending]]+Table1[[#This Row],[Sweet Spending]]+Table1[[#This Row],[Fish Spending]]+Table1[[#This Row],[Meat Spending]]+Table1[[#This Row],[Fruits Spending]]+Table1[[#This Row],[Wine Spending ]])</f>
        <v>233</v>
      </c>
      <c r="Q1697">
        <v>3</v>
      </c>
      <c r="R1697">
        <v>4</v>
      </c>
      <c r="S1697">
        <v>1</v>
      </c>
      <c r="T1697">
        <v>5</v>
      </c>
      <c r="U1697">
        <f>SUM(Table1[[#This Row],[Store_Purchases]]+Table1[[#This Row],[Catalog_Purchases]]+Table1[[#This Row],[Web_Purchases]]+Table1[[#This Row],[Deal_Purchases]])</f>
        <v>13</v>
      </c>
      <c r="V1697">
        <v>7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f>SUM(Table1[[#This Row],[Accepted_Campaign_2]]+Table1[[#This Row],[Accepted_Campaign_1]]+Table1[[#This Row],[Accepted_Campaign_5]]+Table1[[#This Row],[Accepted_Campaign_4]]+Table1[[#This Row],[Accepted_Campaign_3]])</f>
        <v>0</v>
      </c>
      <c r="AC1697">
        <v>0</v>
      </c>
      <c r="AD1697">
        <v>0</v>
      </c>
    </row>
    <row r="1698" spans="1:30" x14ac:dyDescent="0.25">
      <c r="A1698">
        <v>41486</v>
      </c>
      <c r="B1698">
        <v>10735</v>
      </c>
      <c r="C1698">
        <v>1971</v>
      </c>
      <c r="D1698" t="s">
        <v>20</v>
      </c>
      <c r="E1698" t="s">
        <v>6</v>
      </c>
      <c r="F1698" t="s">
        <v>9</v>
      </c>
      <c r="G1698">
        <v>22804</v>
      </c>
      <c r="H1698">
        <v>1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f>SUM(Table1[[#This Row],[Gold Spending]]+Table1[[#This Row],[Sweet Spending]]+Table1[[#This Row],[Fish Spending]]+Table1[[#This Row],[Meat Spending]]+Table1[[#This Row],[Fruits Spending]]+Table1[[#This Row],[Wine Spending ]])</f>
        <v>26</v>
      </c>
      <c r="Q1698">
        <v>1</v>
      </c>
      <c r="R1698">
        <v>2</v>
      </c>
      <c r="S1698">
        <v>0</v>
      </c>
      <c r="T1698">
        <v>2</v>
      </c>
      <c r="U1698">
        <f>SUM(Table1[[#This Row],[Store_Purchases]]+Table1[[#This Row],[Catalog_Purchases]]+Table1[[#This Row],[Web_Purchases]]+Table1[[#This Row],[Deal_Purchases]])</f>
        <v>5</v>
      </c>
      <c r="V1698">
        <v>9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f>SUM(Table1[[#This Row],[Accepted_Campaign_2]]+Table1[[#This Row],[Accepted_Campaign_1]]+Table1[[#This Row],[Accepted_Campaign_5]]+Table1[[#This Row],[Accepted_Campaign_4]]+Table1[[#This Row],[Accepted_Campaign_3]])</f>
        <v>0</v>
      </c>
      <c r="AC1698">
        <v>0</v>
      </c>
      <c r="AD1698">
        <v>0</v>
      </c>
    </row>
    <row r="1699" spans="1:30" x14ac:dyDescent="0.25">
      <c r="A1699">
        <v>41486</v>
      </c>
      <c r="B1699">
        <v>5068</v>
      </c>
      <c r="C1699">
        <v>1971</v>
      </c>
      <c r="D1699" t="s">
        <v>8</v>
      </c>
      <c r="E1699" t="s">
        <v>6</v>
      </c>
      <c r="F1699" t="s">
        <v>9</v>
      </c>
      <c r="G1699">
        <v>22804</v>
      </c>
      <c r="H1699">
        <v>1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f>SUM(Table1[[#This Row],[Gold Spending]]+Table1[[#This Row],[Sweet Spending]]+Table1[[#This Row],[Fish Spending]]+Table1[[#This Row],[Meat Spending]]+Table1[[#This Row],[Fruits Spending]]+Table1[[#This Row],[Wine Spending ]])</f>
        <v>26</v>
      </c>
      <c r="Q1699">
        <v>1</v>
      </c>
      <c r="R1699">
        <v>2</v>
      </c>
      <c r="S1699">
        <v>0</v>
      </c>
      <c r="T1699">
        <v>2</v>
      </c>
      <c r="U1699">
        <f>SUM(Table1[[#This Row],[Store_Purchases]]+Table1[[#This Row],[Catalog_Purchases]]+Table1[[#This Row],[Web_Purchases]]+Table1[[#This Row],[Deal_Purchases]])</f>
        <v>5</v>
      </c>
      <c r="V1699">
        <v>9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f>SUM(Table1[[#This Row],[Accepted_Campaign_2]]+Table1[[#This Row],[Accepted_Campaign_1]]+Table1[[#This Row],[Accepted_Campaign_5]]+Table1[[#This Row],[Accepted_Campaign_4]]+Table1[[#This Row],[Accepted_Campaign_3]])</f>
        <v>0</v>
      </c>
      <c r="AC1699">
        <v>0</v>
      </c>
      <c r="AD1699">
        <v>0</v>
      </c>
    </row>
    <row r="1700" spans="1:30" x14ac:dyDescent="0.25">
      <c r="A1700">
        <v>41467</v>
      </c>
      <c r="B1700">
        <v>9974</v>
      </c>
      <c r="C1700">
        <v>1974</v>
      </c>
      <c r="D1700" t="s">
        <v>20</v>
      </c>
      <c r="E1700" t="s">
        <v>6</v>
      </c>
      <c r="F1700" t="s">
        <v>11</v>
      </c>
      <c r="G1700">
        <v>30631</v>
      </c>
      <c r="H1700">
        <v>1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f>SUM(Table1[[#This Row],[Gold Spending]]+Table1[[#This Row],[Sweet Spending]]+Table1[[#This Row],[Fish Spending]]+Table1[[#This Row],[Meat Spending]]+Table1[[#This Row],[Fruits Spending]]+Table1[[#This Row],[Wine Spending ]])</f>
        <v>70</v>
      </c>
      <c r="Q1700">
        <v>1</v>
      </c>
      <c r="R1700">
        <v>3</v>
      </c>
      <c r="S1700">
        <v>1</v>
      </c>
      <c r="T1700">
        <v>2</v>
      </c>
      <c r="U1700">
        <f>SUM(Table1[[#This Row],[Store_Purchases]]+Table1[[#This Row],[Catalog_Purchases]]+Table1[[#This Row],[Web_Purchases]]+Table1[[#This Row],[Deal_Purchases]])</f>
        <v>7</v>
      </c>
      <c r="V1700">
        <v>7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f>SUM(Table1[[#This Row],[Accepted_Campaign_2]]+Table1[[#This Row],[Accepted_Campaign_1]]+Table1[[#This Row],[Accepted_Campaign_5]]+Table1[[#This Row],[Accepted_Campaign_4]]+Table1[[#This Row],[Accepted_Campaign_3]])</f>
        <v>0</v>
      </c>
      <c r="AC1700">
        <v>0</v>
      </c>
      <c r="AD1700">
        <v>0</v>
      </c>
    </row>
    <row r="1701" spans="1:30" x14ac:dyDescent="0.25">
      <c r="A1701">
        <v>41454</v>
      </c>
      <c r="B1701">
        <v>7053</v>
      </c>
      <c r="C1701">
        <v>1966</v>
      </c>
      <c r="D1701" t="s">
        <v>20</v>
      </c>
      <c r="E1701" t="s">
        <v>14</v>
      </c>
      <c r="F1701" t="s">
        <v>9</v>
      </c>
      <c r="G1701">
        <v>78420</v>
      </c>
      <c r="H1701">
        <v>0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f>SUM(Table1[[#This Row],[Gold Spending]]+Table1[[#This Row],[Sweet Spending]]+Table1[[#This Row],[Fish Spending]]+Table1[[#This Row],[Meat Spending]]+Table1[[#This Row],[Fruits Spending]]+Table1[[#This Row],[Wine Spending ]])</f>
        <v>1453</v>
      </c>
      <c r="Q1701">
        <v>1</v>
      </c>
      <c r="R1701">
        <v>3</v>
      </c>
      <c r="S1701">
        <v>10</v>
      </c>
      <c r="T1701">
        <v>8</v>
      </c>
      <c r="U1701">
        <f>SUM(Table1[[#This Row],[Store_Purchases]]+Table1[[#This Row],[Catalog_Purchases]]+Table1[[#This Row],[Web_Purchases]]+Table1[[#This Row],[Deal_Purchases]])</f>
        <v>22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f>SUM(Table1[[#This Row],[Accepted_Campaign_2]]+Table1[[#This Row],[Accepted_Campaign_1]]+Table1[[#This Row],[Accepted_Campaign_5]]+Table1[[#This Row],[Accepted_Campaign_4]]+Table1[[#This Row],[Accepted_Campaign_3]])</f>
        <v>0</v>
      </c>
      <c r="AC1701">
        <v>0</v>
      </c>
      <c r="AD1701">
        <v>0</v>
      </c>
    </row>
    <row r="1702" spans="1:30" x14ac:dyDescent="0.25">
      <c r="A1702">
        <v>41441</v>
      </c>
      <c r="B1702">
        <v>3179</v>
      </c>
      <c r="C1702">
        <v>1980</v>
      </c>
      <c r="D1702" t="s">
        <v>8</v>
      </c>
      <c r="E1702" t="s">
        <v>6</v>
      </c>
      <c r="F1702" t="s">
        <v>9</v>
      </c>
      <c r="G1702">
        <v>81741</v>
      </c>
      <c r="H1702">
        <v>0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f>SUM(Table1[[#This Row],[Gold Spending]]+Table1[[#This Row],[Sweet Spending]]+Table1[[#This Row],[Fish Spending]]+Table1[[#This Row],[Meat Spending]]+Table1[[#This Row],[Fruits Spending]]+Table1[[#This Row],[Wine Spending ]])</f>
        <v>1572</v>
      </c>
      <c r="Q1702">
        <v>0</v>
      </c>
      <c r="R1702">
        <v>6</v>
      </c>
      <c r="S1702">
        <v>6</v>
      </c>
      <c r="T1702">
        <v>7</v>
      </c>
      <c r="U1702">
        <f>SUM(Table1[[#This Row],[Store_Purchases]]+Table1[[#This Row],[Catalog_Purchases]]+Table1[[#This Row],[Web_Purchases]]+Table1[[#This Row],[Deal_Purchases]])</f>
        <v>19</v>
      </c>
      <c r="V1702">
        <v>2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f>SUM(Table1[[#This Row],[Accepted_Campaign_2]]+Table1[[#This Row],[Accepted_Campaign_1]]+Table1[[#This Row],[Accepted_Campaign_5]]+Table1[[#This Row],[Accepted_Campaign_4]]+Table1[[#This Row],[Accepted_Campaign_3]])</f>
        <v>0</v>
      </c>
      <c r="AC1702">
        <v>0</v>
      </c>
      <c r="AD1702">
        <v>0</v>
      </c>
    </row>
    <row r="1703" spans="1:30" x14ac:dyDescent="0.25">
      <c r="A1703">
        <v>41415</v>
      </c>
      <c r="B1703">
        <v>8082</v>
      </c>
      <c r="C1703">
        <v>1971</v>
      </c>
      <c r="D1703" t="s">
        <v>13</v>
      </c>
      <c r="E1703" t="s">
        <v>6</v>
      </c>
      <c r="F1703" t="s">
        <v>11</v>
      </c>
      <c r="G1703">
        <v>25721</v>
      </c>
      <c r="H1703">
        <v>1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f>SUM(Table1[[#This Row],[Gold Spending]]+Table1[[#This Row],[Sweet Spending]]+Table1[[#This Row],[Fish Spending]]+Table1[[#This Row],[Meat Spending]]+Table1[[#This Row],[Fruits Spending]]+Table1[[#This Row],[Wine Spending ]])</f>
        <v>34</v>
      </c>
      <c r="Q1703">
        <v>1</v>
      </c>
      <c r="R1703">
        <v>1</v>
      </c>
      <c r="S1703">
        <v>1</v>
      </c>
      <c r="T1703">
        <v>2</v>
      </c>
      <c r="U1703">
        <f>SUM(Table1[[#This Row],[Store_Purchases]]+Table1[[#This Row],[Catalog_Purchases]]+Table1[[#This Row],[Web_Purchases]]+Table1[[#This Row],[Deal_Purchases]])</f>
        <v>5</v>
      </c>
      <c r="V1703">
        <v>7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f>SUM(Table1[[#This Row],[Accepted_Campaign_2]]+Table1[[#This Row],[Accepted_Campaign_1]]+Table1[[#This Row],[Accepted_Campaign_5]]+Table1[[#This Row],[Accepted_Campaign_4]]+Table1[[#This Row],[Accepted_Campaign_3]])</f>
        <v>0</v>
      </c>
      <c r="AC1703">
        <v>1</v>
      </c>
      <c r="AD1703">
        <v>0</v>
      </c>
    </row>
    <row r="1704" spans="1:30" x14ac:dyDescent="0.25">
      <c r="A1704">
        <v>41337</v>
      </c>
      <c r="B1704">
        <v>1362</v>
      </c>
      <c r="C1704">
        <v>1972</v>
      </c>
      <c r="D1704" t="s">
        <v>16</v>
      </c>
      <c r="E1704" t="s">
        <v>6</v>
      </c>
      <c r="F1704" t="s">
        <v>9</v>
      </c>
      <c r="G1704">
        <v>31907</v>
      </c>
      <c r="H1704">
        <v>0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f>SUM(Table1[[#This Row],[Gold Spending]]+Table1[[#This Row],[Sweet Spending]]+Table1[[#This Row],[Fish Spending]]+Table1[[#This Row],[Meat Spending]]+Table1[[#This Row],[Fruits Spending]]+Table1[[#This Row],[Wine Spending ]])</f>
        <v>449</v>
      </c>
      <c r="Q1704">
        <v>1</v>
      </c>
      <c r="R1704">
        <v>6</v>
      </c>
      <c r="S1704">
        <v>1</v>
      </c>
      <c r="T1704">
        <v>6</v>
      </c>
      <c r="U1704">
        <f>SUM(Table1[[#This Row],[Store_Purchases]]+Table1[[#This Row],[Catalog_Purchases]]+Table1[[#This Row],[Web_Purchases]]+Table1[[#This Row],[Deal_Purchases]])</f>
        <v>14</v>
      </c>
      <c r="V1704">
        <v>7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f>SUM(Table1[[#This Row],[Accepted_Campaign_2]]+Table1[[#This Row],[Accepted_Campaign_1]]+Table1[[#This Row],[Accepted_Campaign_5]]+Table1[[#This Row],[Accepted_Campaign_4]]+Table1[[#This Row],[Accepted_Campaign_3]])</f>
        <v>0</v>
      </c>
      <c r="AC1704">
        <v>0</v>
      </c>
      <c r="AD1704">
        <v>0</v>
      </c>
    </row>
    <row r="1705" spans="1:30" x14ac:dyDescent="0.25">
      <c r="A1705">
        <v>41286</v>
      </c>
      <c r="B1705">
        <v>6768</v>
      </c>
      <c r="C1705">
        <v>1962</v>
      </c>
      <c r="D1705" t="s">
        <v>10</v>
      </c>
      <c r="E1705" t="s">
        <v>6</v>
      </c>
      <c r="F1705" t="s">
        <v>7</v>
      </c>
      <c r="G1705">
        <v>37859</v>
      </c>
      <c r="H1705">
        <v>3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f>SUM(Table1[[#This Row],[Gold Spending]]+Table1[[#This Row],[Sweet Spending]]+Table1[[#This Row],[Fish Spending]]+Table1[[#This Row],[Meat Spending]]+Table1[[#This Row],[Fruits Spending]]+Table1[[#This Row],[Wine Spending ]])</f>
        <v>36</v>
      </c>
      <c r="Q1705">
        <v>2</v>
      </c>
      <c r="R1705">
        <v>1</v>
      </c>
      <c r="S1705">
        <v>0</v>
      </c>
      <c r="T1705">
        <v>3</v>
      </c>
      <c r="U1705">
        <f>SUM(Table1[[#This Row],[Store_Purchases]]+Table1[[#This Row],[Catalog_Purchases]]+Table1[[#This Row],[Web_Purchases]]+Table1[[#This Row],[Deal_Purchases]])</f>
        <v>6</v>
      </c>
      <c r="V1705">
        <v>8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f>SUM(Table1[[#This Row],[Accepted_Campaign_2]]+Table1[[#This Row],[Accepted_Campaign_1]]+Table1[[#This Row],[Accepted_Campaign_5]]+Table1[[#This Row],[Accepted_Campaign_4]]+Table1[[#This Row],[Accepted_Campaign_3]])</f>
        <v>0</v>
      </c>
      <c r="AC1705">
        <v>0</v>
      </c>
      <c r="AD1705">
        <v>0</v>
      </c>
    </row>
    <row r="1706" spans="1:30" x14ac:dyDescent="0.25">
      <c r="A1706">
        <v>41177</v>
      </c>
      <c r="B1706">
        <v>2375</v>
      </c>
      <c r="C1706">
        <v>1972</v>
      </c>
      <c r="D1706" t="s">
        <v>8</v>
      </c>
      <c r="E1706" t="s">
        <v>6</v>
      </c>
      <c r="F1706" t="s">
        <v>12</v>
      </c>
      <c r="G1706">
        <v>30261</v>
      </c>
      <c r="H1706">
        <v>3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1706">
        <v>1</v>
      </c>
      <c r="R1706">
        <v>0</v>
      </c>
      <c r="S1706">
        <v>0</v>
      </c>
      <c r="T1706">
        <v>3</v>
      </c>
      <c r="U1706">
        <f>SUM(Table1[[#This Row],[Store_Purchases]]+Table1[[#This Row],[Catalog_Purchases]]+Table1[[#This Row],[Web_Purchases]]+Table1[[#This Row],[Deal_Purchases]])</f>
        <v>4</v>
      </c>
      <c r="V1706">
        <v>8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f>SUM(Table1[[#This Row],[Accepted_Campaign_2]]+Table1[[#This Row],[Accepted_Campaign_1]]+Table1[[#This Row],[Accepted_Campaign_5]]+Table1[[#This Row],[Accepted_Campaign_4]]+Table1[[#This Row],[Accepted_Campaign_3]])</f>
        <v>0</v>
      </c>
      <c r="AC1706">
        <v>0</v>
      </c>
      <c r="AD1706">
        <v>0</v>
      </c>
    </row>
    <row r="1707" spans="1:30" x14ac:dyDescent="0.25">
      <c r="A1707">
        <v>41155</v>
      </c>
      <c r="B1707">
        <v>6856</v>
      </c>
      <c r="C1707">
        <v>1979</v>
      </c>
      <c r="D1707" t="s">
        <v>16</v>
      </c>
      <c r="E1707" t="s">
        <v>6</v>
      </c>
      <c r="F1707" t="s">
        <v>12</v>
      </c>
      <c r="G1707">
        <v>21645</v>
      </c>
      <c r="H1707">
        <v>1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f>SUM(Table1[[#This Row],[Gold Spending]]+Table1[[#This Row],[Sweet Spending]]+Table1[[#This Row],[Fish Spending]]+Table1[[#This Row],[Meat Spending]]+Table1[[#This Row],[Fruits Spending]]+Table1[[#This Row],[Wine Spending ]])</f>
        <v>65</v>
      </c>
      <c r="Q1707">
        <v>3</v>
      </c>
      <c r="R1707">
        <v>3</v>
      </c>
      <c r="S1707">
        <v>0</v>
      </c>
      <c r="T1707">
        <v>3</v>
      </c>
      <c r="U1707">
        <f>SUM(Table1[[#This Row],[Store_Purchases]]+Table1[[#This Row],[Catalog_Purchases]]+Table1[[#This Row],[Web_Purchases]]+Table1[[#This Row],[Deal_Purchases]])</f>
        <v>9</v>
      </c>
      <c r="V1707">
        <v>9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f>SUM(Table1[[#This Row],[Accepted_Campaign_2]]+Table1[[#This Row],[Accepted_Campaign_1]]+Table1[[#This Row],[Accepted_Campaign_5]]+Table1[[#This Row],[Accepted_Campaign_4]]+Table1[[#This Row],[Accepted_Campaign_3]])</f>
        <v>0</v>
      </c>
      <c r="AC1707">
        <v>1</v>
      </c>
      <c r="AD1707">
        <v>0</v>
      </c>
    </row>
    <row r="1708" spans="1:30" x14ac:dyDescent="0.25">
      <c r="A1708">
        <v>41770</v>
      </c>
      <c r="B1708">
        <v>4066</v>
      </c>
      <c r="C1708">
        <v>1978</v>
      </c>
      <c r="D1708" t="s">
        <v>8</v>
      </c>
      <c r="E1708" t="s">
        <v>15</v>
      </c>
      <c r="F1708" t="s">
        <v>7</v>
      </c>
      <c r="G1708">
        <v>21282</v>
      </c>
      <c r="H1708">
        <v>1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1708">
        <v>2</v>
      </c>
      <c r="R1708">
        <v>2</v>
      </c>
      <c r="S1708">
        <v>1</v>
      </c>
      <c r="T1708">
        <v>2</v>
      </c>
      <c r="U1708">
        <f>SUM(Table1[[#This Row],[Store_Purchases]]+Table1[[#This Row],[Catalog_Purchases]]+Table1[[#This Row],[Web_Purchases]]+Table1[[#This Row],[Deal_Purchases]])</f>
        <v>7</v>
      </c>
      <c r="V1708">
        <v>6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f>SUM(Table1[[#This Row],[Accepted_Campaign_2]]+Table1[[#This Row],[Accepted_Campaign_1]]+Table1[[#This Row],[Accepted_Campaign_5]]+Table1[[#This Row],[Accepted_Campaign_4]]+Table1[[#This Row],[Accepted_Campaign_3]])</f>
        <v>0</v>
      </c>
      <c r="AC1708">
        <v>0</v>
      </c>
      <c r="AD1708">
        <v>0</v>
      </c>
    </row>
    <row r="1709" spans="1:30" x14ac:dyDescent="0.25">
      <c r="A1709">
        <v>41721</v>
      </c>
      <c r="B1709">
        <v>4333</v>
      </c>
      <c r="C1709">
        <v>1954</v>
      </c>
      <c r="D1709" t="s">
        <v>17</v>
      </c>
      <c r="E1709" t="s">
        <v>6</v>
      </c>
      <c r="F1709" t="s">
        <v>12</v>
      </c>
      <c r="G1709">
        <v>32144</v>
      </c>
      <c r="H1709">
        <v>2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f>SUM(Table1[[#This Row],[Gold Spending]]+Table1[[#This Row],[Sweet Spending]]+Table1[[#This Row],[Fish Spending]]+Table1[[#This Row],[Meat Spending]]+Table1[[#This Row],[Fruits Spending]]+Table1[[#This Row],[Wine Spending ]])</f>
        <v>54</v>
      </c>
      <c r="Q1709">
        <v>4</v>
      </c>
      <c r="R1709">
        <v>2</v>
      </c>
      <c r="S1709">
        <v>1</v>
      </c>
      <c r="T1709">
        <v>3</v>
      </c>
      <c r="U1709">
        <f>SUM(Table1[[#This Row],[Store_Purchases]]+Table1[[#This Row],[Catalog_Purchases]]+Table1[[#This Row],[Web_Purchases]]+Table1[[#This Row],[Deal_Purchases]])</f>
        <v>10</v>
      </c>
      <c r="V1709">
        <v>7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f>SUM(Table1[[#This Row],[Accepted_Campaign_2]]+Table1[[#This Row],[Accepted_Campaign_1]]+Table1[[#This Row],[Accepted_Campaign_5]]+Table1[[#This Row],[Accepted_Campaign_4]]+Table1[[#This Row],[Accepted_Campaign_3]])</f>
        <v>1</v>
      </c>
      <c r="AC1709">
        <v>0</v>
      </c>
      <c r="AD1709">
        <v>0</v>
      </c>
    </row>
    <row r="1710" spans="1:30" x14ac:dyDescent="0.25">
      <c r="A1710">
        <v>41699</v>
      </c>
      <c r="B1710">
        <v>2948</v>
      </c>
      <c r="C1710">
        <v>1954</v>
      </c>
      <c r="D1710" t="s">
        <v>10</v>
      </c>
      <c r="E1710" t="s">
        <v>18</v>
      </c>
      <c r="F1710" t="s">
        <v>7</v>
      </c>
      <c r="G1710">
        <v>62637</v>
      </c>
      <c r="H1710">
        <v>1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f>SUM(Table1[[#This Row],[Gold Spending]]+Table1[[#This Row],[Sweet Spending]]+Table1[[#This Row],[Fish Spending]]+Table1[[#This Row],[Meat Spending]]+Table1[[#This Row],[Fruits Spending]]+Table1[[#This Row],[Wine Spending ]])</f>
        <v>185</v>
      </c>
      <c r="Q1710">
        <v>1</v>
      </c>
      <c r="R1710">
        <v>2</v>
      </c>
      <c r="S1710">
        <v>2</v>
      </c>
      <c r="T1710">
        <v>5</v>
      </c>
      <c r="U1710">
        <f>SUM(Table1[[#This Row],[Store_Purchases]]+Table1[[#This Row],[Catalog_Purchases]]+Table1[[#This Row],[Web_Purchases]]+Table1[[#This Row],[Deal_Purchases]])</f>
        <v>10</v>
      </c>
      <c r="V1710">
        <v>2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f>SUM(Table1[[#This Row],[Accepted_Campaign_2]]+Table1[[#This Row],[Accepted_Campaign_1]]+Table1[[#This Row],[Accepted_Campaign_5]]+Table1[[#This Row],[Accepted_Campaign_4]]+Table1[[#This Row],[Accepted_Campaign_3]])</f>
        <v>0</v>
      </c>
      <c r="AC1710">
        <v>0</v>
      </c>
      <c r="AD1710">
        <v>0</v>
      </c>
    </row>
    <row r="1711" spans="1:30" x14ac:dyDescent="0.25">
      <c r="A1711">
        <v>41654</v>
      </c>
      <c r="B1711">
        <v>4927</v>
      </c>
      <c r="C1711">
        <v>1971</v>
      </c>
      <c r="D1711" t="s">
        <v>20</v>
      </c>
      <c r="E1711" t="s">
        <v>6</v>
      </c>
      <c r="F1711" t="s">
        <v>12</v>
      </c>
      <c r="G1711">
        <v>16626</v>
      </c>
      <c r="H1711">
        <v>2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f>SUM(Table1[[#This Row],[Gold Spending]]+Table1[[#This Row],[Sweet Spending]]+Table1[[#This Row],[Fish Spending]]+Table1[[#This Row],[Meat Spending]]+Table1[[#This Row],[Fruits Spending]]+Table1[[#This Row],[Wine Spending ]])</f>
        <v>68</v>
      </c>
      <c r="Q1711">
        <v>3</v>
      </c>
      <c r="R1711">
        <v>3</v>
      </c>
      <c r="S1711">
        <v>0</v>
      </c>
      <c r="T1711">
        <v>3</v>
      </c>
      <c r="U1711">
        <f>SUM(Table1[[#This Row],[Store_Purchases]]+Table1[[#This Row],[Catalog_Purchases]]+Table1[[#This Row],[Web_Purchases]]+Table1[[#This Row],[Deal_Purchases]])</f>
        <v>9</v>
      </c>
      <c r="V1711">
        <v>9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f>SUM(Table1[[#This Row],[Accepted_Campaign_2]]+Table1[[#This Row],[Accepted_Campaign_1]]+Table1[[#This Row],[Accepted_Campaign_5]]+Table1[[#This Row],[Accepted_Campaign_4]]+Table1[[#This Row],[Accepted_Campaign_3]])</f>
        <v>0</v>
      </c>
      <c r="AC1711">
        <v>0</v>
      </c>
      <c r="AD1711">
        <v>0</v>
      </c>
    </row>
    <row r="1712" spans="1:30" x14ac:dyDescent="0.25">
      <c r="A1712">
        <v>41585</v>
      </c>
      <c r="B1712">
        <v>7426</v>
      </c>
      <c r="C1712">
        <v>1971</v>
      </c>
      <c r="D1712" t="s">
        <v>8</v>
      </c>
      <c r="E1712" t="s">
        <v>15</v>
      </c>
      <c r="F1712" t="s">
        <v>11</v>
      </c>
      <c r="G1712">
        <v>54690</v>
      </c>
      <c r="H1712">
        <v>2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f>SUM(Table1[[#This Row],[Gold Spending]]+Table1[[#This Row],[Sweet Spending]]+Table1[[#This Row],[Fish Spending]]+Table1[[#This Row],[Meat Spending]]+Table1[[#This Row],[Fruits Spending]]+Table1[[#This Row],[Wine Spending ]])</f>
        <v>198</v>
      </c>
      <c r="Q1712">
        <v>3</v>
      </c>
      <c r="R1712">
        <v>3</v>
      </c>
      <c r="S1712">
        <v>1</v>
      </c>
      <c r="T1712">
        <v>5</v>
      </c>
      <c r="U1712">
        <f>SUM(Table1[[#This Row],[Store_Purchases]]+Table1[[#This Row],[Catalog_Purchases]]+Table1[[#This Row],[Web_Purchases]]+Table1[[#This Row],[Deal_Purchases]])</f>
        <v>12</v>
      </c>
      <c r="V1712">
        <v>3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f>SUM(Table1[[#This Row],[Accepted_Campaign_2]]+Table1[[#This Row],[Accepted_Campaign_1]]+Table1[[#This Row],[Accepted_Campaign_5]]+Table1[[#This Row],[Accepted_Campaign_4]]+Table1[[#This Row],[Accepted_Campaign_3]])</f>
        <v>0</v>
      </c>
      <c r="AC1712">
        <v>0</v>
      </c>
      <c r="AD1712">
        <v>0</v>
      </c>
    </row>
    <row r="1713" spans="1:30" x14ac:dyDescent="0.25">
      <c r="A1713">
        <v>41585</v>
      </c>
      <c r="B1713">
        <v>8360</v>
      </c>
      <c r="C1713">
        <v>1971</v>
      </c>
      <c r="D1713" t="s">
        <v>8</v>
      </c>
      <c r="E1713" t="s">
        <v>15</v>
      </c>
      <c r="F1713" t="s">
        <v>11</v>
      </c>
      <c r="G1713">
        <v>54690</v>
      </c>
      <c r="H1713">
        <v>2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f>SUM(Table1[[#This Row],[Gold Spending]]+Table1[[#This Row],[Sweet Spending]]+Table1[[#This Row],[Fish Spending]]+Table1[[#This Row],[Meat Spending]]+Table1[[#This Row],[Fruits Spending]]+Table1[[#This Row],[Wine Spending ]])</f>
        <v>198</v>
      </c>
      <c r="Q1713">
        <v>3</v>
      </c>
      <c r="R1713">
        <v>3</v>
      </c>
      <c r="S1713">
        <v>1</v>
      </c>
      <c r="T1713">
        <v>5</v>
      </c>
      <c r="U1713">
        <f>SUM(Table1[[#This Row],[Store_Purchases]]+Table1[[#This Row],[Catalog_Purchases]]+Table1[[#This Row],[Web_Purchases]]+Table1[[#This Row],[Deal_Purchases]])</f>
        <v>12</v>
      </c>
      <c r="V1713">
        <v>3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f>SUM(Table1[[#This Row],[Accepted_Campaign_2]]+Table1[[#This Row],[Accepted_Campaign_1]]+Table1[[#This Row],[Accepted_Campaign_5]]+Table1[[#This Row],[Accepted_Campaign_4]]+Table1[[#This Row],[Accepted_Campaign_3]])</f>
        <v>0</v>
      </c>
      <c r="AC1713">
        <v>0</v>
      </c>
      <c r="AD1713">
        <v>0</v>
      </c>
    </row>
    <row r="1714" spans="1:30" x14ac:dyDescent="0.25">
      <c r="A1714">
        <v>41559</v>
      </c>
      <c r="B1714">
        <v>4058</v>
      </c>
      <c r="C1714">
        <v>1955</v>
      </c>
      <c r="D1714" t="s">
        <v>8</v>
      </c>
      <c r="E1714" t="s">
        <v>14</v>
      </c>
      <c r="F1714" t="s">
        <v>9</v>
      </c>
      <c r="G1714">
        <v>61284</v>
      </c>
      <c r="H1714">
        <v>0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f>SUM(Table1[[#This Row],[Gold Spending]]+Table1[[#This Row],[Sweet Spending]]+Table1[[#This Row],[Fish Spending]]+Table1[[#This Row],[Meat Spending]]+Table1[[#This Row],[Fruits Spending]]+Table1[[#This Row],[Wine Spending ]])</f>
        <v>811</v>
      </c>
      <c r="Q1714">
        <v>1</v>
      </c>
      <c r="R1714">
        <v>11</v>
      </c>
      <c r="S1714">
        <v>2</v>
      </c>
      <c r="T1714">
        <v>8</v>
      </c>
      <c r="U1714">
        <f>SUM(Table1[[#This Row],[Store_Purchases]]+Table1[[#This Row],[Catalog_Purchases]]+Table1[[#This Row],[Web_Purchases]]+Table1[[#This Row],[Deal_Purchases]])</f>
        <v>22</v>
      </c>
      <c r="V1714">
        <v>6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f>SUM(Table1[[#This Row],[Accepted_Campaign_2]]+Table1[[#This Row],[Accepted_Campaign_1]]+Table1[[#This Row],[Accepted_Campaign_5]]+Table1[[#This Row],[Accepted_Campaign_4]]+Table1[[#This Row],[Accepted_Campaign_3]])</f>
        <v>1</v>
      </c>
      <c r="AC1714">
        <v>0</v>
      </c>
      <c r="AD1714">
        <v>0</v>
      </c>
    </row>
    <row r="1715" spans="1:30" x14ac:dyDescent="0.25">
      <c r="A1715">
        <v>41519</v>
      </c>
      <c r="B1715">
        <v>10755</v>
      </c>
      <c r="C1715">
        <v>1976</v>
      </c>
      <c r="D1715" t="s">
        <v>13</v>
      </c>
      <c r="E1715" t="s">
        <v>15</v>
      </c>
      <c r="F1715" t="s">
        <v>11</v>
      </c>
      <c r="G1715">
        <v>23718</v>
      </c>
      <c r="H1715">
        <v>1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f>SUM(Table1[[#This Row],[Gold Spending]]+Table1[[#This Row],[Sweet Spending]]+Table1[[#This Row],[Fish Spending]]+Table1[[#This Row],[Meat Spending]]+Table1[[#This Row],[Fruits Spending]]+Table1[[#This Row],[Wine Spending ]])</f>
        <v>81</v>
      </c>
      <c r="Q1715">
        <v>3</v>
      </c>
      <c r="R1715">
        <v>3</v>
      </c>
      <c r="S1715">
        <v>1</v>
      </c>
      <c r="T1715">
        <v>2</v>
      </c>
      <c r="U1715">
        <f>SUM(Table1[[#This Row],[Store_Purchases]]+Table1[[#This Row],[Catalog_Purchases]]+Table1[[#This Row],[Web_Purchases]]+Table1[[#This Row],[Deal_Purchases]])</f>
        <v>9</v>
      </c>
      <c r="V1715">
        <v>7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f>SUM(Table1[[#This Row],[Accepted_Campaign_2]]+Table1[[#This Row],[Accepted_Campaign_1]]+Table1[[#This Row],[Accepted_Campaign_5]]+Table1[[#This Row],[Accepted_Campaign_4]]+Table1[[#This Row],[Accepted_Campaign_3]])</f>
        <v>0</v>
      </c>
      <c r="AC1715">
        <v>0</v>
      </c>
      <c r="AD1715">
        <v>0</v>
      </c>
    </row>
    <row r="1716" spans="1:30" x14ac:dyDescent="0.25">
      <c r="A1716">
        <v>41503</v>
      </c>
      <c r="B1716">
        <v>8414</v>
      </c>
      <c r="C1716">
        <v>1962</v>
      </c>
      <c r="D1716" t="s">
        <v>8</v>
      </c>
      <c r="E1716" t="s">
        <v>14</v>
      </c>
      <c r="F1716" t="s">
        <v>9</v>
      </c>
      <c r="G1716">
        <v>33419</v>
      </c>
      <c r="H1716">
        <v>1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f>SUM(Table1[[#This Row],[Gold Spending]]+Table1[[#This Row],[Sweet Spending]]+Table1[[#This Row],[Fish Spending]]+Table1[[#This Row],[Meat Spending]]+Table1[[#This Row],[Fruits Spending]]+Table1[[#This Row],[Wine Spending ]])</f>
        <v>86</v>
      </c>
      <c r="Q1716">
        <v>2</v>
      </c>
      <c r="R1716">
        <v>2</v>
      </c>
      <c r="S1716">
        <v>0</v>
      </c>
      <c r="T1716">
        <v>4</v>
      </c>
      <c r="U1716">
        <f>SUM(Table1[[#This Row],[Store_Purchases]]+Table1[[#This Row],[Catalog_Purchases]]+Table1[[#This Row],[Web_Purchases]]+Table1[[#This Row],[Deal_Purchases]])</f>
        <v>8</v>
      </c>
      <c r="V1716">
        <v>7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f>SUM(Table1[[#This Row],[Accepted_Campaign_2]]+Table1[[#This Row],[Accepted_Campaign_1]]+Table1[[#This Row],[Accepted_Campaign_5]]+Table1[[#This Row],[Accepted_Campaign_4]]+Table1[[#This Row],[Accepted_Campaign_3]])</f>
        <v>0</v>
      </c>
      <c r="AC1716">
        <v>0</v>
      </c>
      <c r="AD1716">
        <v>0</v>
      </c>
    </row>
    <row r="1717" spans="1:30" x14ac:dyDescent="0.25">
      <c r="A1717">
        <v>41422</v>
      </c>
      <c r="B1717">
        <v>6810</v>
      </c>
      <c r="C1717">
        <v>1983</v>
      </c>
      <c r="D1717" t="s">
        <v>20</v>
      </c>
      <c r="E1717" t="s">
        <v>6</v>
      </c>
      <c r="F1717" t="s">
        <v>7</v>
      </c>
      <c r="G1717">
        <v>82025</v>
      </c>
      <c r="H1717">
        <v>0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f>SUM(Table1[[#This Row],[Gold Spending]]+Table1[[#This Row],[Sweet Spending]]+Table1[[#This Row],[Fish Spending]]+Table1[[#This Row],[Meat Spending]]+Table1[[#This Row],[Fruits Spending]]+Table1[[#This Row],[Wine Spending ]])</f>
        <v>1187</v>
      </c>
      <c r="Q1717">
        <v>1</v>
      </c>
      <c r="R1717">
        <v>3</v>
      </c>
      <c r="S1717">
        <v>2</v>
      </c>
      <c r="T1717">
        <v>6</v>
      </c>
      <c r="U1717">
        <f>SUM(Table1[[#This Row],[Store_Purchases]]+Table1[[#This Row],[Catalog_Purchases]]+Table1[[#This Row],[Web_Purchases]]+Table1[[#This Row],[Deal_Purchases]])</f>
        <v>12</v>
      </c>
      <c r="V1717">
        <v>1</v>
      </c>
      <c r="W1717">
        <v>0</v>
      </c>
      <c r="X1717">
        <v>0</v>
      </c>
      <c r="Y1717">
        <v>1</v>
      </c>
      <c r="Z1717">
        <v>0</v>
      </c>
      <c r="AA1717">
        <v>0</v>
      </c>
      <c r="AB1717">
        <f>SUM(Table1[[#This Row],[Accepted_Campaign_2]]+Table1[[#This Row],[Accepted_Campaign_1]]+Table1[[#This Row],[Accepted_Campaign_5]]+Table1[[#This Row],[Accepted_Campaign_4]]+Table1[[#This Row],[Accepted_Campaign_3]])</f>
        <v>1</v>
      </c>
      <c r="AC1717">
        <v>1</v>
      </c>
      <c r="AD1717">
        <v>0</v>
      </c>
    </row>
    <row r="1718" spans="1:30" x14ac:dyDescent="0.25">
      <c r="A1718">
        <v>41397</v>
      </c>
      <c r="B1718">
        <v>3839</v>
      </c>
      <c r="C1718">
        <v>1958</v>
      </c>
      <c r="D1718" t="s">
        <v>8</v>
      </c>
      <c r="E1718" t="s">
        <v>21</v>
      </c>
      <c r="F1718" t="s">
        <v>9</v>
      </c>
      <c r="G1718">
        <v>15056</v>
      </c>
      <c r="H1718">
        <v>2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f>SUM(Table1[[#This Row],[Gold Spending]]+Table1[[#This Row],[Sweet Spending]]+Table1[[#This Row],[Fish Spending]]+Table1[[#This Row],[Meat Spending]]+Table1[[#This Row],[Fruits Spending]]+Table1[[#This Row],[Wine Spending ]])</f>
        <v>88</v>
      </c>
      <c r="Q1718">
        <v>5</v>
      </c>
      <c r="R1718">
        <v>2</v>
      </c>
      <c r="S1718">
        <v>2</v>
      </c>
      <c r="T1718">
        <v>3</v>
      </c>
      <c r="U1718">
        <f>SUM(Table1[[#This Row],[Store_Purchases]]+Table1[[#This Row],[Catalog_Purchases]]+Table1[[#This Row],[Web_Purchases]]+Table1[[#This Row],[Deal_Purchases]])</f>
        <v>12</v>
      </c>
      <c r="V1718">
        <v>5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f>SUM(Table1[[#This Row],[Accepted_Campaign_2]]+Table1[[#This Row],[Accepted_Campaign_1]]+Table1[[#This Row],[Accepted_Campaign_5]]+Table1[[#This Row],[Accepted_Campaign_4]]+Table1[[#This Row],[Accepted_Campaign_3]])</f>
        <v>0</v>
      </c>
      <c r="AC1718">
        <v>0</v>
      </c>
      <c r="AD1718">
        <v>0</v>
      </c>
    </row>
    <row r="1719" spans="1:30" x14ac:dyDescent="0.25">
      <c r="A1719">
        <v>41370</v>
      </c>
      <c r="B1719">
        <v>3483</v>
      </c>
      <c r="C1719">
        <v>1958</v>
      </c>
      <c r="D1719" t="s">
        <v>10</v>
      </c>
      <c r="E1719" t="s">
        <v>6</v>
      </c>
      <c r="F1719" t="s">
        <v>11</v>
      </c>
      <c r="G1719">
        <v>48192</v>
      </c>
      <c r="H1719">
        <v>0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f>SUM(Table1[[#This Row],[Gold Spending]]+Table1[[#This Row],[Sweet Spending]]+Table1[[#This Row],[Fish Spending]]+Table1[[#This Row],[Meat Spending]]+Table1[[#This Row],[Fruits Spending]]+Table1[[#This Row],[Wine Spending ]])</f>
        <v>1526</v>
      </c>
      <c r="Q1719">
        <v>3</v>
      </c>
      <c r="R1719">
        <v>2</v>
      </c>
      <c r="S1719">
        <v>8</v>
      </c>
      <c r="T1719">
        <v>12</v>
      </c>
      <c r="U1719">
        <f>SUM(Table1[[#This Row],[Store_Purchases]]+Table1[[#This Row],[Catalog_Purchases]]+Table1[[#This Row],[Web_Purchases]]+Table1[[#This Row],[Deal_Purchases]])</f>
        <v>25</v>
      </c>
      <c r="V1719">
        <v>8</v>
      </c>
      <c r="W1719">
        <v>0</v>
      </c>
      <c r="X1719">
        <v>1</v>
      </c>
      <c r="Y1719">
        <v>0</v>
      </c>
      <c r="Z1719">
        <v>1</v>
      </c>
      <c r="AA1719">
        <v>1</v>
      </c>
      <c r="AB1719">
        <f>SUM(Table1[[#This Row],[Accepted_Campaign_2]]+Table1[[#This Row],[Accepted_Campaign_1]]+Table1[[#This Row],[Accepted_Campaign_5]]+Table1[[#This Row],[Accepted_Campaign_4]]+Table1[[#This Row],[Accepted_Campaign_3]])</f>
        <v>3</v>
      </c>
      <c r="AC1719">
        <v>1</v>
      </c>
      <c r="AD1719">
        <v>0</v>
      </c>
    </row>
    <row r="1720" spans="1:30" x14ac:dyDescent="0.25">
      <c r="A1720">
        <v>41297</v>
      </c>
      <c r="B1720">
        <v>238</v>
      </c>
      <c r="C1720">
        <v>1967</v>
      </c>
      <c r="D1720" t="s">
        <v>8</v>
      </c>
      <c r="E1720" t="s">
        <v>15</v>
      </c>
      <c r="F1720" t="s">
        <v>12</v>
      </c>
      <c r="G1720">
        <v>67309</v>
      </c>
      <c r="H1720">
        <v>2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f>SUM(Table1[[#This Row],[Gold Spending]]+Table1[[#This Row],[Sweet Spending]]+Table1[[#This Row],[Fish Spending]]+Table1[[#This Row],[Meat Spending]]+Table1[[#This Row],[Fruits Spending]]+Table1[[#This Row],[Wine Spending ]])</f>
        <v>1082</v>
      </c>
      <c r="Q1720">
        <v>15</v>
      </c>
      <c r="R1720">
        <v>9</v>
      </c>
      <c r="S1720">
        <v>6</v>
      </c>
      <c r="T1720">
        <v>9</v>
      </c>
      <c r="U1720">
        <f>SUM(Table1[[#This Row],[Store_Purchases]]+Table1[[#This Row],[Catalog_Purchases]]+Table1[[#This Row],[Web_Purchases]]+Table1[[#This Row],[Deal_Purchases]])</f>
        <v>39</v>
      </c>
      <c r="V1720">
        <v>7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f>SUM(Table1[[#This Row],[Accepted_Campaign_2]]+Table1[[#This Row],[Accepted_Campaign_1]]+Table1[[#This Row],[Accepted_Campaign_5]]+Table1[[#This Row],[Accepted_Campaign_4]]+Table1[[#This Row],[Accepted_Campaign_3]])</f>
        <v>0</v>
      </c>
      <c r="AC1720">
        <v>0</v>
      </c>
      <c r="AD1720">
        <v>0</v>
      </c>
    </row>
    <row r="1721" spans="1:30" x14ac:dyDescent="0.25">
      <c r="A1721">
        <v>41294</v>
      </c>
      <c r="B1721">
        <v>591</v>
      </c>
      <c r="C1721">
        <v>1957</v>
      </c>
      <c r="D1721" t="s">
        <v>17</v>
      </c>
      <c r="E1721" t="s">
        <v>6</v>
      </c>
      <c r="F1721" t="s">
        <v>19</v>
      </c>
      <c r="G1721">
        <v>66033</v>
      </c>
      <c r="H1721">
        <v>1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f>SUM(Table1[[#This Row],[Gold Spending]]+Table1[[#This Row],[Sweet Spending]]+Table1[[#This Row],[Fish Spending]]+Table1[[#This Row],[Meat Spending]]+Table1[[#This Row],[Fruits Spending]]+Table1[[#This Row],[Wine Spending ]])</f>
        <v>677</v>
      </c>
      <c r="Q1721">
        <v>2</v>
      </c>
      <c r="R1721">
        <v>8</v>
      </c>
      <c r="S1721">
        <v>3</v>
      </c>
      <c r="T1721">
        <v>7</v>
      </c>
      <c r="U1721">
        <f>SUM(Table1[[#This Row],[Store_Purchases]]+Table1[[#This Row],[Catalog_Purchases]]+Table1[[#This Row],[Web_Purchases]]+Table1[[#This Row],[Deal_Purchases]])</f>
        <v>20</v>
      </c>
      <c r="V1721">
        <v>7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f>SUM(Table1[[#This Row],[Accepted_Campaign_2]]+Table1[[#This Row],[Accepted_Campaign_1]]+Table1[[#This Row],[Accepted_Campaign_5]]+Table1[[#This Row],[Accepted_Campaign_4]]+Table1[[#This Row],[Accepted_Campaign_3]])</f>
        <v>0</v>
      </c>
      <c r="AC1721">
        <v>0</v>
      </c>
      <c r="AD1721">
        <v>0</v>
      </c>
    </row>
    <row r="1722" spans="1:30" x14ac:dyDescent="0.25">
      <c r="A1722">
        <v>41261</v>
      </c>
      <c r="B1722">
        <v>5063</v>
      </c>
      <c r="C1722">
        <v>1977</v>
      </c>
      <c r="D1722" t="s">
        <v>8</v>
      </c>
      <c r="E1722" t="s">
        <v>6</v>
      </c>
      <c r="F1722" t="s">
        <v>9</v>
      </c>
      <c r="G1722">
        <v>28769</v>
      </c>
      <c r="H1722">
        <v>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f>SUM(Table1[[#This Row],[Gold Spending]]+Table1[[#This Row],[Sweet Spending]]+Table1[[#This Row],[Fish Spending]]+Table1[[#This Row],[Meat Spending]]+Table1[[#This Row],[Fruits Spending]]+Table1[[#This Row],[Wine Spending ]])</f>
        <v>191</v>
      </c>
      <c r="Q1722">
        <v>3</v>
      </c>
      <c r="R1722">
        <v>4</v>
      </c>
      <c r="S1722">
        <v>1</v>
      </c>
      <c r="T1722">
        <v>4</v>
      </c>
      <c r="U1722">
        <f>SUM(Table1[[#This Row],[Store_Purchases]]+Table1[[#This Row],[Catalog_Purchases]]+Table1[[#This Row],[Web_Purchases]]+Table1[[#This Row],[Deal_Purchases]])</f>
        <v>12</v>
      </c>
      <c r="V1722">
        <v>9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f>SUM(Table1[[#This Row],[Accepted_Campaign_2]]+Table1[[#This Row],[Accepted_Campaign_1]]+Table1[[#This Row],[Accepted_Campaign_5]]+Table1[[#This Row],[Accepted_Campaign_4]]+Table1[[#This Row],[Accepted_Campaign_3]])</f>
        <v>0</v>
      </c>
      <c r="AC1722">
        <v>0</v>
      </c>
      <c r="AD1722">
        <v>0</v>
      </c>
    </row>
    <row r="1723" spans="1:30" x14ac:dyDescent="0.25">
      <c r="A1723">
        <v>41251</v>
      </c>
      <c r="B1723">
        <v>4303</v>
      </c>
      <c r="C1723">
        <v>1957</v>
      </c>
      <c r="D1723" t="s">
        <v>10</v>
      </c>
      <c r="E1723" t="s">
        <v>14</v>
      </c>
      <c r="F1723" t="s">
        <v>12</v>
      </c>
      <c r="G1723">
        <v>6835</v>
      </c>
      <c r="H1723">
        <v>1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f>SUM(Table1[[#This Row],[Gold Spending]]+Table1[[#This Row],[Sweet Spending]]+Table1[[#This Row],[Fish Spending]]+Table1[[#This Row],[Meat Spending]]+Table1[[#This Row],[Fruits Spending]]+Table1[[#This Row],[Wine Spending ]])</f>
        <v>137</v>
      </c>
      <c r="Q1723">
        <v>0</v>
      </c>
      <c r="R1723">
        <v>0</v>
      </c>
      <c r="S1723">
        <v>0</v>
      </c>
      <c r="T1723">
        <v>1</v>
      </c>
      <c r="U1723">
        <f>SUM(Table1[[#This Row],[Store_Purchases]]+Table1[[#This Row],[Catalog_Purchases]]+Table1[[#This Row],[Web_Purchases]]+Table1[[#This Row],[Deal_Purchases]])</f>
        <v>1</v>
      </c>
      <c r="V1723">
        <v>20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f>SUM(Table1[[#This Row],[Accepted_Campaign_2]]+Table1[[#This Row],[Accepted_Campaign_1]]+Table1[[#This Row],[Accepted_Campaign_5]]+Table1[[#This Row],[Accepted_Campaign_4]]+Table1[[#This Row],[Accepted_Campaign_3]])</f>
        <v>0</v>
      </c>
      <c r="AC1723">
        <v>0</v>
      </c>
      <c r="AD1723">
        <v>0</v>
      </c>
    </row>
    <row r="1724" spans="1:30" x14ac:dyDescent="0.25">
      <c r="A1724">
        <v>41247</v>
      </c>
      <c r="B1724">
        <v>2258</v>
      </c>
      <c r="C1724">
        <v>1986</v>
      </c>
      <c r="D1724" t="s">
        <v>8</v>
      </c>
      <c r="E1724" t="s">
        <v>6</v>
      </c>
      <c r="F1724" t="s">
        <v>11</v>
      </c>
      <c r="G1724">
        <v>32880</v>
      </c>
      <c r="H1724">
        <v>1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f>SUM(Table1[[#This Row],[Gold Spending]]+Table1[[#This Row],[Sweet Spending]]+Table1[[#This Row],[Fish Spending]]+Table1[[#This Row],[Meat Spending]]+Table1[[#This Row],[Fruits Spending]]+Table1[[#This Row],[Wine Spending ]])</f>
        <v>42</v>
      </c>
      <c r="Q1724">
        <v>1</v>
      </c>
      <c r="R1724">
        <v>1</v>
      </c>
      <c r="S1724">
        <v>0</v>
      </c>
      <c r="T1724">
        <v>3</v>
      </c>
      <c r="U1724">
        <f>SUM(Table1[[#This Row],[Store_Purchases]]+Table1[[#This Row],[Catalog_Purchases]]+Table1[[#This Row],[Web_Purchases]]+Table1[[#This Row],[Deal_Purchases]])</f>
        <v>5</v>
      </c>
      <c r="V1724">
        <v>8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f>SUM(Table1[[#This Row],[Accepted_Campaign_2]]+Table1[[#This Row],[Accepted_Campaign_1]]+Table1[[#This Row],[Accepted_Campaign_5]]+Table1[[#This Row],[Accepted_Campaign_4]]+Table1[[#This Row],[Accepted_Campaign_3]])</f>
        <v>0</v>
      </c>
      <c r="AC1724">
        <v>0</v>
      </c>
      <c r="AD1724">
        <v>0</v>
      </c>
    </row>
    <row r="1725" spans="1:30" x14ac:dyDescent="0.25">
      <c r="A1725">
        <v>41230</v>
      </c>
      <c r="B1725">
        <v>7301</v>
      </c>
      <c r="C1725">
        <v>1982</v>
      </c>
      <c r="D1725" t="s">
        <v>8</v>
      </c>
      <c r="E1725" t="s">
        <v>15</v>
      </c>
      <c r="F1725" t="s">
        <v>9</v>
      </c>
      <c r="G1725">
        <v>23616</v>
      </c>
      <c r="H1725">
        <v>1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f>SUM(Table1[[#This Row],[Gold Spending]]+Table1[[#This Row],[Sweet Spending]]+Table1[[#This Row],[Fish Spending]]+Table1[[#This Row],[Meat Spending]]+Table1[[#This Row],[Fruits Spending]]+Table1[[#This Row],[Wine Spending ]])</f>
        <v>79</v>
      </c>
      <c r="Q1725">
        <v>2</v>
      </c>
      <c r="R1725">
        <v>3</v>
      </c>
      <c r="S1725">
        <v>0</v>
      </c>
      <c r="T1725">
        <v>3</v>
      </c>
      <c r="U1725">
        <f>SUM(Table1[[#This Row],[Store_Purchases]]+Table1[[#This Row],[Catalog_Purchases]]+Table1[[#This Row],[Web_Purchases]]+Table1[[#This Row],[Deal_Purchases]])</f>
        <v>8</v>
      </c>
      <c r="V1725">
        <v>8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f>SUM(Table1[[#This Row],[Accepted_Campaign_2]]+Table1[[#This Row],[Accepted_Campaign_1]]+Table1[[#This Row],[Accepted_Campaign_5]]+Table1[[#This Row],[Accepted_Campaign_4]]+Table1[[#This Row],[Accepted_Campaign_3]])</f>
        <v>0</v>
      </c>
      <c r="AC1725">
        <v>1</v>
      </c>
      <c r="AD1725">
        <v>0</v>
      </c>
    </row>
    <row r="1726" spans="1:30" x14ac:dyDescent="0.25">
      <c r="A1726">
        <v>41223</v>
      </c>
      <c r="B1726">
        <v>11121</v>
      </c>
      <c r="C1726">
        <v>1981</v>
      </c>
      <c r="D1726" t="s">
        <v>17</v>
      </c>
      <c r="E1726" t="s">
        <v>6</v>
      </c>
      <c r="F1726" t="s">
        <v>11</v>
      </c>
      <c r="G1726">
        <v>19419</v>
      </c>
      <c r="H1726">
        <v>1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f>SUM(Table1[[#This Row],[Gold Spending]]+Table1[[#This Row],[Sweet Spending]]+Table1[[#This Row],[Fish Spending]]+Table1[[#This Row],[Meat Spending]]+Table1[[#This Row],[Fruits Spending]]+Table1[[#This Row],[Wine Spending ]])</f>
        <v>70</v>
      </c>
      <c r="Q1726">
        <v>4</v>
      </c>
      <c r="R1726">
        <v>4</v>
      </c>
      <c r="S1726">
        <v>0</v>
      </c>
      <c r="T1726">
        <v>3</v>
      </c>
      <c r="U1726">
        <f>SUM(Table1[[#This Row],[Store_Purchases]]+Table1[[#This Row],[Catalog_Purchases]]+Table1[[#This Row],[Web_Purchases]]+Table1[[#This Row],[Deal_Purchases]])</f>
        <v>11</v>
      </c>
      <c r="V1726">
        <v>9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f>SUM(Table1[[#This Row],[Accepted_Campaign_2]]+Table1[[#This Row],[Accepted_Campaign_1]]+Table1[[#This Row],[Accepted_Campaign_5]]+Table1[[#This Row],[Accepted_Campaign_4]]+Table1[[#This Row],[Accepted_Campaign_3]])</f>
        <v>0</v>
      </c>
      <c r="AC1726">
        <v>0</v>
      </c>
      <c r="AD1726">
        <v>0</v>
      </c>
    </row>
    <row r="1727" spans="1:30" x14ac:dyDescent="0.25">
      <c r="A1727">
        <v>41809</v>
      </c>
      <c r="B1727">
        <v>5287</v>
      </c>
      <c r="C1727">
        <v>1973</v>
      </c>
      <c r="D1727" t="s">
        <v>8</v>
      </c>
      <c r="E1727" t="s">
        <v>6</v>
      </c>
      <c r="F1727" t="s">
        <v>11</v>
      </c>
      <c r="G1727">
        <v>34961</v>
      </c>
      <c r="H1727">
        <v>1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f>SUM(Table1[[#This Row],[Gold Spending]]+Table1[[#This Row],[Sweet Spending]]+Table1[[#This Row],[Fish Spending]]+Table1[[#This Row],[Meat Spending]]+Table1[[#This Row],[Fruits Spending]]+Table1[[#This Row],[Wine Spending ]])</f>
        <v>79</v>
      </c>
      <c r="Q1727">
        <v>3</v>
      </c>
      <c r="R1727">
        <v>3</v>
      </c>
      <c r="S1727">
        <v>1</v>
      </c>
      <c r="T1727">
        <v>3</v>
      </c>
      <c r="U1727">
        <f>SUM(Table1[[#This Row],[Store_Purchases]]+Table1[[#This Row],[Catalog_Purchases]]+Table1[[#This Row],[Web_Purchases]]+Table1[[#This Row],[Deal_Purchases]])</f>
        <v>10</v>
      </c>
      <c r="V1727">
        <v>7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f>SUM(Table1[[#This Row],[Accepted_Campaign_2]]+Table1[[#This Row],[Accepted_Campaign_1]]+Table1[[#This Row],[Accepted_Campaign_5]]+Table1[[#This Row],[Accepted_Campaign_4]]+Table1[[#This Row],[Accepted_Campaign_3]])</f>
        <v>0</v>
      </c>
      <c r="AC1727">
        <v>0</v>
      </c>
      <c r="AD1727">
        <v>0</v>
      </c>
    </row>
    <row r="1728" spans="1:30" x14ac:dyDescent="0.25">
      <c r="A1728">
        <v>41788</v>
      </c>
      <c r="B1728">
        <v>6457</v>
      </c>
      <c r="C1728">
        <v>1976</v>
      </c>
      <c r="D1728" t="s">
        <v>20</v>
      </c>
      <c r="E1728" t="s">
        <v>6</v>
      </c>
      <c r="F1728" t="s">
        <v>7</v>
      </c>
      <c r="G1728">
        <v>64892</v>
      </c>
      <c r="H1728">
        <v>1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f>SUM(Table1[[#This Row],[Gold Spending]]+Table1[[#This Row],[Sweet Spending]]+Table1[[#This Row],[Fish Spending]]+Table1[[#This Row],[Meat Spending]]+Table1[[#This Row],[Fruits Spending]]+Table1[[#This Row],[Wine Spending ]])</f>
        <v>902</v>
      </c>
      <c r="Q1728">
        <v>2</v>
      </c>
      <c r="R1728">
        <v>6</v>
      </c>
      <c r="S1728">
        <v>4</v>
      </c>
      <c r="T1728">
        <v>12</v>
      </c>
      <c r="U1728">
        <f>SUM(Table1[[#This Row],[Store_Purchases]]+Table1[[#This Row],[Catalog_Purchases]]+Table1[[#This Row],[Web_Purchases]]+Table1[[#This Row],[Deal_Purchases]])</f>
        <v>24</v>
      </c>
      <c r="V1728">
        <v>4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f>SUM(Table1[[#This Row],[Accepted_Campaign_2]]+Table1[[#This Row],[Accepted_Campaign_1]]+Table1[[#This Row],[Accepted_Campaign_5]]+Table1[[#This Row],[Accepted_Campaign_4]]+Table1[[#This Row],[Accepted_Campaign_3]])</f>
        <v>0</v>
      </c>
      <c r="AC1728">
        <v>0</v>
      </c>
      <c r="AD1728">
        <v>0</v>
      </c>
    </row>
    <row r="1729" spans="1:30" x14ac:dyDescent="0.25">
      <c r="A1729">
        <v>41769</v>
      </c>
      <c r="B1729">
        <v>3559</v>
      </c>
      <c r="C1729">
        <v>1988</v>
      </c>
      <c r="D1729" t="s">
        <v>17</v>
      </c>
      <c r="E1729" t="s">
        <v>15</v>
      </c>
      <c r="F1729" t="s">
        <v>11</v>
      </c>
      <c r="G1729">
        <v>16248</v>
      </c>
      <c r="H1729">
        <v>1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1729">
        <v>3</v>
      </c>
      <c r="R1729">
        <v>2</v>
      </c>
      <c r="S1729">
        <v>1</v>
      </c>
      <c r="T1729">
        <v>3</v>
      </c>
      <c r="U1729">
        <f>SUM(Table1[[#This Row],[Store_Purchases]]+Table1[[#This Row],[Catalog_Purchases]]+Table1[[#This Row],[Web_Purchases]]+Table1[[#This Row],[Deal_Purchases]])</f>
        <v>9</v>
      </c>
      <c r="V1729">
        <v>6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f>SUM(Table1[[#This Row],[Accepted_Campaign_2]]+Table1[[#This Row],[Accepted_Campaign_1]]+Table1[[#This Row],[Accepted_Campaign_5]]+Table1[[#This Row],[Accepted_Campaign_4]]+Table1[[#This Row],[Accepted_Campaign_3]])</f>
        <v>0</v>
      </c>
      <c r="AC1729">
        <v>0</v>
      </c>
      <c r="AD1729">
        <v>0</v>
      </c>
    </row>
    <row r="1730" spans="1:30" x14ac:dyDescent="0.25">
      <c r="A1730">
        <v>41762</v>
      </c>
      <c r="B1730">
        <v>5577</v>
      </c>
      <c r="C1730">
        <v>1983</v>
      </c>
      <c r="D1730" t="s">
        <v>8</v>
      </c>
      <c r="E1730" t="s">
        <v>6</v>
      </c>
      <c r="F1730" t="s">
        <v>12</v>
      </c>
      <c r="G1730">
        <v>43776</v>
      </c>
      <c r="H1730">
        <v>1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f>SUM(Table1[[#This Row],[Gold Spending]]+Table1[[#This Row],[Sweet Spending]]+Table1[[#This Row],[Fish Spending]]+Table1[[#This Row],[Meat Spending]]+Table1[[#This Row],[Fruits Spending]]+Table1[[#This Row],[Wine Spending ]])</f>
        <v>23</v>
      </c>
      <c r="Q1730">
        <v>1</v>
      </c>
      <c r="R1730">
        <v>1</v>
      </c>
      <c r="S1730">
        <v>0</v>
      </c>
      <c r="T1730">
        <v>2</v>
      </c>
      <c r="U1730">
        <f>SUM(Table1[[#This Row],[Store_Purchases]]+Table1[[#This Row],[Catalog_Purchases]]+Table1[[#This Row],[Web_Purchases]]+Table1[[#This Row],[Deal_Purchases]])</f>
        <v>4</v>
      </c>
      <c r="V1730">
        <v>6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f>SUM(Table1[[#This Row],[Accepted_Campaign_2]]+Table1[[#This Row],[Accepted_Campaign_1]]+Table1[[#This Row],[Accepted_Campaign_5]]+Table1[[#This Row],[Accepted_Campaign_4]]+Table1[[#This Row],[Accepted_Campaign_3]])</f>
        <v>0</v>
      </c>
      <c r="AC1730">
        <v>0</v>
      </c>
      <c r="AD1730">
        <v>0</v>
      </c>
    </row>
    <row r="1731" spans="1:30" x14ac:dyDescent="0.25">
      <c r="A1731">
        <v>41733</v>
      </c>
      <c r="B1731">
        <v>641</v>
      </c>
      <c r="C1731">
        <v>1967</v>
      </c>
      <c r="D1731" t="s">
        <v>17</v>
      </c>
      <c r="E1731" t="s">
        <v>6</v>
      </c>
      <c r="F1731" t="s">
        <v>9</v>
      </c>
      <c r="G1731">
        <v>52074</v>
      </c>
      <c r="H1731">
        <v>1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f>SUM(Table1[[#This Row],[Gold Spending]]+Table1[[#This Row],[Sweet Spending]]+Table1[[#This Row],[Fish Spending]]+Table1[[#This Row],[Meat Spending]]+Table1[[#This Row],[Fruits Spending]]+Table1[[#This Row],[Wine Spending ]])</f>
        <v>119</v>
      </c>
      <c r="Q1731">
        <v>1</v>
      </c>
      <c r="R1731">
        <v>2</v>
      </c>
      <c r="S1731">
        <v>2</v>
      </c>
      <c r="T1731">
        <v>2</v>
      </c>
      <c r="U1731">
        <f>SUM(Table1[[#This Row],[Store_Purchases]]+Table1[[#This Row],[Catalog_Purchases]]+Table1[[#This Row],[Web_Purchases]]+Table1[[#This Row],[Deal_Purchases]])</f>
        <v>7</v>
      </c>
      <c r="V1731">
        <v>4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f>SUM(Table1[[#This Row],[Accepted_Campaign_2]]+Table1[[#This Row],[Accepted_Campaign_1]]+Table1[[#This Row],[Accepted_Campaign_5]]+Table1[[#This Row],[Accepted_Campaign_4]]+Table1[[#This Row],[Accepted_Campaign_3]])</f>
        <v>1</v>
      </c>
      <c r="AC1731">
        <v>0</v>
      </c>
      <c r="AD1731">
        <v>0</v>
      </c>
    </row>
    <row r="1732" spans="1:30" x14ac:dyDescent="0.25">
      <c r="A1732">
        <v>41725</v>
      </c>
      <c r="B1732">
        <v>954</v>
      </c>
      <c r="C1732">
        <v>1960</v>
      </c>
      <c r="D1732" t="s">
        <v>13</v>
      </c>
      <c r="E1732" t="s">
        <v>21</v>
      </c>
      <c r="F1732" t="s">
        <v>19</v>
      </c>
      <c r="G1732">
        <v>22123</v>
      </c>
      <c r="H1732">
        <v>0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f>SUM(Table1[[#This Row],[Gold Spending]]+Table1[[#This Row],[Sweet Spending]]+Table1[[#This Row],[Fish Spending]]+Table1[[#This Row],[Meat Spending]]+Table1[[#This Row],[Fruits Spending]]+Table1[[#This Row],[Wine Spending ]])</f>
        <v>102</v>
      </c>
      <c r="Q1732">
        <v>1</v>
      </c>
      <c r="R1732">
        <v>2</v>
      </c>
      <c r="S1732">
        <v>1</v>
      </c>
      <c r="T1732">
        <v>3</v>
      </c>
      <c r="U1732">
        <f>SUM(Table1[[#This Row],[Store_Purchases]]+Table1[[#This Row],[Catalog_Purchases]]+Table1[[#This Row],[Web_Purchases]]+Table1[[#This Row],[Deal_Purchases]])</f>
        <v>7</v>
      </c>
      <c r="V1732">
        <v>5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f>SUM(Table1[[#This Row],[Accepted_Campaign_2]]+Table1[[#This Row],[Accepted_Campaign_1]]+Table1[[#This Row],[Accepted_Campaign_5]]+Table1[[#This Row],[Accepted_Campaign_4]]+Table1[[#This Row],[Accepted_Campaign_3]])</f>
        <v>0</v>
      </c>
      <c r="AC1732">
        <v>0</v>
      </c>
      <c r="AD1732">
        <v>0</v>
      </c>
    </row>
    <row r="1733" spans="1:30" x14ac:dyDescent="0.25">
      <c r="A1733">
        <v>41706</v>
      </c>
      <c r="B1733">
        <v>1834</v>
      </c>
      <c r="C1733">
        <v>1978</v>
      </c>
      <c r="D1733" t="s">
        <v>20</v>
      </c>
      <c r="E1733" t="s">
        <v>18</v>
      </c>
      <c r="F1733" t="s">
        <v>9</v>
      </c>
      <c r="G1733">
        <v>35544</v>
      </c>
      <c r="H1733">
        <v>1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f>SUM(Table1[[#This Row],[Gold Spending]]+Table1[[#This Row],[Sweet Spending]]+Table1[[#This Row],[Fish Spending]]+Table1[[#This Row],[Meat Spending]]+Table1[[#This Row],[Fruits Spending]]+Table1[[#This Row],[Wine Spending ]])</f>
        <v>67</v>
      </c>
      <c r="Q1733">
        <v>1</v>
      </c>
      <c r="R1733">
        <v>2</v>
      </c>
      <c r="S1733">
        <v>0</v>
      </c>
      <c r="T1733">
        <v>3</v>
      </c>
      <c r="U1733">
        <f>SUM(Table1[[#This Row],[Store_Purchases]]+Table1[[#This Row],[Catalog_Purchases]]+Table1[[#This Row],[Web_Purchases]]+Table1[[#This Row],[Deal_Purchases]])</f>
        <v>6</v>
      </c>
      <c r="V1733">
        <v>7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f>SUM(Table1[[#This Row],[Accepted_Campaign_2]]+Table1[[#This Row],[Accepted_Campaign_1]]+Table1[[#This Row],[Accepted_Campaign_5]]+Table1[[#This Row],[Accepted_Campaign_4]]+Table1[[#This Row],[Accepted_Campaign_3]])</f>
        <v>0</v>
      </c>
      <c r="AC1733">
        <v>0</v>
      </c>
      <c r="AD1733">
        <v>0</v>
      </c>
    </row>
    <row r="1734" spans="1:30" x14ac:dyDescent="0.25">
      <c r="A1734">
        <v>41650</v>
      </c>
      <c r="B1734">
        <v>8789</v>
      </c>
      <c r="C1734">
        <v>1989</v>
      </c>
      <c r="D1734" t="s">
        <v>8</v>
      </c>
      <c r="E1734" t="s">
        <v>15</v>
      </c>
      <c r="F1734" t="s">
        <v>11</v>
      </c>
      <c r="G1734">
        <v>59060</v>
      </c>
      <c r="H1734">
        <v>1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f>SUM(Table1[[#This Row],[Gold Spending]]+Table1[[#This Row],[Sweet Spending]]+Table1[[#This Row],[Fish Spending]]+Table1[[#This Row],[Meat Spending]]+Table1[[#This Row],[Fruits Spending]]+Table1[[#This Row],[Wine Spending ]])</f>
        <v>274</v>
      </c>
      <c r="Q1734">
        <v>3</v>
      </c>
      <c r="R1734">
        <v>3</v>
      </c>
      <c r="S1734">
        <v>1</v>
      </c>
      <c r="T1734">
        <v>7</v>
      </c>
      <c r="U1734">
        <f>SUM(Table1[[#This Row],[Store_Purchases]]+Table1[[#This Row],[Catalog_Purchases]]+Table1[[#This Row],[Web_Purchases]]+Table1[[#This Row],[Deal_Purchases]])</f>
        <v>14</v>
      </c>
      <c r="V1734">
        <v>4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f>SUM(Table1[[#This Row],[Accepted_Campaign_2]]+Table1[[#This Row],[Accepted_Campaign_1]]+Table1[[#This Row],[Accepted_Campaign_5]]+Table1[[#This Row],[Accepted_Campaign_4]]+Table1[[#This Row],[Accepted_Campaign_3]])</f>
        <v>0</v>
      </c>
      <c r="AC1734">
        <v>0</v>
      </c>
      <c r="AD1734">
        <v>0</v>
      </c>
    </row>
    <row r="1735" spans="1:30" x14ac:dyDescent="0.25">
      <c r="A1735">
        <v>41610</v>
      </c>
      <c r="B1735">
        <v>10584</v>
      </c>
      <c r="C1735">
        <v>1976</v>
      </c>
      <c r="D1735" t="s">
        <v>8</v>
      </c>
      <c r="E1735" t="s">
        <v>6</v>
      </c>
      <c r="F1735" t="s">
        <v>11</v>
      </c>
      <c r="G1735">
        <v>65665</v>
      </c>
      <c r="H1735">
        <v>1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f>SUM(Table1[[#This Row],[Gold Spending]]+Table1[[#This Row],[Sweet Spending]]+Table1[[#This Row],[Fish Spending]]+Table1[[#This Row],[Meat Spending]]+Table1[[#This Row],[Fruits Spending]]+Table1[[#This Row],[Wine Spending ]])</f>
        <v>945</v>
      </c>
      <c r="Q1735">
        <v>1</v>
      </c>
      <c r="R1735">
        <v>5</v>
      </c>
      <c r="S1735">
        <v>10</v>
      </c>
      <c r="T1735">
        <v>8</v>
      </c>
      <c r="U1735">
        <f>SUM(Table1[[#This Row],[Store_Purchases]]+Table1[[#This Row],[Catalog_Purchases]]+Table1[[#This Row],[Web_Purchases]]+Table1[[#This Row],[Deal_Purchases]])</f>
        <v>24</v>
      </c>
      <c r="V1735">
        <v>3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f>SUM(Table1[[#This Row],[Accepted_Campaign_2]]+Table1[[#This Row],[Accepted_Campaign_1]]+Table1[[#This Row],[Accepted_Campaign_5]]+Table1[[#This Row],[Accepted_Campaign_4]]+Table1[[#This Row],[Accepted_Campaign_3]])</f>
        <v>0</v>
      </c>
      <c r="AC1735">
        <v>0</v>
      </c>
      <c r="AD1735">
        <v>0</v>
      </c>
    </row>
    <row r="1736" spans="1:30" x14ac:dyDescent="0.25">
      <c r="A1736">
        <v>41571</v>
      </c>
      <c r="B1736">
        <v>2337</v>
      </c>
      <c r="C1736">
        <v>1971</v>
      </c>
      <c r="D1736" t="s">
        <v>8</v>
      </c>
      <c r="E1736" t="s">
        <v>6</v>
      </c>
      <c r="F1736" t="s">
        <v>7</v>
      </c>
      <c r="G1736">
        <v>29819</v>
      </c>
      <c r="H1736">
        <v>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f>SUM(Table1[[#This Row],[Gold Spending]]+Table1[[#This Row],[Sweet Spending]]+Table1[[#This Row],[Fish Spending]]+Table1[[#This Row],[Meat Spending]]+Table1[[#This Row],[Fruits Spending]]+Table1[[#This Row],[Wine Spending ]])</f>
        <v>39</v>
      </c>
      <c r="Q1736">
        <v>3</v>
      </c>
      <c r="R1736">
        <v>3</v>
      </c>
      <c r="S1736">
        <v>0</v>
      </c>
      <c r="T1736">
        <v>3</v>
      </c>
      <c r="U1736">
        <f>SUM(Table1[[#This Row],[Store_Purchases]]+Table1[[#This Row],[Catalog_Purchases]]+Table1[[#This Row],[Web_Purchases]]+Table1[[#This Row],[Deal_Purchases]])</f>
        <v>9</v>
      </c>
      <c r="V1736">
        <v>6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f>SUM(Table1[[#This Row],[Accepted_Campaign_2]]+Table1[[#This Row],[Accepted_Campaign_1]]+Table1[[#This Row],[Accepted_Campaign_5]]+Table1[[#This Row],[Accepted_Campaign_4]]+Table1[[#This Row],[Accepted_Campaign_3]])</f>
        <v>0</v>
      </c>
      <c r="AC1736">
        <v>0</v>
      </c>
      <c r="AD1736">
        <v>0</v>
      </c>
    </row>
    <row r="1737" spans="1:30" x14ac:dyDescent="0.25">
      <c r="A1737">
        <v>41474</v>
      </c>
      <c r="B1737">
        <v>6071</v>
      </c>
      <c r="C1737">
        <v>1989</v>
      </c>
      <c r="D1737" t="s">
        <v>8</v>
      </c>
      <c r="E1737" t="s">
        <v>6</v>
      </c>
      <c r="F1737" t="s">
        <v>9</v>
      </c>
      <c r="G1737">
        <v>81217</v>
      </c>
      <c r="H1737">
        <v>0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f>SUM(Table1[[#This Row],[Gold Spending]]+Table1[[#This Row],[Sweet Spending]]+Table1[[#This Row],[Fish Spending]]+Table1[[#This Row],[Meat Spending]]+Table1[[#This Row],[Fruits Spending]]+Table1[[#This Row],[Wine Spending ]])</f>
        <v>1157</v>
      </c>
      <c r="Q1737">
        <v>1</v>
      </c>
      <c r="R1737">
        <v>3</v>
      </c>
      <c r="S1737">
        <v>7</v>
      </c>
      <c r="T1737">
        <v>11</v>
      </c>
      <c r="U1737">
        <f>SUM(Table1[[#This Row],[Store_Purchases]]+Table1[[#This Row],[Catalog_Purchases]]+Table1[[#This Row],[Web_Purchases]]+Table1[[#This Row],[Deal_Purchases]])</f>
        <v>22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f>SUM(Table1[[#This Row],[Accepted_Campaign_2]]+Table1[[#This Row],[Accepted_Campaign_1]]+Table1[[#This Row],[Accepted_Campaign_5]]+Table1[[#This Row],[Accepted_Campaign_4]]+Table1[[#This Row],[Accepted_Campaign_3]])</f>
        <v>0</v>
      </c>
      <c r="AC1737">
        <v>0</v>
      </c>
      <c r="AD1737">
        <v>0</v>
      </c>
    </row>
    <row r="1738" spans="1:30" x14ac:dyDescent="0.25">
      <c r="A1738">
        <v>41474</v>
      </c>
      <c r="B1738">
        <v>295</v>
      </c>
      <c r="C1738">
        <v>1989</v>
      </c>
      <c r="D1738" t="s">
        <v>8</v>
      </c>
      <c r="E1738" t="s">
        <v>6</v>
      </c>
      <c r="F1738" t="s">
        <v>9</v>
      </c>
      <c r="G1738">
        <v>81217</v>
      </c>
      <c r="H1738">
        <v>0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f>SUM(Table1[[#This Row],[Gold Spending]]+Table1[[#This Row],[Sweet Spending]]+Table1[[#This Row],[Fish Spending]]+Table1[[#This Row],[Meat Spending]]+Table1[[#This Row],[Fruits Spending]]+Table1[[#This Row],[Wine Spending ]])</f>
        <v>1157</v>
      </c>
      <c r="Q1738">
        <v>1</v>
      </c>
      <c r="R1738">
        <v>3</v>
      </c>
      <c r="S1738">
        <v>7</v>
      </c>
      <c r="T1738">
        <v>11</v>
      </c>
      <c r="U1738">
        <f>SUM(Table1[[#This Row],[Store_Purchases]]+Table1[[#This Row],[Catalog_Purchases]]+Table1[[#This Row],[Web_Purchases]]+Table1[[#This Row],[Deal_Purchases]])</f>
        <v>22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f>SUM(Table1[[#This Row],[Accepted_Campaign_2]]+Table1[[#This Row],[Accepted_Campaign_1]]+Table1[[#This Row],[Accepted_Campaign_5]]+Table1[[#This Row],[Accepted_Campaign_4]]+Table1[[#This Row],[Accepted_Campaign_3]])</f>
        <v>0</v>
      </c>
      <c r="AC1738">
        <v>0</v>
      </c>
      <c r="AD1738">
        <v>0</v>
      </c>
    </row>
    <row r="1739" spans="1:30" x14ac:dyDescent="0.25">
      <c r="A1739">
        <v>41455</v>
      </c>
      <c r="B1739">
        <v>10203</v>
      </c>
      <c r="C1739">
        <v>1990</v>
      </c>
      <c r="D1739" t="s">
        <v>8</v>
      </c>
      <c r="E1739" t="s">
        <v>6</v>
      </c>
      <c r="F1739" t="s">
        <v>9</v>
      </c>
      <c r="G1739">
        <v>26095</v>
      </c>
      <c r="H1739">
        <v>1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f>SUM(Table1[[#This Row],[Gold Spending]]+Table1[[#This Row],[Sweet Spending]]+Table1[[#This Row],[Fish Spending]]+Table1[[#This Row],[Meat Spending]]+Table1[[#This Row],[Fruits Spending]]+Table1[[#This Row],[Wine Spending ]])</f>
        <v>42</v>
      </c>
      <c r="Q1739">
        <v>1</v>
      </c>
      <c r="R1739">
        <v>1</v>
      </c>
      <c r="S1739">
        <v>0</v>
      </c>
      <c r="T1739">
        <v>3</v>
      </c>
      <c r="U1739">
        <f>SUM(Table1[[#This Row],[Store_Purchases]]+Table1[[#This Row],[Catalog_Purchases]]+Table1[[#This Row],[Web_Purchases]]+Table1[[#This Row],[Deal_Purchases]])</f>
        <v>5</v>
      </c>
      <c r="V1739">
        <v>7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f>SUM(Table1[[#This Row],[Accepted_Campaign_2]]+Table1[[#This Row],[Accepted_Campaign_1]]+Table1[[#This Row],[Accepted_Campaign_5]]+Table1[[#This Row],[Accepted_Campaign_4]]+Table1[[#This Row],[Accepted_Campaign_3]])</f>
        <v>0</v>
      </c>
      <c r="AC1739">
        <v>0</v>
      </c>
      <c r="AD1739">
        <v>0</v>
      </c>
    </row>
    <row r="1740" spans="1:30" x14ac:dyDescent="0.25">
      <c r="A1740">
        <v>41453</v>
      </c>
      <c r="B1740">
        <v>3968</v>
      </c>
      <c r="C1740">
        <v>1970</v>
      </c>
      <c r="D1740" t="s">
        <v>10</v>
      </c>
      <c r="E1740" t="s">
        <v>15</v>
      </c>
      <c r="F1740" t="s">
        <v>7</v>
      </c>
      <c r="G1740">
        <v>65706</v>
      </c>
      <c r="H1740">
        <v>0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f>SUM(Table1[[#This Row],[Gold Spending]]+Table1[[#This Row],[Sweet Spending]]+Table1[[#This Row],[Fish Spending]]+Table1[[#This Row],[Meat Spending]]+Table1[[#This Row],[Fruits Spending]]+Table1[[#This Row],[Wine Spending ]])</f>
        <v>1199</v>
      </c>
      <c r="Q1740">
        <v>1</v>
      </c>
      <c r="R1740">
        <v>11</v>
      </c>
      <c r="S1740">
        <v>3</v>
      </c>
      <c r="T1740">
        <v>12</v>
      </c>
      <c r="U1740">
        <f>SUM(Table1[[#This Row],[Store_Purchases]]+Table1[[#This Row],[Catalog_Purchases]]+Table1[[#This Row],[Web_Purchases]]+Table1[[#This Row],[Deal_Purchases]])</f>
        <v>27</v>
      </c>
      <c r="V1740">
        <v>7</v>
      </c>
      <c r="W1740">
        <v>0</v>
      </c>
      <c r="X1740">
        <v>1</v>
      </c>
      <c r="Y1740">
        <v>1</v>
      </c>
      <c r="Z1740">
        <v>0</v>
      </c>
      <c r="AA1740">
        <v>1</v>
      </c>
      <c r="AB1740">
        <f>SUM(Table1[[#This Row],[Accepted_Campaign_2]]+Table1[[#This Row],[Accepted_Campaign_1]]+Table1[[#This Row],[Accepted_Campaign_5]]+Table1[[#This Row],[Accepted_Campaign_4]]+Table1[[#This Row],[Accepted_Campaign_3]])</f>
        <v>3</v>
      </c>
      <c r="AC1740">
        <v>1</v>
      </c>
      <c r="AD1740">
        <v>0</v>
      </c>
    </row>
    <row r="1741" spans="1:30" x14ac:dyDescent="0.25">
      <c r="A1741">
        <v>41439</v>
      </c>
      <c r="B1741">
        <v>4037</v>
      </c>
      <c r="C1741">
        <v>1976</v>
      </c>
      <c r="D1741" t="s">
        <v>20</v>
      </c>
      <c r="E1741" t="s">
        <v>6</v>
      </c>
      <c r="F1741" t="s">
        <v>7</v>
      </c>
      <c r="G1741">
        <v>31859</v>
      </c>
      <c r="H1741">
        <v>1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f>SUM(Table1[[#This Row],[Gold Spending]]+Table1[[#This Row],[Sweet Spending]]+Table1[[#This Row],[Fish Spending]]+Table1[[#This Row],[Meat Spending]]+Table1[[#This Row],[Fruits Spending]]+Table1[[#This Row],[Wine Spending ]])</f>
        <v>20</v>
      </c>
      <c r="Q1741">
        <v>1</v>
      </c>
      <c r="R1741">
        <v>1</v>
      </c>
      <c r="S1741">
        <v>0</v>
      </c>
      <c r="T1741">
        <v>2</v>
      </c>
      <c r="U1741">
        <f>SUM(Table1[[#This Row],[Store_Purchases]]+Table1[[#This Row],[Catalog_Purchases]]+Table1[[#This Row],[Web_Purchases]]+Table1[[#This Row],[Deal_Purchases]])</f>
        <v>4</v>
      </c>
      <c r="V1741">
        <v>7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f>SUM(Table1[[#This Row],[Accepted_Campaign_2]]+Table1[[#This Row],[Accepted_Campaign_1]]+Table1[[#This Row],[Accepted_Campaign_5]]+Table1[[#This Row],[Accepted_Campaign_4]]+Table1[[#This Row],[Accepted_Campaign_3]])</f>
        <v>0</v>
      </c>
      <c r="AC1741">
        <v>0</v>
      </c>
      <c r="AD1741">
        <v>0</v>
      </c>
    </row>
    <row r="1742" spans="1:30" x14ac:dyDescent="0.25">
      <c r="A1742">
        <v>41377</v>
      </c>
      <c r="B1742">
        <v>6932</v>
      </c>
      <c r="C1742">
        <v>1941</v>
      </c>
      <c r="D1742" t="s">
        <v>8</v>
      </c>
      <c r="E1742" t="s">
        <v>14</v>
      </c>
      <c r="F1742" t="s">
        <v>11</v>
      </c>
      <c r="G1742">
        <v>93027</v>
      </c>
      <c r="H1742">
        <v>0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f>SUM(Table1[[#This Row],[Gold Spending]]+Table1[[#This Row],[Sweet Spending]]+Table1[[#This Row],[Fish Spending]]+Table1[[#This Row],[Meat Spending]]+Table1[[#This Row],[Fruits Spending]]+Table1[[#This Row],[Wine Spending ]])</f>
        <v>2119</v>
      </c>
      <c r="Q1742">
        <v>0</v>
      </c>
      <c r="R1742">
        <v>7</v>
      </c>
      <c r="S1742">
        <v>10</v>
      </c>
      <c r="T1742">
        <v>5</v>
      </c>
      <c r="U1742">
        <f>SUM(Table1[[#This Row],[Store_Purchases]]+Table1[[#This Row],[Catalog_Purchases]]+Table1[[#This Row],[Web_Purchases]]+Table1[[#This Row],[Deal_Purchases]])</f>
        <v>22</v>
      </c>
      <c r="V1742">
        <v>2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f>SUM(Table1[[#This Row],[Accepted_Campaign_2]]+Table1[[#This Row],[Accepted_Campaign_1]]+Table1[[#This Row],[Accepted_Campaign_5]]+Table1[[#This Row],[Accepted_Campaign_4]]+Table1[[#This Row],[Accepted_Campaign_3]])</f>
        <v>1</v>
      </c>
      <c r="AC1742">
        <v>0</v>
      </c>
      <c r="AD1742">
        <v>0</v>
      </c>
    </row>
    <row r="1743" spans="1:30" x14ac:dyDescent="0.25">
      <c r="A1743">
        <v>41364</v>
      </c>
      <c r="B1743">
        <v>10159</v>
      </c>
      <c r="C1743">
        <v>1970</v>
      </c>
      <c r="D1743" t="s">
        <v>13</v>
      </c>
      <c r="E1743" t="s">
        <v>6</v>
      </c>
      <c r="F1743" t="s">
        <v>7</v>
      </c>
      <c r="G1743">
        <v>58710</v>
      </c>
      <c r="H1743">
        <v>1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f>SUM(Table1[[#This Row],[Gold Spending]]+Table1[[#This Row],[Sweet Spending]]+Table1[[#This Row],[Fish Spending]]+Table1[[#This Row],[Meat Spending]]+Table1[[#This Row],[Fruits Spending]]+Table1[[#This Row],[Wine Spending ]])</f>
        <v>1185</v>
      </c>
      <c r="Q1743">
        <v>6</v>
      </c>
      <c r="R1743">
        <v>11</v>
      </c>
      <c r="S1743">
        <v>5</v>
      </c>
      <c r="T1743">
        <v>9</v>
      </c>
      <c r="U1743">
        <f>SUM(Table1[[#This Row],[Store_Purchases]]+Table1[[#This Row],[Catalog_Purchases]]+Table1[[#This Row],[Web_Purchases]]+Table1[[#This Row],[Deal_Purchases]])</f>
        <v>31</v>
      </c>
      <c r="V1743">
        <v>6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f>SUM(Table1[[#This Row],[Accepted_Campaign_2]]+Table1[[#This Row],[Accepted_Campaign_1]]+Table1[[#This Row],[Accepted_Campaign_5]]+Table1[[#This Row],[Accepted_Campaign_4]]+Table1[[#This Row],[Accepted_Campaign_3]])</f>
        <v>0</v>
      </c>
      <c r="AC1743">
        <v>0</v>
      </c>
      <c r="AD1743">
        <v>0</v>
      </c>
    </row>
    <row r="1744" spans="1:30" x14ac:dyDescent="0.25">
      <c r="A1744">
        <v>41300</v>
      </c>
      <c r="B1744">
        <v>1177</v>
      </c>
      <c r="C1744">
        <v>1966</v>
      </c>
      <c r="D1744" t="s">
        <v>8</v>
      </c>
      <c r="E1744" t="s">
        <v>18</v>
      </c>
      <c r="F1744" t="s">
        <v>12</v>
      </c>
      <c r="G1744">
        <v>49618</v>
      </c>
      <c r="H1744">
        <v>2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f>SUM(Table1[[#This Row],[Gold Spending]]+Table1[[#This Row],[Sweet Spending]]+Table1[[#This Row],[Fish Spending]]+Table1[[#This Row],[Meat Spending]]+Table1[[#This Row],[Fruits Spending]]+Table1[[#This Row],[Wine Spending ]])</f>
        <v>129</v>
      </c>
      <c r="Q1744">
        <v>4</v>
      </c>
      <c r="R1744">
        <v>3</v>
      </c>
      <c r="S1744">
        <v>1</v>
      </c>
      <c r="T1744">
        <v>3</v>
      </c>
      <c r="U1744">
        <f>SUM(Table1[[#This Row],[Store_Purchases]]+Table1[[#This Row],[Catalog_Purchases]]+Table1[[#This Row],[Web_Purchases]]+Table1[[#This Row],[Deal_Purchases]])</f>
        <v>11</v>
      </c>
      <c r="V1744">
        <v>7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f>SUM(Table1[[#This Row],[Accepted_Campaign_2]]+Table1[[#This Row],[Accepted_Campaign_1]]+Table1[[#This Row],[Accepted_Campaign_5]]+Table1[[#This Row],[Accepted_Campaign_4]]+Table1[[#This Row],[Accepted_Campaign_3]])</f>
        <v>0</v>
      </c>
      <c r="AC1744">
        <v>0</v>
      </c>
      <c r="AD1744">
        <v>0</v>
      </c>
    </row>
    <row r="1745" spans="1:30" x14ac:dyDescent="0.25">
      <c r="A1745">
        <v>41286</v>
      </c>
      <c r="B1745">
        <v>9426</v>
      </c>
      <c r="C1745">
        <v>1964</v>
      </c>
      <c r="D1745" t="s">
        <v>8</v>
      </c>
      <c r="E1745" t="s">
        <v>18</v>
      </c>
      <c r="F1745" t="s">
        <v>9</v>
      </c>
      <c r="G1745">
        <v>58308</v>
      </c>
      <c r="H1745">
        <v>1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f>SUM(Table1[[#This Row],[Gold Spending]]+Table1[[#This Row],[Sweet Spending]]+Table1[[#This Row],[Fish Spending]]+Table1[[#This Row],[Meat Spending]]+Table1[[#This Row],[Fruits Spending]]+Table1[[#This Row],[Wine Spending ]])</f>
        <v>900</v>
      </c>
      <c r="Q1745">
        <v>4</v>
      </c>
      <c r="R1745">
        <v>2</v>
      </c>
      <c r="S1745">
        <v>6</v>
      </c>
      <c r="T1745">
        <v>3</v>
      </c>
      <c r="U1745">
        <f>SUM(Table1[[#This Row],[Store_Purchases]]+Table1[[#This Row],[Catalog_Purchases]]+Table1[[#This Row],[Web_Purchases]]+Table1[[#This Row],[Deal_Purchases]])</f>
        <v>15</v>
      </c>
      <c r="V1745">
        <v>8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f>SUM(Table1[[#This Row],[Accepted_Campaign_2]]+Table1[[#This Row],[Accepted_Campaign_1]]+Table1[[#This Row],[Accepted_Campaign_5]]+Table1[[#This Row],[Accepted_Campaign_4]]+Table1[[#This Row],[Accepted_Campaign_3]])</f>
        <v>0</v>
      </c>
      <c r="AC1745">
        <v>0</v>
      </c>
      <c r="AD1745">
        <v>0</v>
      </c>
    </row>
    <row r="1746" spans="1:30" x14ac:dyDescent="0.25">
      <c r="A1746">
        <v>41275</v>
      </c>
      <c r="B1746">
        <v>10637</v>
      </c>
      <c r="C1746">
        <v>1964</v>
      </c>
      <c r="D1746" t="s">
        <v>8</v>
      </c>
      <c r="E1746" t="s">
        <v>6</v>
      </c>
      <c r="F1746" t="s">
        <v>11</v>
      </c>
      <c r="G1746">
        <v>40800</v>
      </c>
      <c r="H1746">
        <v>3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f>SUM(Table1[[#This Row],[Gold Spending]]+Table1[[#This Row],[Sweet Spending]]+Table1[[#This Row],[Fish Spending]]+Table1[[#This Row],[Meat Spending]]+Table1[[#This Row],[Fruits Spending]]+Table1[[#This Row],[Wine Spending ]])</f>
        <v>99</v>
      </c>
      <c r="Q1746">
        <v>2</v>
      </c>
      <c r="R1746">
        <v>3</v>
      </c>
      <c r="S1746">
        <v>0</v>
      </c>
      <c r="T1746">
        <v>3</v>
      </c>
      <c r="U1746">
        <f>SUM(Table1[[#This Row],[Store_Purchases]]+Table1[[#This Row],[Catalog_Purchases]]+Table1[[#This Row],[Web_Purchases]]+Table1[[#This Row],[Deal_Purchases]])</f>
        <v>8</v>
      </c>
      <c r="V1746">
        <v>7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f>SUM(Table1[[#This Row],[Accepted_Campaign_2]]+Table1[[#This Row],[Accepted_Campaign_1]]+Table1[[#This Row],[Accepted_Campaign_5]]+Table1[[#This Row],[Accepted_Campaign_4]]+Table1[[#This Row],[Accepted_Campaign_3]])</f>
        <v>0</v>
      </c>
      <c r="AC1746">
        <v>0</v>
      </c>
      <c r="AD1746">
        <v>1</v>
      </c>
    </row>
    <row r="1747" spans="1:30" x14ac:dyDescent="0.25">
      <c r="A1747">
        <v>41271</v>
      </c>
      <c r="B1747">
        <v>10826</v>
      </c>
      <c r="C1747">
        <v>1959</v>
      </c>
      <c r="D1747" t="s">
        <v>8</v>
      </c>
      <c r="E1747" t="s">
        <v>6</v>
      </c>
      <c r="F1747" t="s">
        <v>11</v>
      </c>
      <c r="G1747">
        <v>18690</v>
      </c>
      <c r="H1747">
        <v>0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f>SUM(Table1[[#This Row],[Gold Spending]]+Table1[[#This Row],[Sweet Spending]]+Table1[[#This Row],[Fish Spending]]+Table1[[#This Row],[Meat Spending]]+Table1[[#This Row],[Fruits Spending]]+Table1[[#This Row],[Wine Spending ]])</f>
        <v>60</v>
      </c>
      <c r="Q1747">
        <v>1</v>
      </c>
      <c r="R1747">
        <v>1</v>
      </c>
      <c r="S1747">
        <v>1</v>
      </c>
      <c r="T1747">
        <v>2</v>
      </c>
      <c r="U1747">
        <f>SUM(Table1[[#This Row],[Store_Purchases]]+Table1[[#This Row],[Catalog_Purchases]]+Table1[[#This Row],[Web_Purchases]]+Table1[[#This Row],[Deal_Purchases]])</f>
        <v>5</v>
      </c>
      <c r="V1747">
        <v>8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f>SUM(Table1[[#This Row],[Accepted_Campaign_2]]+Table1[[#This Row],[Accepted_Campaign_1]]+Table1[[#This Row],[Accepted_Campaign_5]]+Table1[[#This Row],[Accepted_Campaign_4]]+Table1[[#This Row],[Accepted_Campaign_3]])</f>
        <v>0</v>
      </c>
      <c r="AC1747">
        <v>0</v>
      </c>
      <c r="AD1747">
        <v>0</v>
      </c>
    </row>
    <row r="1748" spans="1:30" x14ac:dyDescent="0.25">
      <c r="A1748">
        <v>41271</v>
      </c>
      <c r="B1748">
        <v>4086</v>
      </c>
      <c r="C1748">
        <v>1959</v>
      </c>
      <c r="D1748" t="s">
        <v>16</v>
      </c>
      <c r="E1748" t="s">
        <v>6</v>
      </c>
      <c r="F1748" t="s">
        <v>11</v>
      </c>
      <c r="G1748">
        <v>18690</v>
      </c>
      <c r="H1748">
        <v>0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f>SUM(Table1[[#This Row],[Gold Spending]]+Table1[[#This Row],[Sweet Spending]]+Table1[[#This Row],[Fish Spending]]+Table1[[#This Row],[Meat Spending]]+Table1[[#This Row],[Fruits Spending]]+Table1[[#This Row],[Wine Spending ]])</f>
        <v>60</v>
      </c>
      <c r="Q1748">
        <v>1</v>
      </c>
      <c r="R1748">
        <v>1</v>
      </c>
      <c r="S1748">
        <v>1</v>
      </c>
      <c r="T1748">
        <v>2</v>
      </c>
      <c r="U1748">
        <f>SUM(Table1[[#This Row],[Store_Purchases]]+Table1[[#This Row],[Catalog_Purchases]]+Table1[[#This Row],[Web_Purchases]]+Table1[[#This Row],[Deal_Purchases]])</f>
        <v>5</v>
      </c>
      <c r="V1748">
        <v>8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f>SUM(Table1[[#This Row],[Accepted_Campaign_2]]+Table1[[#This Row],[Accepted_Campaign_1]]+Table1[[#This Row],[Accepted_Campaign_5]]+Table1[[#This Row],[Accepted_Campaign_4]]+Table1[[#This Row],[Accepted_Campaign_3]])</f>
        <v>0</v>
      </c>
      <c r="AC1748">
        <v>0</v>
      </c>
      <c r="AD1748">
        <v>0</v>
      </c>
    </row>
    <row r="1749" spans="1:30" x14ac:dyDescent="0.25">
      <c r="A1749">
        <v>41271</v>
      </c>
      <c r="B1749">
        <v>10304</v>
      </c>
      <c r="C1749">
        <v>1959</v>
      </c>
      <c r="D1749" t="s">
        <v>8</v>
      </c>
      <c r="E1749" t="s">
        <v>6</v>
      </c>
      <c r="F1749" t="s">
        <v>11</v>
      </c>
      <c r="G1749">
        <v>18690</v>
      </c>
      <c r="H1749">
        <v>0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f>SUM(Table1[[#This Row],[Gold Spending]]+Table1[[#This Row],[Sweet Spending]]+Table1[[#This Row],[Fish Spending]]+Table1[[#This Row],[Meat Spending]]+Table1[[#This Row],[Fruits Spending]]+Table1[[#This Row],[Wine Spending ]])</f>
        <v>60</v>
      </c>
      <c r="Q1749">
        <v>1</v>
      </c>
      <c r="R1749">
        <v>1</v>
      </c>
      <c r="S1749">
        <v>1</v>
      </c>
      <c r="T1749">
        <v>2</v>
      </c>
      <c r="U1749">
        <f>SUM(Table1[[#This Row],[Store_Purchases]]+Table1[[#This Row],[Catalog_Purchases]]+Table1[[#This Row],[Web_Purchases]]+Table1[[#This Row],[Deal_Purchases]])</f>
        <v>5</v>
      </c>
      <c r="V1749">
        <v>8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f>SUM(Table1[[#This Row],[Accepted_Campaign_2]]+Table1[[#This Row],[Accepted_Campaign_1]]+Table1[[#This Row],[Accepted_Campaign_5]]+Table1[[#This Row],[Accepted_Campaign_4]]+Table1[[#This Row],[Accepted_Campaign_3]])</f>
        <v>0</v>
      </c>
      <c r="AC1749">
        <v>0</v>
      </c>
      <c r="AD1749">
        <v>0</v>
      </c>
    </row>
    <row r="1750" spans="1:30" x14ac:dyDescent="0.25">
      <c r="A1750">
        <v>41254</v>
      </c>
      <c r="B1750">
        <v>7998</v>
      </c>
      <c r="C1750">
        <v>1958</v>
      </c>
      <c r="D1750" t="s">
        <v>17</v>
      </c>
      <c r="E1750" t="s">
        <v>6</v>
      </c>
      <c r="F1750" t="s">
        <v>12</v>
      </c>
      <c r="G1750">
        <v>28087</v>
      </c>
      <c r="H1750">
        <v>2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f>SUM(Table1[[#This Row],[Gold Spending]]+Table1[[#This Row],[Sweet Spending]]+Table1[[#This Row],[Fish Spending]]+Table1[[#This Row],[Meat Spending]]+Table1[[#This Row],[Fruits Spending]]+Table1[[#This Row],[Wine Spending ]])</f>
        <v>112</v>
      </c>
      <c r="Q1750">
        <v>3</v>
      </c>
      <c r="R1750">
        <v>2</v>
      </c>
      <c r="S1750">
        <v>2</v>
      </c>
      <c r="T1750">
        <v>2</v>
      </c>
      <c r="U1750">
        <f>SUM(Table1[[#This Row],[Store_Purchases]]+Table1[[#This Row],[Catalog_Purchases]]+Table1[[#This Row],[Web_Purchases]]+Table1[[#This Row],[Deal_Purchases]])</f>
        <v>9</v>
      </c>
      <c r="V1750">
        <v>7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f>SUM(Table1[[#This Row],[Accepted_Campaign_2]]+Table1[[#This Row],[Accepted_Campaign_1]]+Table1[[#This Row],[Accepted_Campaign_5]]+Table1[[#This Row],[Accepted_Campaign_4]]+Table1[[#This Row],[Accepted_Campaign_3]])</f>
        <v>0</v>
      </c>
      <c r="AC1750">
        <v>0</v>
      </c>
      <c r="AD1750">
        <v>0</v>
      </c>
    </row>
    <row r="1751" spans="1:30" x14ac:dyDescent="0.25">
      <c r="A1751">
        <v>41150</v>
      </c>
      <c r="B1751">
        <v>10992</v>
      </c>
      <c r="C1751">
        <v>1967</v>
      </c>
      <c r="D1751" t="s">
        <v>20</v>
      </c>
      <c r="E1751" t="s">
        <v>6</v>
      </c>
      <c r="F1751" t="s">
        <v>12</v>
      </c>
      <c r="G1751">
        <v>75702</v>
      </c>
      <c r="H1751">
        <v>2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f>SUM(Table1[[#This Row],[Gold Spending]]+Table1[[#This Row],[Sweet Spending]]+Table1[[#This Row],[Fish Spending]]+Table1[[#This Row],[Meat Spending]]+Table1[[#This Row],[Fruits Spending]]+Table1[[#This Row],[Wine Spending ]])</f>
        <v>1148</v>
      </c>
      <c r="Q1751">
        <v>5</v>
      </c>
      <c r="R1751">
        <v>4</v>
      </c>
      <c r="S1751">
        <v>6</v>
      </c>
      <c r="T1751">
        <v>11</v>
      </c>
      <c r="U1751">
        <f>SUM(Table1[[#This Row],[Store_Purchases]]+Table1[[#This Row],[Catalog_Purchases]]+Table1[[#This Row],[Web_Purchases]]+Table1[[#This Row],[Deal_Purchases]])</f>
        <v>26</v>
      </c>
      <c r="V1751">
        <v>8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f>SUM(Table1[[#This Row],[Accepted_Campaign_2]]+Table1[[#This Row],[Accepted_Campaign_1]]+Table1[[#This Row],[Accepted_Campaign_5]]+Table1[[#This Row],[Accepted_Campaign_4]]+Table1[[#This Row],[Accepted_Campaign_3]])</f>
        <v>0</v>
      </c>
      <c r="AC1751">
        <v>0</v>
      </c>
      <c r="AD1751">
        <v>0</v>
      </c>
    </row>
    <row r="1752" spans="1:30" x14ac:dyDescent="0.25">
      <c r="A1752">
        <v>41784</v>
      </c>
      <c r="B1752">
        <v>6383</v>
      </c>
      <c r="C1752">
        <v>1971</v>
      </c>
      <c r="D1752" t="s">
        <v>20</v>
      </c>
      <c r="E1752" t="s">
        <v>14</v>
      </c>
      <c r="F1752" t="s">
        <v>12</v>
      </c>
      <c r="G1752">
        <v>32892</v>
      </c>
      <c r="H1752">
        <v>1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1752">
        <v>2</v>
      </c>
      <c r="R1752">
        <v>3</v>
      </c>
      <c r="S1752">
        <v>0</v>
      </c>
      <c r="T1752">
        <v>3</v>
      </c>
      <c r="U1752">
        <f>SUM(Table1[[#This Row],[Store_Purchases]]+Table1[[#This Row],[Catalog_Purchases]]+Table1[[#This Row],[Web_Purchases]]+Table1[[#This Row],[Deal_Purchases]])</f>
        <v>8</v>
      </c>
      <c r="V1752">
        <v>8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f>SUM(Table1[[#This Row],[Accepted_Campaign_2]]+Table1[[#This Row],[Accepted_Campaign_1]]+Table1[[#This Row],[Accepted_Campaign_5]]+Table1[[#This Row],[Accepted_Campaign_4]]+Table1[[#This Row],[Accepted_Campaign_3]])</f>
        <v>0</v>
      </c>
      <c r="AC1752">
        <v>0</v>
      </c>
      <c r="AD1752">
        <v>0</v>
      </c>
    </row>
    <row r="1753" spans="1:30" x14ac:dyDescent="0.25">
      <c r="A1753">
        <v>41784</v>
      </c>
      <c r="B1753">
        <v>10536</v>
      </c>
      <c r="C1753">
        <v>1971</v>
      </c>
      <c r="D1753" t="s">
        <v>8</v>
      </c>
      <c r="E1753" t="s">
        <v>14</v>
      </c>
      <c r="F1753" t="s">
        <v>12</v>
      </c>
      <c r="G1753">
        <v>32892</v>
      </c>
      <c r="H1753">
        <v>1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f>SUM(Table1[[#This Row],[Gold Spending]]+Table1[[#This Row],[Sweet Spending]]+Table1[[#This Row],[Fish Spending]]+Table1[[#This Row],[Meat Spending]]+Table1[[#This Row],[Fruits Spending]]+Table1[[#This Row],[Wine Spending ]])</f>
        <v>46</v>
      </c>
      <c r="Q1753">
        <v>2</v>
      </c>
      <c r="R1753">
        <v>3</v>
      </c>
      <c r="S1753">
        <v>0</v>
      </c>
      <c r="T1753">
        <v>3</v>
      </c>
      <c r="U1753">
        <f>SUM(Table1[[#This Row],[Store_Purchases]]+Table1[[#This Row],[Catalog_Purchases]]+Table1[[#This Row],[Web_Purchases]]+Table1[[#This Row],[Deal_Purchases]])</f>
        <v>8</v>
      </c>
      <c r="V1753">
        <v>8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f>SUM(Table1[[#This Row],[Accepted_Campaign_2]]+Table1[[#This Row],[Accepted_Campaign_1]]+Table1[[#This Row],[Accepted_Campaign_5]]+Table1[[#This Row],[Accepted_Campaign_4]]+Table1[[#This Row],[Accepted_Campaign_3]])</f>
        <v>0</v>
      </c>
      <c r="AC1753">
        <v>0</v>
      </c>
      <c r="AD1753">
        <v>0</v>
      </c>
    </row>
    <row r="1754" spans="1:30" x14ac:dyDescent="0.25">
      <c r="A1754">
        <v>41715</v>
      </c>
      <c r="B1754">
        <v>6036</v>
      </c>
      <c r="C1754">
        <v>1959</v>
      </c>
      <c r="D1754" t="s">
        <v>8</v>
      </c>
      <c r="E1754" t="s">
        <v>18</v>
      </c>
      <c r="F1754" t="s">
        <v>12</v>
      </c>
      <c r="G1754">
        <v>89120</v>
      </c>
      <c r="H1754">
        <v>0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f>SUM(Table1[[#This Row],[Gold Spending]]+Table1[[#This Row],[Sweet Spending]]+Table1[[#This Row],[Fish Spending]]+Table1[[#This Row],[Meat Spending]]+Table1[[#This Row],[Fruits Spending]]+Table1[[#This Row],[Wine Spending ]])</f>
        <v>1924</v>
      </c>
      <c r="Q1754">
        <v>1</v>
      </c>
      <c r="R1754">
        <v>5</v>
      </c>
      <c r="S1754">
        <v>6</v>
      </c>
      <c r="T1754">
        <v>7</v>
      </c>
      <c r="U1754">
        <f>SUM(Table1[[#This Row],[Store_Purchases]]+Table1[[#This Row],[Catalog_Purchases]]+Table1[[#This Row],[Web_Purchases]]+Table1[[#This Row],[Deal_Purchases]])</f>
        <v>19</v>
      </c>
      <c r="V1754">
        <v>1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f>SUM(Table1[[#This Row],[Accepted_Campaign_2]]+Table1[[#This Row],[Accepted_Campaign_1]]+Table1[[#This Row],[Accepted_Campaign_5]]+Table1[[#This Row],[Accepted_Campaign_4]]+Table1[[#This Row],[Accepted_Campaign_3]])</f>
        <v>1</v>
      </c>
      <c r="AC1754">
        <v>0</v>
      </c>
      <c r="AD1754">
        <v>0</v>
      </c>
    </row>
    <row r="1755" spans="1:30" x14ac:dyDescent="0.25">
      <c r="A1755">
        <v>41700</v>
      </c>
      <c r="B1755">
        <v>11092</v>
      </c>
      <c r="C1755">
        <v>1961</v>
      </c>
      <c r="D1755" t="s">
        <v>20</v>
      </c>
      <c r="E1755" t="s">
        <v>6</v>
      </c>
      <c r="F1755" t="s">
        <v>11</v>
      </c>
      <c r="G1755">
        <v>27116</v>
      </c>
      <c r="H1755">
        <v>2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f>SUM(Table1[[#This Row],[Gold Spending]]+Table1[[#This Row],[Sweet Spending]]+Table1[[#This Row],[Fish Spending]]+Table1[[#This Row],[Meat Spending]]+Table1[[#This Row],[Fruits Spending]]+Table1[[#This Row],[Wine Spending ]])</f>
        <v>41</v>
      </c>
      <c r="Q1755">
        <v>2</v>
      </c>
      <c r="R1755">
        <v>2</v>
      </c>
      <c r="S1755">
        <v>0</v>
      </c>
      <c r="T1755">
        <v>3</v>
      </c>
      <c r="U1755">
        <f>SUM(Table1[[#This Row],[Store_Purchases]]+Table1[[#This Row],[Catalog_Purchases]]+Table1[[#This Row],[Web_Purchases]]+Table1[[#This Row],[Deal_Purchases]])</f>
        <v>7</v>
      </c>
      <c r="V1755">
        <v>7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f>SUM(Table1[[#This Row],[Accepted_Campaign_2]]+Table1[[#This Row],[Accepted_Campaign_1]]+Table1[[#This Row],[Accepted_Campaign_5]]+Table1[[#This Row],[Accepted_Campaign_4]]+Table1[[#This Row],[Accepted_Campaign_3]])</f>
        <v>0</v>
      </c>
      <c r="AC1755">
        <v>0</v>
      </c>
      <c r="AD1755">
        <v>0</v>
      </c>
    </row>
    <row r="1756" spans="1:30" x14ac:dyDescent="0.25">
      <c r="A1756">
        <v>41680</v>
      </c>
      <c r="B1756">
        <v>538</v>
      </c>
      <c r="C1756">
        <v>1989</v>
      </c>
      <c r="D1756" t="s">
        <v>20</v>
      </c>
      <c r="E1756" t="s">
        <v>6</v>
      </c>
      <c r="F1756" t="s">
        <v>9</v>
      </c>
      <c r="G1756">
        <v>46107</v>
      </c>
      <c r="H1756">
        <v>1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f>SUM(Table1[[#This Row],[Gold Spending]]+Table1[[#This Row],[Sweet Spending]]+Table1[[#This Row],[Fish Spending]]+Table1[[#This Row],[Meat Spending]]+Table1[[#This Row],[Fruits Spending]]+Table1[[#This Row],[Wine Spending ]])</f>
        <v>125</v>
      </c>
      <c r="Q1756">
        <v>1</v>
      </c>
      <c r="R1756">
        <v>1</v>
      </c>
      <c r="S1756">
        <v>1</v>
      </c>
      <c r="T1756">
        <v>4</v>
      </c>
      <c r="U1756">
        <f>SUM(Table1[[#This Row],[Store_Purchases]]+Table1[[#This Row],[Catalog_Purchases]]+Table1[[#This Row],[Web_Purchases]]+Table1[[#This Row],[Deal_Purchases]])</f>
        <v>7</v>
      </c>
      <c r="V1756">
        <v>3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f>SUM(Table1[[#This Row],[Accepted_Campaign_2]]+Table1[[#This Row],[Accepted_Campaign_1]]+Table1[[#This Row],[Accepted_Campaign_5]]+Table1[[#This Row],[Accepted_Campaign_4]]+Table1[[#This Row],[Accepted_Campaign_3]])</f>
        <v>0</v>
      </c>
      <c r="AC1756">
        <v>0</v>
      </c>
      <c r="AD1756">
        <v>0</v>
      </c>
    </row>
    <row r="1757" spans="1:30" x14ac:dyDescent="0.25">
      <c r="A1757">
        <v>41679</v>
      </c>
      <c r="B1757">
        <v>10022</v>
      </c>
      <c r="C1757">
        <v>1973</v>
      </c>
      <c r="D1757" t="s">
        <v>8</v>
      </c>
      <c r="E1757" t="s">
        <v>14</v>
      </c>
      <c r="F1757" t="s">
        <v>9</v>
      </c>
      <c r="G1757">
        <v>54466</v>
      </c>
      <c r="H1757">
        <v>2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f>SUM(Table1[[#This Row],[Gold Spending]]+Table1[[#This Row],[Sweet Spending]]+Table1[[#This Row],[Fish Spending]]+Table1[[#This Row],[Meat Spending]]+Table1[[#This Row],[Fruits Spending]]+Table1[[#This Row],[Wine Spending ]])</f>
        <v>16</v>
      </c>
      <c r="Q1757">
        <v>1</v>
      </c>
      <c r="R1757">
        <v>1</v>
      </c>
      <c r="S1757">
        <v>0</v>
      </c>
      <c r="T1757">
        <v>2</v>
      </c>
      <c r="U1757">
        <f>SUM(Table1[[#This Row],[Store_Purchases]]+Table1[[#This Row],[Catalog_Purchases]]+Table1[[#This Row],[Web_Purchases]]+Table1[[#This Row],[Deal_Purchases]])</f>
        <v>4</v>
      </c>
      <c r="V1757">
        <v>5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f>SUM(Table1[[#This Row],[Accepted_Campaign_2]]+Table1[[#This Row],[Accepted_Campaign_1]]+Table1[[#This Row],[Accepted_Campaign_5]]+Table1[[#This Row],[Accepted_Campaign_4]]+Table1[[#This Row],[Accepted_Campaign_3]])</f>
        <v>0</v>
      </c>
      <c r="AC1757">
        <v>0</v>
      </c>
      <c r="AD1757">
        <v>0</v>
      </c>
    </row>
    <row r="1758" spans="1:30" x14ac:dyDescent="0.25">
      <c r="A1758">
        <v>41664</v>
      </c>
      <c r="B1758">
        <v>10157</v>
      </c>
      <c r="C1758">
        <v>1965</v>
      </c>
      <c r="D1758" t="s">
        <v>10</v>
      </c>
      <c r="E1758" t="s">
        <v>6</v>
      </c>
      <c r="F1758" t="s">
        <v>9</v>
      </c>
      <c r="G1758">
        <v>59686</v>
      </c>
      <c r="H1758">
        <v>1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f>SUM(Table1[[#This Row],[Gold Spending]]+Table1[[#This Row],[Sweet Spending]]+Table1[[#This Row],[Fish Spending]]+Table1[[#This Row],[Meat Spending]]+Table1[[#This Row],[Fruits Spending]]+Table1[[#This Row],[Wine Spending ]])</f>
        <v>274</v>
      </c>
      <c r="Q1758">
        <v>1</v>
      </c>
      <c r="R1758">
        <v>4</v>
      </c>
      <c r="S1758">
        <v>1</v>
      </c>
      <c r="T1758">
        <v>6</v>
      </c>
      <c r="U1758">
        <f>SUM(Table1[[#This Row],[Store_Purchases]]+Table1[[#This Row],[Catalog_Purchases]]+Table1[[#This Row],[Web_Purchases]]+Table1[[#This Row],[Deal_Purchases]])</f>
        <v>12</v>
      </c>
      <c r="V1758">
        <v>4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f>SUM(Table1[[#This Row],[Accepted_Campaign_2]]+Table1[[#This Row],[Accepted_Campaign_1]]+Table1[[#This Row],[Accepted_Campaign_5]]+Table1[[#This Row],[Accepted_Campaign_4]]+Table1[[#This Row],[Accepted_Campaign_3]])</f>
        <v>0</v>
      </c>
      <c r="AC1758">
        <v>0</v>
      </c>
      <c r="AD1758">
        <v>0</v>
      </c>
    </row>
    <row r="1759" spans="1:30" x14ac:dyDescent="0.25">
      <c r="A1759">
        <v>41610</v>
      </c>
      <c r="B1759">
        <v>3503</v>
      </c>
      <c r="C1759">
        <v>1950</v>
      </c>
      <c r="D1759" t="s">
        <v>20</v>
      </c>
      <c r="E1759" t="s">
        <v>6</v>
      </c>
      <c r="F1759" t="s">
        <v>7</v>
      </c>
      <c r="G1759">
        <v>82460</v>
      </c>
      <c r="H1759">
        <v>0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f>SUM(Table1[[#This Row],[Gold Spending]]+Table1[[#This Row],[Sweet Spending]]+Table1[[#This Row],[Fish Spending]]+Table1[[#This Row],[Meat Spending]]+Table1[[#This Row],[Fruits Spending]]+Table1[[#This Row],[Wine Spending ]])</f>
        <v>974</v>
      </c>
      <c r="Q1759">
        <v>1</v>
      </c>
      <c r="R1759">
        <v>5</v>
      </c>
      <c r="S1759">
        <v>3</v>
      </c>
      <c r="T1759">
        <v>6</v>
      </c>
      <c r="U1759">
        <f>SUM(Table1[[#This Row],[Store_Purchases]]+Table1[[#This Row],[Catalog_Purchases]]+Table1[[#This Row],[Web_Purchases]]+Table1[[#This Row],[Deal_Purchases]])</f>
        <v>15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f>SUM(Table1[[#This Row],[Accepted_Campaign_2]]+Table1[[#This Row],[Accepted_Campaign_1]]+Table1[[#This Row],[Accepted_Campaign_5]]+Table1[[#This Row],[Accepted_Campaign_4]]+Table1[[#This Row],[Accepted_Campaign_3]])</f>
        <v>0</v>
      </c>
      <c r="AC1759">
        <v>0</v>
      </c>
      <c r="AD1759">
        <v>0</v>
      </c>
    </row>
    <row r="1760" spans="1:30" x14ac:dyDescent="0.25">
      <c r="A1760">
        <v>41593</v>
      </c>
      <c r="B1760">
        <v>146</v>
      </c>
      <c r="C1760">
        <v>1960</v>
      </c>
      <c r="D1760" t="s">
        <v>8</v>
      </c>
      <c r="E1760" t="s">
        <v>14</v>
      </c>
      <c r="F1760" t="s">
        <v>9</v>
      </c>
      <c r="G1760">
        <v>76045</v>
      </c>
      <c r="H1760">
        <v>0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f>SUM(Table1[[#This Row],[Gold Spending]]+Table1[[#This Row],[Sweet Spending]]+Table1[[#This Row],[Fish Spending]]+Table1[[#This Row],[Meat Spending]]+Table1[[#This Row],[Fruits Spending]]+Table1[[#This Row],[Wine Spending ]])</f>
        <v>1323</v>
      </c>
      <c r="Q1760">
        <v>1</v>
      </c>
      <c r="R1760">
        <v>4</v>
      </c>
      <c r="S1760">
        <v>5</v>
      </c>
      <c r="T1760">
        <v>11</v>
      </c>
      <c r="U1760">
        <f>SUM(Table1[[#This Row],[Store_Purchases]]+Table1[[#This Row],[Catalog_Purchases]]+Table1[[#This Row],[Web_Purchases]]+Table1[[#This Row],[Deal_Purchases]])</f>
        <v>21</v>
      </c>
      <c r="V1760">
        <v>2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f>SUM(Table1[[#This Row],[Accepted_Campaign_2]]+Table1[[#This Row],[Accepted_Campaign_1]]+Table1[[#This Row],[Accepted_Campaign_5]]+Table1[[#This Row],[Accepted_Campaign_4]]+Table1[[#This Row],[Accepted_Campaign_3]])</f>
        <v>1</v>
      </c>
      <c r="AC1760">
        <v>0</v>
      </c>
      <c r="AD1760">
        <v>0</v>
      </c>
    </row>
    <row r="1761" spans="1:30" x14ac:dyDescent="0.25">
      <c r="A1761">
        <v>41555</v>
      </c>
      <c r="B1761">
        <v>5538</v>
      </c>
      <c r="C1761">
        <v>1975</v>
      </c>
      <c r="D1761" t="s">
        <v>8</v>
      </c>
      <c r="E1761" t="s">
        <v>6</v>
      </c>
      <c r="F1761" t="s">
        <v>7</v>
      </c>
      <c r="G1761">
        <v>83829</v>
      </c>
      <c r="H1761">
        <v>0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f>SUM(Table1[[#This Row],[Gold Spending]]+Table1[[#This Row],[Sweet Spending]]+Table1[[#This Row],[Fish Spending]]+Table1[[#This Row],[Meat Spending]]+Table1[[#This Row],[Fruits Spending]]+Table1[[#This Row],[Wine Spending ]])</f>
        <v>1862</v>
      </c>
      <c r="Q1761">
        <v>0</v>
      </c>
      <c r="R1761">
        <v>4</v>
      </c>
      <c r="S1761">
        <v>7</v>
      </c>
      <c r="T1761">
        <v>6</v>
      </c>
      <c r="U1761">
        <f>SUM(Table1[[#This Row],[Store_Purchases]]+Table1[[#This Row],[Catalog_Purchases]]+Table1[[#This Row],[Web_Purchases]]+Table1[[#This Row],[Deal_Purchases]])</f>
        <v>17</v>
      </c>
      <c r="V1761">
        <v>1</v>
      </c>
      <c r="W1761">
        <v>1</v>
      </c>
      <c r="X1761">
        <v>0</v>
      </c>
      <c r="Y1761">
        <v>1</v>
      </c>
      <c r="Z1761">
        <v>1</v>
      </c>
      <c r="AA1761">
        <v>0</v>
      </c>
      <c r="AB1761">
        <f>SUM(Table1[[#This Row],[Accepted_Campaign_2]]+Table1[[#This Row],[Accepted_Campaign_1]]+Table1[[#This Row],[Accepted_Campaign_5]]+Table1[[#This Row],[Accepted_Campaign_4]]+Table1[[#This Row],[Accepted_Campaign_3]])</f>
        <v>3</v>
      </c>
      <c r="AC1761">
        <v>1</v>
      </c>
      <c r="AD1761">
        <v>0</v>
      </c>
    </row>
    <row r="1762" spans="1:30" x14ac:dyDescent="0.25">
      <c r="A1762">
        <v>41555</v>
      </c>
      <c r="B1762">
        <v>3910</v>
      </c>
      <c r="C1762">
        <v>1975</v>
      </c>
      <c r="D1762" t="s">
        <v>8</v>
      </c>
      <c r="E1762" t="s">
        <v>6</v>
      </c>
      <c r="F1762" t="s">
        <v>7</v>
      </c>
      <c r="G1762">
        <v>83829</v>
      </c>
      <c r="H1762">
        <v>0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f>SUM(Table1[[#This Row],[Gold Spending]]+Table1[[#This Row],[Sweet Spending]]+Table1[[#This Row],[Fish Spending]]+Table1[[#This Row],[Meat Spending]]+Table1[[#This Row],[Fruits Spending]]+Table1[[#This Row],[Wine Spending ]])</f>
        <v>1862</v>
      </c>
      <c r="Q1762">
        <v>0</v>
      </c>
      <c r="R1762">
        <v>4</v>
      </c>
      <c r="S1762">
        <v>7</v>
      </c>
      <c r="T1762">
        <v>6</v>
      </c>
      <c r="U1762">
        <f>SUM(Table1[[#This Row],[Store_Purchases]]+Table1[[#This Row],[Catalog_Purchases]]+Table1[[#This Row],[Web_Purchases]]+Table1[[#This Row],[Deal_Purchases]])</f>
        <v>17</v>
      </c>
      <c r="V1762">
        <v>1</v>
      </c>
      <c r="W1762">
        <v>1</v>
      </c>
      <c r="X1762">
        <v>0</v>
      </c>
      <c r="Y1762">
        <v>1</v>
      </c>
      <c r="Z1762">
        <v>1</v>
      </c>
      <c r="AA1762">
        <v>0</v>
      </c>
      <c r="AB1762">
        <f>SUM(Table1[[#This Row],[Accepted_Campaign_2]]+Table1[[#This Row],[Accepted_Campaign_1]]+Table1[[#This Row],[Accepted_Campaign_5]]+Table1[[#This Row],[Accepted_Campaign_4]]+Table1[[#This Row],[Accepted_Campaign_3]])</f>
        <v>3</v>
      </c>
      <c r="AC1762">
        <v>1</v>
      </c>
      <c r="AD1762">
        <v>0</v>
      </c>
    </row>
    <row r="1763" spans="1:30" x14ac:dyDescent="0.25">
      <c r="A1763">
        <v>41523</v>
      </c>
      <c r="B1763">
        <v>4227</v>
      </c>
      <c r="C1763">
        <v>1968</v>
      </c>
      <c r="D1763" t="s">
        <v>8</v>
      </c>
      <c r="E1763" t="s">
        <v>18</v>
      </c>
      <c r="F1763" t="s">
        <v>12</v>
      </c>
      <c r="G1763">
        <v>32889</v>
      </c>
      <c r="H1763">
        <v>2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1763">
        <v>3</v>
      </c>
      <c r="R1763">
        <v>2</v>
      </c>
      <c r="S1763">
        <v>1</v>
      </c>
      <c r="T1763">
        <v>3</v>
      </c>
      <c r="U1763">
        <f>SUM(Table1[[#This Row],[Store_Purchases]]+Table1[[#This Row],[Catalog_Purchases]]+Table1[[#This Row],[Web_Purchases]]+Table1[[#This Row],[Deal_Purchases]])</f>
        <v>9</v>
      </c>
      <c r="V1763">
        <v>5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f>SUM(Table1[[#This Row],[Accepted_Campaign_2]]+Table1[[#This Row],[Accepted_Campaign_1]]+Table1[[#This Row],[Accepted_Campaign_5]]+Table1[[#This Row],[Accepted_Campaign_4]]+Table1[[#This Row],[Accepted_Campaign_3]])</f>
        <v>0</v>
      </c>
      <c r="AC1763">
        <v>0</v>
      </c>
      <c r="AD1763">
        <v>0</v>
      </c>
    </row>
    <row r="1764" spans="1:30" x14ac:dyDescent="0.25">
      <c r="A1764">
        <v>41493</v>
      </c>
      <c r="B1764">
        <v>6634</v>
      </c>
      <c r="C1764">
        <v>1979</v>
      </c>
      <c r="D1764" t="s">
        <v>20</v>
      </c>
      <c r="E1764" t="s">
        <v>18</v>
      </c>
      <c r="F1764" t="s">
        <v>7</v>
      </c>
      <c r="G1764">
        <v>33462</v>
      </c>
      <c r="H1764">
        <v>1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f>SUM(Table1[[#This Row],[Gold Spending]]+Table1[[#This Row],[Sweet Spending]]+Table1[[#This Row],[Fish Spending]]+Table1[[#This Row],[Meat Spending]]+Table1[[#This Row],[Fruits Spending]]+Table1[[#This Row],[Wine Spending ]])</f>
        <v>54</v>
      </c>
      <c r="Q1764">
        <v>1</v>
      </c>
      <c r="R1764">
        <v>2</v>
      </c>
      <c r="S1764">
        <v>0</v>
      </c>
      <c r="T1764">
        <v>3</v>
      </c>
      <c r="U1764">
        <f>SUM(Table1[[#This Row],[Store_Purchases]]+Table1[[#This Row],[Catalog_Purchases]]+Table1[[#This Row],[Web_Purchases]]+Table1[[#This Row],[Deal_Purchases]])</f>
        <v>6</v>
      </c>
      <c r="V1764">
        <v>7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f>SUM(Table1[[#This Row],[Accepted_Campaign_2]]+Table1[[#This Row],[Accepted_Campaign_1]]+Table1[[#This Row],[Accepted_Campaign_5]]+Table1[[#This Row],[Accepted_Campaign_4]]+Table1[[#This Row],[Accepted_Campaign_3]])</f>
        <v>0</v>
      </c>
      <c r="AC1764">
        <v>0</v>
      </c>
      <c r="AD1764">
        <v>0</v>
      </c>
    </row>
    <row r="1765" spans="1:30" x14ac:dyDescent="0.25">
      <c r="A1765">
        <v>41478</v>
      </c>
      <c r="B1765">
        <v>8916</v>
      </c>
      <c r="C1765">
        <v>1975</v>
      </c>
      <c r="D1765" t="s">
        <v>20</v>
      </c>
      <c r="E1765" t="s">
        <v>6</v>
      </c>
      <c r="F1765" t="s">
        <v>7</v>
      </c>
      <c r="G1765">
        <v>36627</v>
      </c>
      <c r="H1765">
        <v>2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f>SUM(Table1[[#This Row],[Gold Spending]]+Table1[[#This Row],[Sweet Spending]]+Table1[[#This Row],[Fish Spending]]+Table1[[#This Row],[Meat Spending]]+Table1[[#This Row],[Fruits Spending]]+Table1[[#This Row],[Wine Spending ]])</f>
        <v>16</v>
      </c>
      <c r="Q1765">
        <v>1</v>
      </c>
      <c r="R1765">
        <v>0</v>
      </c>
      <c r="S1765">
        <v>0</v>
      </c>
      <c r="T1765">
        <v>3</v>
      </c>
      <c r="U1765">
        <f>SUM(Table1[[#This Row],[Store_Purchases]]+Table1[[#This Row],[Catalog_Purchases]]+Table1[[#This Row],[Web_Purchases]]+Table1[[#This Row],[Deal_Purchases]])</f>
        <v>4</v>
      </c>
      <c r="V1765">
        <v>5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f>SUM(Table1[[#This Row],[Accepted_Campaign_2]]+Table1[[#This Row],[Accepted_Campaign_1]]+Table1[[#This Row],[Accepted_Campaign_5]]+Table1[[#This Row],[Accepted_Campaign_4]]+Table1[[#This Row],[Accepted_Campaign_3]])</f>
        <v>0</v>
      </c>
      <c r="AC1765">
        <v>0</v>
      </c>
      <c r="AD1765">
        <v>0</v>
      </c>
    </row>
    <row r="1766" spans="1:30" x14ac:dyDescent="0.25">
      <c r="A1766">
        <v>41468</v>
      </c>
      <c r="B1766">
        <v>6460</v>
      </c>
      <c r="C1766">
        <v>1982</v>
      </c>
      <c r="D1766" t="s">
        <v>17</v>
      </c>
      <c r="E1766" t="s">
        <v>6</v>
      </c>
      <c r="F1766" t="s">
        <v>11</v>
      </c>
      <c r="G1766">
        <v>28718</v>
      </c>
      <c r="H1766">
        <v>1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1766">
        <v>2</v>
      </c>
      <c r="R1766">
        <v>2</v>
      </c>
      <c r="S1766">
        <v>0</v>
      </c>
      <c r="T1766">
        <v>3</v>
      </c>
      <c r="U1766">
        <f>SUM(Table1[[#This Row],[Store_Purchases]]+Table1[[#This Row],[Catalog_Purchases]]+Table1[[#This Row],[Web_Purchases]]+Table1[[#This Row],[Deal_Purchases]])</f>
        <v>7</v>
      </c>
      <c r="V1766">
        <v>8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f>SUM(Table1[[#This Row],[Accepted_Campaign_2]]+Table1[[#This Row],[Accepted_Campaign_1]]+Table1[[#This Row],[Accepted_Campaign_5]]+Table1[[#This Row],[Accepted_Campaign_4]]+Table1[[#This Row],[Accepted_Campaign_3]])</f>
        <v>0</v>
      </c>
      <c r="AC1766">
        <v>0</v>
      </c>
      <c r="AD1766">
        <v>0</v>
      </c>
    </row>
    <row r="1767" spans="1:30" x14ac:dyDescent="0.25">
      <c r="A1767">
        <v>41420</v>
      </c>
      <c r="B1767">
        <v>5883</v>
      </c>
      <c r="C1767">
        <v>1972</v>
      </c>
      <c r="D1767" t="s">
        <v>8</v>
      </c>
      <c r="E1767" t="s">
        <v>6</v>
      </c>
      <c r="F1767" t="s">
        <v>11</v>
      </c>
      <c r="G1767">
        <v>77981</v>
      </c>
      <c r="H1767">
        <v>1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f>SUM(Table1[[#This Row],[Gold Spending]]+Table1[[#This Row],[Sweet Spending]]+Table1[[#This Row],[Fish Spending]]+Table1[[#This Row],[Meat Spending]]+Table1[[#This Row],[Fruits Spending]]+Table1[[#This Row],[Wine Spending ]])</f>
        <v>664</v>
      </c>
      <c r="Q1767">
        <v>3</v>
      </c>
      <c r="R1767">
        <v>7</v>
      </c>
      <c r="S1767">
        <v>4</v>
      </c>
      <c r="T1767">
        <v>7</v>
      </c>
      <c r="U1767">
        <f>SUM(Table1[[#This Row],[Store_Purchases]]+Table1[[#This Row],[Catalog_Purchases]]+Table1[[#This Row],[Web_Purchases]]+Table1[[#This Row],[Deal_Purchases]])</f>
        <v>21</v>
      </c>
      <c r="V1767">
        <v>5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f>SUM(Table1[[#This Row],[Accepted_Campaign_2]]+Table1[[#This Row],[Accepted_Campaign_1]]+Table1[[#This Row],[Accepted_Campaign_5]]+Table1[[#This Row],[Accepted_Campaign_4]]+Table1[[#This Row],[Accepted_Campaign_3]])</f>
        <v>0</v>
      </c>
      <c r="AC1767">
        <v>0</v>
      </c>
      <c r="AD1767">
        <v>0</v>
      </c>
    </row>
    <row r="1768" spans="1:30" x14ac:dyDescent="0.25">
      <c r="A1768">
        <v>41414</v>
      </c>
      <c r="B1768">
        <v>10091</v>
      </c>
      <c r="C1768">
        <v>1956</v>
      </c>
      <c r="D1768" t="s">
        <v>8</v>
      </c>
      <c r="E1768" t="s">
        <v>6</v>
      </c>
      <c r="F1768" t="s">
        <v>9</v>
      </c>
      <c r="G1768">
        <v>60230</v>
      </c>
      <c r="H1768">
        <v>1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f>SUM(Table1[[#This Row],[Gold Spending]]+Table1[[#This Row],[Sweet Spending]]+Table1[[#This Row],[Fish Spending]]+Table1[[#This Row],[Meat Spending]]+Table1[[#This Row],[Fruits Spending]]+Table1[[#This Row],[Wine Spending ]])</f>
        <v>1067</v>
      </c>
      <c r="Q1768">
        <v>2</v>
      </c>
      <c r="R1768">
        <v>6</v>
      </c>
      <c r="S1768">
        <v>3</v>
      </c>
      <c r="T1768">
        <v>6</v>
      </c>
      <c r="U1768">
        <f>SUM(Table1[[#This Row],[Store_Purchases]]+Table1[[#This Row],[Catalog_Purchases]]+Table1[[#This Row],[Web_Purchases]]+Table1[[#This Row],[Deal_Purchases]])</f>
        <v>17</v>
      </c>
      <c r="V1768">
        <v>5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f>SUM(Table1[[#This Row],[Accepted_Campaign_2]]+Table1[[#This Row],[Accepted_Campaign_1]]+Table1[[#This Row],[Accepted_Campaign_5]]+Table1[[#This Row],[Accepted_Campaign_4]]+Table1[[#This Row],[Accepted_Campaign_3]])</f>
        <v>0</v>
      </c>
      <c r="AC1768">
        <v>0</v>
      </c>
      <c r="AD1768">
        <v>0</v>
      </c>
    </row>
    <row r="1769" spans="1:30" x14ac:dyDescent="0.25">
      <c r="A1769">
        <v>41345</v>
      </c>
      <c r="B1769">
        <v>697</v>
      </c>
      <c r="C1769">
        <v>1969</v>
      </c>
      <c r="D1769" t="s">
        <v>8</v>
      </c>
      <c r="E1769" t="s">
        <v>6</v>
      </c>
      <c r="F1769" t="s">
        <v>12</v>
      </c>
      <c r="G1769">
        <v>74918</v>
      </c>
      <c r="H1769">
        <v>0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f>SUM(Table1[[#This Row],[Gold Spending]]+Table1[[#This Row],[Sweet Spending]]+Table1[[#This Row],[Fish Spending]]+Table1[[#This Row],[Meat Spending]]+Table1[[#This Row],[Fruits Spending]]+Table1[[#This Row],[Wine Spending ]])</f>
        <v>2047</v>
      </c>
      <c r="Q1769">
        <v>1</v>
      </c>
      <c r="R1769">
        <v>5</v>
      </c>
      <c r="S1769">
        <v>9</v>
      </c>
      <c r="T1769">
        <v>6</v>
      </c>
      <c r="U1769">
        <f>SUM(Table1[[#This Row],[Store_Purchases]]+Table1[[#This Row],[Catalog_Purchases]]+Table1[[#This Row],[Web_Purchases]]+Table1[[#This Row],[Deal_Purchases]])</f>
        <v>21</v>
      </c>
      <c r="V1769">
        <v>3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f>SUM(Table1[[#This Row],[Accepted_Campaign_2]]+Table1[[#This Row],[Accepted_Campaign_1]]+Table1[[#This Row],[Accepted_Campaign_5]]+Table1[[#This Row],[Accepted_Campaign_4]]+Table1[[#This Row],[Accepted_Campaign_3]])</f>
        <v>1</v>
      </c>
      <c r="AC1769">
        <v>0</v>
      </c>
      <c r="AD1769">
        <v>0</v>
      </c>
    </row>
    <row r="1770" spans="1:30" x14ac:dyDescent="0.25">
      <c r="A1770">
        <v>41285</v>
      </c>
      <c r="B1770">
        <v>2607</v>
      </c>
      <c r="C1770">
        <v>1953</v>
      </c>
      <c r="D1770" t="s">
        <v>8</v>
      </c>
      <c r="E1770" t="s">
        <v>6</v>
      </c>
      <c r="F1770" t="s">
        <v>9</v>
      </c>
      <c r="G1770">
        <v>40464</v>
      </c>
      <c r="H1770">
        <v>1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f>SUM(Table1[[#This Row],[Gold Spending]]+Table1[[#This Row],[Sweet Spending]]+Table1[[#This Row],[Fish Spending]]+Table1[[#This Row],[Meat Spending]]+Table1[[#This Row],[Fruits Spending]]+Table1[[#This Row],[Wine Spending ]])</f>
        <v>630</v>
      </c>
      <c r="Q1770">
        <v>6</v>
      </c>
      <c r="R1770">
        <v>8</v>
      </c>
      <c r="S1770">
        <v>2</v>
      </c>
      <c r="T1770">
        <v>8</v>
      </c>
      <c r="U1770">
        <f>SUM(Table1[[#This Row],[Store_Purchases]]+Table1[[#This Row],[Catalog_Purchases]]+Table1[[#This Row],[Web_Purchases]]+Table1[[#This Row],[Deal_Purchases]])</f>
        <v>24</v>
      </c>
      <c r="V1770">
        <v>8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f>SUM(Table1[[#This Row],[Accepted_Campaign_2]]+Table1[[#This Row],[Accepted_Campaign_1]]+Table1[[#This Row],[Accepted_Campaign_5]]+Table1[[#This Row],[Accepted_Campaign_4]]+Table1[[#This Row],[Accepted_Campaign_3]])</f>
        <v>0</v>
      </c>
      <c r="AC1770">
        <v>0</v>
      </c>
      <c r="AD1770">
        <v>0</v>
      </c>
    </row>
    <row r="1771" spans="1:30" x14ac:dyDescent="0.25">
      <c r="A1771">
        <v>41236</v>
      </c>
      <c r="B1771">
        <v>8427</v>
      </c>
      <c r="C1771">
        <v>1956</v>
      </c>
      <c r="D1771" t="s">
        <v>8</v>
      </c>
      <c r="E1771" t="s">
        <v>18</v>
      </c>
      <c r="F1771" t="s">
        <v>9</v>
      </c>
      <c r="G1771">
        <v>64857</v>
      </c>
      <c r="H1771">
        <v>0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f>SUM(Table1[[#This Row],[Gold Spending]]+Table1[[#This Row],[Sweet Spending]]+Table1[[#This Row],[Fish Spending]]+Table1[[#This Row],[Meat Spending]]+Table1[[#This Row],[Fruits Spending]]+Table1[[#This Row],[Wine Spending ]])</f>
        <v>1540</v>
      </c>
      <c r="Q1771">
        <v>1</v>
      </c>
      <c r="R1771">
        <v>7</v>
      </c>
      <c r="S1771">
        <v>5</v>
      </c>
      <c r="T1771">
        <v>10</v>
      </c>
      <c r="U1771">
        <f>SUM(Table1[[#This Row],[Store_Purchases]]+Table1[[#This Row],[Catalog_Purchases]]+Table1[[#This Row],[Web_Purchases]]+Table1[[#This Row],[Deal_Purchases]])</f>
        <v>23</v>
      </c>
      <c r="V1771">
        <v>4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f>SUM(Table1[[#This Row],[Accepted_Campaign_2]]+Table1[[#This Row],[Accepted_Campaign_1]]+Table1[[#This Row],[Accepted_Campaign_5]]+Table1[[#This Row],[Accepted_Campaign_4]]+Table1[[#This Row],[Accepted_Campaign_3]])</f>
        <v>0</v>
      </c>
      <c r="AC1771">
        <v>0</v>
      </c>
      <c r="AD1771">
        <v>0</v>
      </c>
    </row>
    <row r="1772" spans="1:30" x14ac:dyDescent="0.25">
      <c r="A1772">
        <v>41236</v>
      </c>
      <c r="B1772">
        <v>217</v>
      </c>
      <c r="C1772">
        <v>1956</v>
      </c>
      <c r="D1772" t="s">
        <v>10</v>
      </c>
      <c r="E1772" t="s">
        <v>18</v>
      </c>
      <c r="F1772" t="s">
        <v>9</v>
      </c>
      <c r="G1772">
        <v>64857</v>
      </c>
      <c r="H1772">
        <v>0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f>SUM(Table1[[#This Row],[Gold Spending]]+Table1[[#This Row],[Sweet Spending]]+Table1[[#This Row],[Fish Spending]]+Table1[[#This Row],[Meat Spending]]+Table1[[#This Row],[Fruits Spending]]+Table1[[#This Row],[Wine Spending ]])</f>
        <v>1540</v>
      </c>
      <c r="Q1772">
        <v>1</v>
      </c>
      <c r="R1772">
        <v>7</v>
      </c>
      <c r="S1772">
        <v>5</v>
      </c>
      <c r="T1772">
        <v>10</v>
      </c>
      <c r="U1772">
        <f>SUM(Table1[[#This Row],[Store_Purchases]]+Table1[[#This Row],[Catalog_Purchases]]+Table1[[#This Row],[Web_Purchases]]+Table1[[#This Row],[Deal_Purchases]])</f>
        <v>23</v>
      </c>
      <c r="V1772">
        <v>4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f>SUM(Table1[[#This Row],[Accepted_Campaign_2]]+Table1[[#This Row],[Accepted_Campaign_1]]+Table1[[#This Row],[Accepted_Campaign_5]]+Table1[[#This Row],[Accepted_Campaign_4]]+Table1[[#This Row],[Accepted_Campaign_3]])</f>
        <v>0</v>
      </c>
      <c r="AC1772">
        <v>0</v>
      </c>
      <c r="AD1772">
        <v>0</v>
      </c>
    </row>
    <row r="1773" spans="1:30" x14ac:dyDescent="0.25">
      <c r="A1773">
        <v>41187</v>
      </c>
      <c r="B1773">
        <v>6202</v>
      </c>
      <c r="C1773">
        <v>1960</v>
      </c>
      <c r="D1773" t="s">
        <v>8</v>
      </c>
      <c r="E1773" t="s">
        <v>6</v>
      </c>
      <c r="F1773" t="s">
        <v>12</v>
      </c>
      <c r="G1773">
        <v>63381</v>
      </c>
      <c r="H1773">
        <v>1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f>SUM(Table1[[#This Row],[Gold Spending]]+Table1[[#This Row],[Sweet Spending]]+Table1[[#This Row],[Fish Spending]]+Table1[[#This Row],[Meat Spending]]+Table1[[#This Row],[Fruits Spending]]+Table1[[#This Row],[Wine Spending ]])</f>
        <v>1005</v>
      </c>
      <c r="Q1773">
        <v>4</v>
      </c>
      <c r="R1773">
        <v>4</v>
      </c>
      <c r="S1773">
        <v>5</v>
      </c>
      <c r="T1773">
        <v>13</v>
      </c>
      <c r="U1773">
        <f>SUM(Table1[[#This Row],[Store_Purchases]]+Table1[[#This Row],[Catalog_Purchases]]+Table1[[#This Row],[Web_Purchases]]+Table1[[#This Row],[Deal_Purchases]])</f>
        <v>26</v>
      </c>
      <c r="V1773">
        <v>2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f>SUM(Table1[[#This Row],[Accepted_Campaign_2]]+Table1[[#This Row],[Accepted_Campaign_1]]+Table1[[#This Row],[Accepted_Campaign_5]]+Table1[[#This Row],[Accepted_Campaign_4]]+Table1[[#This Row],[Accepted_Campaign_3]])</f>
        <v>0</v>
      </c>
      <c r="AC1773">
        <v>0</v>
      </c>
      <c r="AD1773">
        <v>0</v>
      </c>
    </row>
    <row r="1774" spans="1:30" x14ac:dyDescent="0.25">
      <c r="A1774">
        <v>41187</v>
      </c>
      <c r="B1774">
        <v>3856</v>
      </c>
      <c r="C1774">
        <v>1960</v>
      </c>
      <c r="D1774" t="s">
        <v>8</v>
      </c>
      <c r="E1774" t="s">
        <v>6</v>
      </c>
      <c r="F1774" t="s">
        <v>12</v>
      </c>
      <c r="G1774">
        <v>63381</v>
      </c>
      <c r="H1774">
        <v>1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f>SUM(Table1[[#This Row],[Gold Spending]]+Table1[[#This Row],[Sweet Spending]]+Table1[[#This Row],[Fish Spending]]+Table1[[#This Row],[Meat Spending]]+Table1[[#This Row],[Fruits Spending]]+Table1[[#This Row],[Wine Spending ]])</f>
        <v>1005</v>
      </c>
      <c r="Q1774">
        <v>4</v>
      </c>
      <c r="R1774">
        <v>4</v>
      </c>
      <c r="S1774">
        <v>5</v>
      </c>
      <c r="T1774">
        <v>13</v>
      </c>
      <c r="U1774">
        <f>SUM(Table1[[#This Row],[Store_Purchases]]+Table1[[#This Row],[Catalog_Purchases]]+Table1[[#This Row],[Web_Purchases]]+Table1[[#This Row],[Deal_Purchases]])</f>
        <v>26</v>
      </c>
      <c r="V1774">
        <v>2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f>SUM(Table1[[#This Row],[Accepted_Campaign_2]]+Table1[[#This Row],[Accepted_Campaign_1]]+Table1[[#This Row],[Accepted_Campaign_5]]+Table1[[#This Row],[Accepted_Campaign_4]]+Table1[[#This Row],[Accepted_Campaign_3]])</f>
        <v>0</v>
      </c>
      <c r="AC1774">
        <v>0</v>
      </c>
      <c r="AD1774">
        <v>0</v>
      </c>
    </row>
    <row r="1775" spans="1:30" x14ac:dyDescent="0.25">
      <c r="A1775">
        <v>41177</v>
      </c>
      <c r="B1775">
        <v>10648</v>
      </c>
      <c r="C1775">
        <v>1982</v>
      </c>
      <c r="D1775" t="s">
        <v>8</v>
      </c>
      <c r="E1775" t="s">
        <v>15</v>
      </c>
      <c r="F1775" t="s">
        <v>12</v>
      </c>
      <c r="G1775">
        <v>66664</v>
      </c>
      <c r="H1775">
        <v>0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f>SUM(Table1[[#This Row],[Gold Spending]]+Table1[[#This Row],[Sweet Spending]]+Table1[[#This Row],[Fish Spending]]+Table1[[#This Row],[Meat Spending]]+Table1[[#This Row],[Fruits Spending]]+Table1[[#This Row],[Wine Spending ]])</f>
        <v>1289</v>
      </c>
      <c r="Q1775">
        <v>1</v>
      </c>
      <c r="R1775">
        <v>5</v>
      </c>
      <c r="S1775">
        <v>7</v>
      </c>
      <c r="T1775">
        <v>6</v>
      </c>
      <c r="U1775">
        <f>SUM(Table1[[#This Row],[Store_Purchases]]+Table1[[#This Row],[Catalog_Purchases]]+Table1[[#This Row],[Web_Purchases]]+Table1[[#This Row],[Deal_Purchases]])</f>
        <v>19</v>
      </c>
      <c r="V1775">
        <v>3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f>SUM(Table1[[#This Row],[Accepted_Campaign_2]]+Table1[[#This Row],[Accepted_Campaign_1]]+Table1[[#This Row],[Accepted_Campaign_5]]+Table1[[#This Row],[Accepted_Campaign_4]]+Table1[[#This Row],[Accepted_Campaign_3]])</f>
        <v>0</v>
      </c>
      <c r="AC1775">
        <v>0</v>
      </c>
      <c r="AD1775">
        <v>0</v>
      </c>
    </row>
    <row r="1776" spans="1:30" x14ac:dyDescent="0.25">
      <c r="A1776">
        <v>41177</v>
      </c>
      <c r="B1776">
        <v>5120</v>
      </c>
      <c r="C1776">
        <v>1982</v>
      </c>
      <c r="D1776" t="s">
        <v>20</v>
      </c>
      <c r="E1776" t="s">
        <v>15</v>
      </c>
      <c r="F1776" t="s">
        <v>12</v>
      </c>
      <c r="G1776">
        <v>66664</v>
      </c>
      <c r="H1776">
        <v>0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f>SUM(Table1[[#This Row],[Gold Spending]]+Table1[[#This Row],[Sweet Spending]]+Table1[[#This Row],[Fish Spending]]+Table1[[#This Row],[Meat Spending]]+Table1[[#This Row],[Fruits Spending]]+Table1[[#This Row],[Wine Spending ]])</f>
        <v>1289</v>
      </c>
      <c r="Q1776">
        <v>1</v>
      </c>
      <c r="R1776">
        <v>5</v>
      </c>
      <c r="S1776">
        <v>7</v>
      </c>
      <c r="T1776">
        <v>6</v>
      </c>
      <c r="U1776">
        <f>SUM(Table1[[#This Row],[Store_Purchases]]+Table1[[#This Row],[Catalog_Purchases]]+Table1[[#This Row],[Web_Purchases]]+Table1[[#This Row],[Deal_Purchases]])</f>
        <v>19</v>
      </c>
      <c r="V1776">
        <v>3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f>SUM(Table1[[#This Row],[Accepted_Campaign_2]]+Table1[[#This Row],[Accepted_Campaign_1]]+Table1[[#This Row],[Accepted_Campaign_5]]+Table1[[#This Row],[Accepted_Campaign_4]]+Table1[[#This Row],[Accepted_Campaign_3]])</f>
        <v>0</v>
      </c>
      <c r="AC1776">
        <v>0</v>
      </c>
      <c r="AD1776">
        <v>0</v>
      </c>
    </row>
    <row r="1777" spans="1:30" x14ac:dyDescent="0.25">
      <c r="A1777">
        <v>41129</v>
      </c>
      <c r="B1777">
        <v>6749</v>
      </c>
      <c r="C1777">
        <v>1966</v>
      </c>
      <c r="D1777" t="s">
        <v>8</v>
      </c>
      <c r="E1777" t="s">
        <v>6</v>
      </c>
      <c r="F1777" t="s">
        <v>9</v>
      </c>
      <c r="G1777">
        <v>86358</v>
      </c>
      <c r="H1777">
        <v>2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f>SUM(Table1[[#This Row],[Gold Spending]]+Table1[[#This Row],[Sweet Spending]]+Table1[[#This Row],[Fish Spending]]+Table1[[#This Row],[Meat Spending]]+Table1[[#This Row],[Fruits Spending]]+Table1[[#This Row],[Wine Spending ]])</f>
        <v>1722</v>
      </c>
      <c r="Q1777">
        <v>4</v>
      </c>
      <c r="R1777">
        <v>5</v>
      </c>
      <c r="S1777">
        <v>3</v>
      </c>
      <c r="T1777">
        <v>6</v>
      </c>
      <c r="U1777">
        <f>SUM(Table1[[#This Row],[Store_Purchases]]+Table1[[#This Row],[Catalog_Purchases]]+Table1[[#This Row],[Web_Purchases]]+Table1[[#This Row],[Deal_Purchases]])</f>
        <v>18</v>
      </c>
      <c r="V1777">
        <v>8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f>SUM(Table1[[#This Row],[Accepted_Campaign_2]]+Table1[[#This Row],[Accepted_Campaign_1]]+Table1[[#This Row],[Accepted_Campaign_5]]+Table1[[#This Row],[Accepted_Campaign_4]]+Table1[[#This Row],[Accepted_Campaign_3]])</f>
        <v>0</v>
      </c>
      <c r="AC1777">
        <v>0</v>
      </c>
      <c r="AD1777">
        <v>0</v>
      </c>
    </row>
    <row r="1778" spans="1:30" x14ac:dyDescent="0.25">
      <c r="A1778">
        <v>41730</v>
      </c>
      <c r="B1778">
        <v>1584</v>
      </c>
      <c r="C1778">
        <v>1977</v>
      </c>
      <c r="D1778" t="s">
        <v>20</v>
      </c>
      <c r="E1778" t="s">
        <v>6</v>
      </c>
      <c r="F1778" t="s">
        <v>11</v>
      </c>
      <c r="G1778">
        <v>41443</v>
      </c>
      <c r="H1778">
        <v>1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f>SUM(Table1[[#This Row],[Gold Spending]]+Table1[[#This Row],[Sweet Spending]]+Table1[[#This Row],[Fish Spending]]+Table1[[#This Row],[Meat Spending]]+Table1[[#This Row],[Fruits Spending]]+Table1[[#This Row],[Wine Spending ]])</f>
        <v>482</v>
      </c>
      <c r="Q1778">
        <v>6</v>
      </c>
      <c r="R1778">
        <v>8</v>
      </c>
      <c r="S1778">
        <v>1</v>
      </c>
      <c r="T1778">
        <v>5</v>
      </c>
      <c r="U1778">
        <f>SUM(Table1[[#This Row],[Store_Purchases]]+Table1[[#This Row],[Catalog_Purchases]]+Table1[[#This Row],[Web_Purchases]]+Table1[[#This Row],[Deal_Purchases]])</f>
        <v>20</v>
      </c>
      <c r="V1778">
        <v>8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f>SUM(Table1[[#This Row],[Accepted_Campaign_2]]+Table1[[#This Row],[Accepted_Campaign_1]]+Table1[[#This Row],[Accepted_Campaign_5]]+Table1[[#This Row],[Accepted_Campaign_4]]+Table1[[#This Row],[Accepted_Campaign_3]])</f>
        <v>0</v>
      </c>
      <c r="AC1778">
        <v>0</v>
      </c>
      <c r="AD1778">
        <v>0</v>
      </c>
    </row>
    <row r="1779" spans="1:30" x14ac:dyDescent="0.25">
      <c r="A1779">
        <v>41663</v>
      </c>
      <c r="B1779">
        <v>9559</v>
      </c>
      <c r="C1779">
        <v>1961</v>
      </c>
      <c r="D1779" t="s">
        <v>10</v>
      </c>
      <c r="E1779" t="s">
        <v>14</v>
      </c>
      <c r="F1779" t="s">
        <v>11</v>
      </c>
      <c r="G1779">
        <v>57072</v>
      </c>
      <c r="H1779">
        <v>1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f>SUM(Table1[[#This Row],[Gold Spending]]+Table1[[#This Row],[Sweet Spending]]+Table1[[#This Row],[Fish Spending]]+Table1[[#This Row],[Meat Spending]]+Table1[[#This Row],[Fruits Spending]]+Table1[[#This Row],[Wine Spending ]])</f>
        <v>1034</v>
      </c>
      <c r="Q1779">
        <v>2</v>
      </c>
      <c r="R1779">
        <v>7</v>
      </c>
      <c r="S1779">
        <v>5</v>
      </c>
      <c r="T1779">
        <v>13</v>
      </c>
      <c r="U1779">
        <f>SUM(Table1[[#This Row],[Store_Purchases]]+Table1[[#This Row],[Catalog_Purchases]]+Table1[[#This Row],[Web_Purchases]]+Table1[[#This Row],[Deal_Purchases]])</f>
        <v>27</v>
      </c>
      <c r="V1779">
        <v>5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f>SUM(Table1[[#This Row],[Accepted_Campaign_2]]+Table1[[#This Row],[Accepted_Campaign_1]]+Table1[[#This Row],[Accepted_Campaign_5]]+Table1[[#This Row],[Accepted_Campaign_4]]+Table1[[#This Row],[Accepted_Campaign_3]])</f>
        <v>1</v>
      </c>
      <c r="AC1779">
        <v>0</v>
      </c>
      <c r="AD1779">
        <v>0</v>
      </c>
    </row>
    <row r="1780" spans="1:30" x14ac:dyDescent="0.25">
      <c r="A1780">
        <v>41660</v>
      </c>
      <c r="B1780">
        <v>771</v>
      </c>
      <c r="C1780">
        <v>1967</v>
      </c>
      <c r="D1780" t="s">
        <v>16</v>
      </c>
      <c r="E1780" t="s">
        <v>6</v>
      </c>
      <c r="F1780" t="s">
        <v>12</v>
      </c>
      <c r="G1780">
        <v>54178</v>
      </c>
      <c r="H1780">
        <v>1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f>SUM(Table1[[#This Row],[Gold Spending]]+Table1[[#This Row],[Sweet Spending]]+Table1[[#This Row],[Fish Spending]]+Table1[[#This Row],[Meat Spending]]+Table1[[#This Row],[Fruits Spending]]+Table1[[#This Row],[Wine Spending ]])</f>
        <v>194</v>
      </c>
      <c r="Q1780">
        <v>1</v>
      </c>
      <c r="R1780">
        <v>2</v>
      </c>
      <c r="S1780">
        <v>2</v>
      </c>
      <c r="T1780">
        <v>5</v>
      </c>
      <c r="U1780">
        <f>SUM(Table1[[#This Row],[Store_Purchases]]+Table1[[#This Row],[Catalog_Purchases]]+Table1[[#This Row],[Web_Purchases]]+Table1[[#This Row],[Deal_Purchases]])</f>
        <v>10</v>
      </c>
      <c r="V1780">
        <v>2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f>SUM(Table1[[#This Row],[Accepted_Campaign_2]]+Table1[[#This Row],[Accepted_Campaign_1]]+Table1[[#This Row],[Accepted_Campaign_5]]+Table1[[#This Row],[Accepted_Campaign_4]]+Table1[[#This Row],[Accepted_Campaign_3]])</f>
        <v>0</v>
      </c>
      <c r="AC1780">
        <v>0</v>
      </c>
      <c r="AD1780">
        <v>0</v>
      </c>
    </row>
    <row r="1781" spans="1:30" x14ac:dyDescent="0.25">
      <c r="A1781">
        <v>41640</v>
      </c>
      <c r="B1781">
        <v>5237</v>
      </c>
      <c r="C1781">
        <v>1950</v>
      </c>
      <c r="D1781" t="s">
        <v>13</v>
      </c>
      <c r="E1781" t="s">
        <v>14</v>
      </c>
      <c r="F1781" t="s">
        <v>9</v>
      </c>
      <c r="G1781">
        <v>48767</v>
      </c>
      <c r="H1781">
        <v>3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f>SUM(Table1[[#This Row],[Gold Spending]]+Table1[[#This Row],[Sweet Spending]]+Table1[[#This Row],[Fish Spending]]+Table1[[#This Row],[Meat Spending]]+Table1[[#This Row],[Fruits Spending]]+Table1[[#This Row],[Wine Spending ]])</f>
        <v>63</v>
      </c>
      <c r="Q1781">
        <v>3</v>
      </c>
      <c r="R1781">
        <v>2</v>
      </c>
      <c r="S1781">
        <v>1</v>
      </c>
      <c r="T1781">
        <v>3</v>
      </c>
      <c r="U1781">
        <f>SUM(Table1[[#This Row],[Store_Purchases]]+Table1[[#This Row],[Catalog_Purchases]]+Table1[[#This Row],[Web_Purchases]]+Table1[[#This Row],[Deal_Purchases]])</f>
        <v>9</v>
      </c>
      <c r="V1781">
        <v>5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f>SUM(Table1[[#This Row],[Accepted_Campaign_2]]+Table1[[#This Row],[Accepted_Campaign_1]]+Table1[[#This Row],[Accepted_Campaign_5]]+Table1[[#This Row],[Accepted_Campaign_4]]+Table1[[#This Row],[Accepted_Campaign_3]])</f>
        <v>0</v>
      </c>
      <c r="AC1781">
        <v>0</v>
      </c>
      <c r="AD1781">
        <v>0</v>
      </c>
    </row>
    <row r="1782" spans="1:30" x14ac:dyDescent="0.25">
      <c r="A1782">
        <v>41626</v>
      </c>
      <c r="B1782">
        <v>2461</v>
      </c>
      <c r="C1782">
        <v>1955</v>
      </c>
      <c r="D1782" t="s">
        <v>10</v>
      </c>
      <c r="E1782" t="s">
        <v>18</v>
      </c>
      <c r="F1782" t="s">
        <v>9</v>
      </c>
      <c r="G1782">
        <v>51124</v>
      </c>
      <c r="H1782">
        <v>2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f>SUM(Table1[[#This Row],[Gold Spending]]+Table1[[#This Row],[Sweet Spending]]+Table1[[#This Row],[Fish Spending]]+Table1[[#This Row],[Meat Spending]]+Table1[[#This Row],[Fruits Spending]]+Table1[[#This Row],[Wine Spending ]])</f>
        <v>43</v>
      </c>
      <c r="Q1782">
        <v>2</v>
      </c>
      <c r="R1782">
        <v>1</v>
      </c>
      <c r="S1782">
        <v>0</v>
      </c>
      <c r="T1782">
        <v>3</v>
      </c>
      <c r="U1782">
        <f>SUM(Table1[[#This Row],[Store_Purchases]]+Table1[[#This Row],[Catalog_Purchases]]+Table1[[#This Row],[Web_Purchases]]+Table1[[#This Row],[Deal_Purchases]])</f>
        <v>6</v>
      </c>
      <c r="V1782">
        <v>3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f>SUM(Table1[[#This Row],[Accepted_Campaign_2]]+Table1[[#This Row],[Accepted_Campaign_1]]+Table1[[#This Row],[Accepted_Campaign_5]]+Table1[[#This Row],[Accepted_Campaign_4]]+Table1[[#This Row],[Accepted_Campaign_3]])</f>
        <v>0</v>
      </c>
      <c r="AC1782">
        <v>0</v>
      </c>
      <c r="AD1782">
        <v>0</v>
      </c>
    </row>
    <row r="1783" spans="1:30" x14ac:dyDescent="0.25">
      <c r="A1783">
        <v>41608</v>
      </c>
      <c r="B1783">
        <v>5474</v>
      </c>
      <c r="C1783">
        <v>1970</v>
      </c>
      <c r="D1783" t="s">
        <v>63</v>
      </c>
      <c r="E1783" t="s">
        <v>6</v>
      </c>
      <c r="F1783" t="s">
        <v>9</v>
      </c>
      <c r="G1783">
        <v>43020</v>
      </c>
      <c r="H1783">
        <v>1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f>SUM(Table1[[#This Row],[Gold Spending]]+Table1[[#This Row],[Sweet Spending]]+Table1[[#This Row],[Fish Spending]]+Table1[[#This Row],[Meat Spending]]+Table1[[#This Row],[Fruits Spending]]+Table1[[#This Row],[Wine Spending ]])</f>
        <v>223</v>
      </c>
      <c r="Q1783">
        <v>3</v>
      </c>
      <c r="R1783">
        <v>4</v>
      </c>
      <c r="S1783">
        <v>1</v>
      </c>
      <c r="T1783">
        <v>4</v>
      </c>
      <c r="U1783">
        <f>SUM(Table1[[#This Row],[Store_Purchases]]+Table1[[#This Row],[Catalog_Purchases]]+Table1[[#This Row],[Web_Purchases]]+Table1[[#This Row],[Deal_Purchases]])</f>
        <v>12</v>
      </c>
      <c r="V1783">
        <v>6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f>SUM(Table1[[#This Row],[Accepted_Campaign_2]]+Table1[[#This Row],[Accepted_Campaign_1]]+Table1[[#This Row],[Accepted_Campaign_5]]+Table1[[#This Row],[Accepted_Campaign_4]]+Table1[[#This Row],[Accepted_Campaign_3]])</f>
        <v>0</v>
      </c>
      <c r="AC1783">
        <v>0</v>
      </c>
      <c r="AD1783">
        <v>0</v>
      </c>
    </row>
    <row r="1784" spans="1:30" x14ac:dyDescent="0.25">
      <c r="A1784">
        <v>41570</v>
      </c>
      <c r="B1784">
        <v>2895</v>
      </c>
      <c r="C1784">
        <v>1963</v>
      </c>
      <c r="D1784" t="s">
        <v>17</v>
      </c>
      <c r="E1784" t="s">
        <v>6</v>
      </c>
      <c r="F1784" t="s">
        <v>9</v>
      </c>
      <c r="G1784">
        <v>49980</v>
      </c>
      <c r="H1784">
        <v>1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f>SUM(Table1[[#This Row],[Gold Spending]]+Table1[[#This Row],[Sweet Spending]]+Table1[[#This Row],[Fish Spending]]+Table1[[#This Row],[Meat Spending]]+Table1[[#This Row],[Fruits Spending]]+Table1[[#This Row],[Wine Spending ]])</f>
        <v>195</v>
      </c>
      <c r="Q1784">
        <v>2</v>
      </c>
      <c r="R1784">
        <v>3</v>
      </c>
      <c r="S1784">
        <v>1</v>
      </c>
      <c r="T1784">
        <v>5</v>
      </c>
      <c r="U1784">
        <f>SUM(Table1[[#This Row],[Store_Purchases]]+Table1[[#This Row],[Catalog_Purchases]]+Table1[[#This Row],[Web_Purchases]]+Table1[[#This Row],[Deal_Purchases]])</f>
        <v>11</v>
      </c>
      <c r="V1784">
        <v>5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f>SUM(Table1[[#This Row],[Accepted_Campaign_2]]+Table1[[#This Row],[Accepted_Campaign_1]]+Table1[[#This Row],[Accepted_Campaign_5]]+Table1[[#This Row],[Accepted_Campaign_4]]+Table1[[#This Row],[Accepted_Campaign_3]])</f>
        <v>0</v>
      </c>
      <c r="AC1784">
        <v>0</v>
      </c>
      <c r="AD1784">
        <v>0</v>
      </c>
    </row>
    <row r="1785" spans="1:30" x14ac:dyDescent="0.25">
      <c r="A1785">
        <v>41534</v>
      </c>
      <c r="B1785">
        <v>7972</v>
      </c>
      <c r="C1785">
        <v>1955</v>
      </c>
      <c r="D1785" t="s">
        <v>8</v>
      </c>
      <c r="E1785" t="s">
        <v>6</v>
      </c>
      <c r="F1785" t="s">
        <v>9</v>
      </c>
      <c r="G1785">
        <v>72906</v>
      </c>
      <c r="H1785">
        <v>0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f>SUM(Table1[[#This Row],[Gold Spending]]+Table1[[#This Row],[Sweet Spending]]+Table1[[#This Row],[Fish Spending]]+Table1[[#This Row],[Meat Spending]]+Table1[[#This Row],[Fruits Spending]]+Table1[[#This Row],[Wine Spending ]])</f>
        <v>1151</v>
      </c>
      <c r="Q1785">
        <v>1</v>
      </c>
      <c r="R1785">
        <v>3</v>
      </c>
      <c r="S1785">
        <v>4</v>
      </c>
      <c r="T1785">
        <v>9</v>
      </c>
      <c r="U1785">
        <f>SUM(Table1[[#This Row],[Store_Purchases]]+Table1[[#This Row],[Catalog_Purchases]]+Table1[[#This Row],[Web_Purchases]]+Table1[[#This Row],[Deal_Purchases]])</f>
        <v>17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f>SUM(Table1[[#This Row],[Accepted_Campaign_2]]+Table1[[#This Row],[Accepted_Campaign_1]]+Table1[[#This Row],[Accepted_Campaign_5]]+Table1[[#This Row],[Accepted_Campaign_4]]+Table1[[#This Row],[Accepted_Campaign_3]])</f>
        <v>0</v>
      </c>
      <c r="AC1785">
        <v>0</v>
      </c>
      <c r="AD1785">
        <v>0</v>
      </c>
    </row>
    <row r="1786" spans="1:30" x14ac:dyDescent="0.25">
      <c r="A1786">
        <v>41496</v>
      </c>
      <c r="B1786">
        <v>10067</v>
      </c>
      <c r="C1786">
        <v>1976</v>
      </c>
      <c r="D1786" t="s">
        <v>16</v>
      </c>
      <c r="E1786" t="s">
        <v>15</v>
      </c>
      <c r="F1786" t="s">
        <v>12</v>
      </c>
      <c r="G1786">
        <v>25176</v>
      </c>
      <c r="H1786">
        <v>2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f>SUM(Table1[[#This Row],[Gold Spending]]+Table1[[#This Row],[Sweet Spending]]+Table1[[#This Row],[Fish Spending]]+Table1[[#This Row],[Meat Spending]]+Table1[[#This Row],[Fruits Spending]]+Table1[[#This Row],[Wine Spending ]])</f>
        <v>13</v>
      </c>
      <c r="Q1786">
        <v>1</v>
      </c>
      <c r="R1786">
        <v>1</v>
      </c>
      <c r="S1786">
        <v>0</v>
      </c>
      <c r="T1786">
        <v>2</v>
      </c>
      <c r="U1786">
        <f>SUM(Table1[[#This Row],[Store_Purchases]]+Table1[[#This Row],[Catalog_Purchases]]+Table1[[#This Row],[Web_Purchases]]+Table1[[#This Row],[Deal_Purchases]])</f>
        <v>4</v>
      </c>
      <c r="V1786">
        <v>7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f>SUM(Table1[[#This Row],[Accepted_Campaign_2]]+Table1[[#This Row],[Accepted_Campaign_1]]+Table1[[#This Row],[Accepted_Campaign_5]]+Table1[[#This Row],[Accepted_Campaign_4]]+Table1[[#This Row],[Accepted_Campaign_3]])</f>
        <v>0</v>
      </c>
      <c r="AC1786">
        <v>0</v>
      </c>
      <c r="AD1786">
        <v>0</v>
      </c>
    </row>
    <row r="1787" spans="1:30" x14ac:dyDescent="0.25">
      <c r="A1787">
        <v>41492</v>
      </c>
      <c r="B1787">
        <v>500</v>
      </c>
      <c r="C1787">
        <v>1977</v>
      </c>
      <c r="D1787" t="s">
        <v>8</v>
      </c>
      <c r="E1787" t="s">
        <v>6</v>
      </c>
      <c r="F1787" t="s">
        <v>12</v>
      </c>
      <c r="G1787">
        <v>96876</v>
      </c>
      <c r="H1787">
        <v>0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f>SUM(Table1[[#This Row],[Gold Spending]]+Table1[[#This Row],[Sweet Spending]]+Table1[[#This Row],[Fish Spending]]+Table1[[#This Row],[Meat Spending]]+Table1[[#This Row],[Fruits Spending]]+Table1[[#This Row],[Wine Spending ]])</f>
        <v>1941</v>
      </c>
      <c r="Q1787">
        <v>1</v>
      </c>
      <c r="R1787">
        <v>7</v>
      </c>
      <c r="S1787">
        <v>7</v>
      </c>
      <c r="T1787">
        <v>9</v>
      </c>
      <c r="U1787">
        <f>SUM(Table1[[#This Row],[Store_Purchases]]+Table1[[#This Row],[Catalog_Purchases]]+Table1[[#This Row],[Web_Purchases]]+Table1[[#This Row],[Deal_Purchases]])</f>
        <v>24</v>
      </c>
      <c r="V1787">
        <v>2</v>
      </c>
      <c r="W1787">
        <v>0</v>
      </c>
      <c r="X1787">
        <v>1</v>
      </c>
      <c r="Y1787">
        <v>1</v>
      </c>
      <c r="Z1787">
        <v>1</v>
      </c>
      <c r="AA1787">
        <v>0</v>
      </c>
      <c r="AB1787">
        <f>SUM(Table1[[#This Row],[Accepted_Campaign_2]]+Table1[[#This Row],[Accepted_Campaign_1]]+Table1[[#This Row],[Accepted_Campaign_5]]+Table1[[#This Row],[Accepted_Campaign_4]]+Table1[[#This Row],[Accepted_Campaign_3]])</f>
        <v>3</v>
      </c>
      <c r="AC1787">
        <v>1</v>
      </c>
      <c r="AD1787">
        <v>0</v>
      </c>
    </row>
    <row r="1788" spans="1:30" x14ac:dyDescent="0.25">
      <c r="A1788">
        <v>41398</v>
      </c>
      <c r="B1788">
        <v>922</v>
      </c>
      <c r="C1788">
        <v>1979</v>
      </c>
      <c r="D1788" t="s">
        <v>16</v>
      </c>
      <c r="E1788" t="s">
        <v>15</v>
      </c>
      <c r="F1788" t="s">
        <v>11</v>
      </c>
      <c r="G1788">
        <v>31086</v>
      </c>
      <c r="H1788">
        <v>2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f>SUM(Table1[[#This Row],[Gold Spending]]+Table1[[#This Row],[Sweet Spending]]+Table1[[#This Row],[Fish Spending]]+Table1[[#This Row],[Meat Spending]]+Table1[[#This Row],[Fruits Spending]]+Table1[[#This Row],[Wine Spending ]])</f>
        <v>48</v>
      </c>
      <c r="Q1788">
        <v>2</v>
      </c>
      <c r="R1788">
        <v>1</v>
      </c>
      <c r="S1788">
        <v>1</v>
      </c>
      <c r="T1788">
        <v>2</v>
      </c>
      <c r="U1788">
        <f>SUM(Table1[[#This Row],[Store_Purchases]]+Table1[[#This Row],[Catalog_Purchases]]+Table1[[#This Row],[Web_Purchases]]+Table1[[#This Row],[Deal_Purchases]])</f>
        <v>6</v>
      </c>
      <c r="V1788">
        <v>8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f>SUM(Table1[[#This Row],[Accepted_Campaign_2]]+Table1[[#This Row],[Accepted_Campaign_1]]+Table1[[#This Row],[Accepted_Campaign_5]]+Table1[[#This Row],[Accepted_Campaign_4]]+Table1[[#This Row],[Accepted_Campaign_3]])</f>
        <v>1</v>
      </c>
      <c r="AC1788">
        <v>0</v>
      </c>
      <c r="AD1788">
        <v>0</v>
      </c>
    </row>
    <row r="1789" spans="1:30" x14ac:dyDescent="0.25">
      <c r="A1789">
        <v>41380</v>
      </c>
      <c r="B1789">
        <v>2861</v>
      </c>
      <c r="C1789">
        <v>1983</v>
      </c>
      <c r="D1789" t="s">
        <v>8</v>
      </c>
      <c r="E1789" t="s">
        <v>6</v>
      </c>
      <c r="F1789" t="s">
        <v>9</v>
      </c>
      <c r="G1789">
        <v>24072</v>
      </c>
      <c r="H1789">
        <v>1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f>SUM(Table1[[#This Row],[Gold Spending]]+Table1[[#This Row],[Sweet Spending]]+Table1[[#This Row],[Fish Spending]]+Table1[[#This Row],[Meat Spending]]+Table1[[#This Row],[Fruits Spending]]+Table1[[#This Row],[Wine Spending ]])</f>
        <v>23</v>
      </c>
      <c r="Q1789">
        <v>1</v>
      </c>
      <c r="R1789">
        <v>1</v>
      </c>
      <c r="S1789">
        <v>0</v>
      </c>
      <c r="T1789">
        <v>2</v>
      </c>
      <c r="U1789">
        <f>SUM(Table1[[#This Row],[Store_Purchases]]+Table1[[#This Row],[Catalog_Purchases]]+Table1[[#This Row],[Web_Purchases]]+Table1[[#This Row],[Deal_Purchases]])</f>
        <v>4</v>
      </c>
      <c r="V1789">
        <v>8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f>SUM(Table1[[#This Row],[Accepted_Campaign_2]]+Table1[[#This Row],[Accepted_Campaign_1]]+Table1[[#This Row],[Accepted_Campaign_5]]+Table1[[#This Row],[Accepted_Campaign_4]]+Table1[[#This Row],[Accepted_Campaign_3]])</f>
        <v>0</v>
      </c>
      <c r="AC1789">
        <v>0</v>
      </c>
      <c r="AD1789">
        <v>0</v>
      </c>
    </row>
    <row r="1790" spans="1:30" x14ac:dyDescent="0.25">
      <c r="A1790">
        <v>41330</v>
      </c>
      <c r="B1790">
        <v>375</v>
      </c>
      <c r="C1790">
        <v>1954</v>
      </c>
      <c r="D1790" t="s">
        <v>8</v>
      </c>
      <c r="E1790" t="s">
        <v>6</v>
      </c>
      <c r="F1790" t="s">
        <v>7</v>
      </c>
      <c r="G1790">
        <v>76773</v>
      </c>
      <c r="H1790">
        <v>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f>SUM(Table1[[#This Row],[Gold Spending]]+Table1[[#This Row],[Sweet Spending]]+Table1[[#This Row],[Fish Spending]]+Table1[[#This Row],[Meat Spending]]+Table1[[#This Row],[Fruits Spending]]+Table1[[#This Row],[Wine Spending ]])</f>
        <v>1156</v>
      </c>
      <c r="Q1790">
        <v>1</v>
      </c>
      <c r="R1790">
        <v>2</v>
      </c>
      <c r="S1790">
        <v>2</v>
      </c>
      <c r="T1790">
        <v>11</v>
      </c>
      <c r="U1790">
        <f>SUM(Table1[[#This Row],[Store_Purchases]]+Table1[[#This Row],[Catalog_Purchases]]+Table1[[#This Row],[Web_Purchases]]+Table1[[#This Row],[Deal_Purchases]])</f>
        <v>16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f>SUM(Table1[[#This Row],[Accepted_Campaign_2]]+Table1[[#This Row],[Accepted_Campaign_1]]+Table1[[#This Row],[Accepted_Campaign_5]]+Table1[[#This Row],[Accepted_Campaign_4]]+Table1[[#This Row],[Accepted_Campaign_3]])</f>
        <v>0</v>
      </c>
      <c r="AC1790">
        <v>0</v>
      </c>
      <c r="AD1790">
        <v>0</v>
      </c>
    </row>
    <row r="1791" spans="1:30" x14ac:dyDescent="0.25">
      <c r="A1791">
        <v>41318</v>
      </c>
      <c r="B1791">
        <v>10936</v>
      </c>
      <c r="C1791">
        <v>1965</v>
      </c>
      <c r="D1791" t="s">
        <v>13</v>
      </c>
      <c r="E1791" t="s">
        <v>6</v>
      </c>
      <c r="F1791" t="s">
        <v>11</v>
      </c>
      <c r="G1791">
        <v>72190</v>
      </c>
      <c r="H1791">
        <v>0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f>SUM(Table1[[#This Row],[Gold Spending]]+Table1[[#This Row],[Sweet Spending]]+Table1[[#This Row],[Fish Spending]]+Table1[[#This Row],[Meat Spending]]+Table1[[#This Row],[Fruits Spending]]+Table1[[#This Row],[Wine Spending ]])</f>
        <v>1947</v>
      </c>
      <c r="Q1791">
        <v>1</v>
      </c>
      <c r="R1791">
        <v>5</v>
      </c>
      <c r="S1791">
        <v>6</v>
      </c>
      <c r="T1791">
        <v>4</v>
      </c>
      <c r="U1791">
        <f>SUM(Table1[[#This Row],[Store_Purchases]]+Table1[[#This Row],[Catalog_Purchases]]+Table1[[#This Row],[Web_Purchases]]+Table1[[#This Row],[Deal_Purchases]])</f>
        <v>16</v>
      </c>
      <c r="V1791">
        <v>3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f>SUM(Table1[[#This Row],[Accepted_Campaign_2]]+Table1[[#This Row],[Accepted_Campaign_1]]+Table1[[#This Row],[Accepted_Campaign_5]]+Table1[[#This Row],[Accepted_Campaign_4]]+Table1[[#This Row],[Accepted_Campaign_3]])</f>
        <v>0</v>
      </c>
      <c r="AC1791">
        <v>0</v>
      </c>
      <c r="AD1791">
        <v>0</v>
      </c>
    </row>
    <row r="1792" spans="1:30" x14ac:dyDescent="0.25">
      <c r="A1792">
        <v>41259</v>
      </c>
      <c r="B1792">
        <v>10314</v>
      </c>
      <c r="C1792">
        <v>1948</v>
      </c>
      <c r="D1792" t="s">
        <v>17</v>
      </c>
      <c r="E1792" t="s">
        <v>14</v>
      </c>
      <c r="F1792" t="s">
        <v>11</v>
      </c>
      <c r="G1792">
        <v>83837</v>
      </c>
      <c r="H1792">
        <v>0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f>SUM(Table1[[#This Row],[Gold Spending]]+Table1[[#This Row],[Sweet Spending]]+Table1[[#This Row],[Fish Spending]]+Table1[[#This Row],[Meat Spending]]+Table1[[#This Row],[Fruits Spending]]+Table1[[#This Row],[Wine Spending ]])</f>
        <v>1318</v>
      </c>
      <c r="Q1792">
        <v>1</v>
      </c>
      <c r="R1792">
        <v>9</v>
      </c>
      <c r="S1792">
        <v>10</v>
      </c>
      <c r="T1792">
        <v>5</v>
      </c>
      <c r="U1792">
        <f>SUM(Table1[[#This Row],[Store_Purchases]]+Table1[[#This Row],[Catalog_Purchases]]+Table1[[#This Row],[Web_Purchases]]+Table1[[#This Row],[Deal_Purchases]])</f>
        <v>25</v>
      </c>
      <c r="V1792">
        <v>4</v>
      </c>
      <c r="W1792">
        <v>0</v>
      </c>
      <c r="X1792">
        <v>1</v>
      </c>
      <c r="Y1792">
        <v>0</v>
      </c>
      <c r="Z1792">
        <v>1</v>
      </c>
      <c r="AA1792">
        <v>0</v>
      </c>
      <c r="AB1792">
        <f>SUM(Table1[[#This Row],[Accepted_Campaign_2]]+Table1[[#This Row],[Accepted_Campaign_1]]+Table1[[#This Row],[Accepted_Campaign_5]]+Table1[[#This Row],[Accepted_Campaign_4]]+Table1[[#This Row],[Accepted_Campaign_3]])</f>
        <v>2</v>
      </c>
      <c r="AC1792">
        <v>1</v>
      </c>
      <c r="AD1792">
        <v>0</v>
      </c>
    </row>
    <row r="1793" spans="1:30" x14ac:dyDescent="0.25">
      <c r="A1793">
        <v>41216</v>
      </c>
      <c r="B1793">
        <v>4240</v>
      </c>
      <c r="C1793">
        <v>1978</v>
      </c>
      <c r="D1793" t="s">
        <v>8</v>
      </c>
      <c r="E1793" t="s">
        <v>6</v>
      </c>
      <c r="F1793" t="s">
        <v>11</v>
      </c>
      <c r="G1793">
        <v>17345</v>
      </c>
      <c r="H1793">
        <v>1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f>SUM(Table1[[#This Row],[Gold Spending]]+Table1[[#This Row],[Sweet Spending]]+Table1[[#This Row],[Fish Spending]]+Table1[[#This Row],[Meat Spending]]+Table1[[#This Row],[Fruits Spending]]+Table1[[#This Row],[Wine Spending ]])</f>
        <v>58</v>
      </c>
      <c r="Q1793">
        <v>2</v>
      </c>
      <c r="R1793">
        <v>2</v>
      </c>
      <c r="S1793">
        <v>1</v>
      </c>
      <c r="T1793">
        <v>2</v>
      </c>
      <c r="U1793">
        <f>SUM(Table1[[#This Row],[Store_Purchases]]+Table1[[#This Row],[Catalog_Purchases]]+Table1[[#This Row],[Web_Purchases]]+Table1[[#This Row],[Deal_Purchases]])</f>
        <v>7</v>
      </c>
      <c r="V1793">
        <v>8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f>SUM(Table1[[#This Row],[Accepted_Campaign_2]]+Table1[[#This Row],[Accepted_Campaign_1]]+Table1[[#This Row],[Accepted_Campaign_5]]+Table1[[#This Row],[Accepted_Campaign_4]]+Table1[[#This Row],[Accepted_Campaign_3]])</f>
        <v>0</v>
      </c>
      <c r="AC1793">
        <v>0</v>
      </c>
      <c r="AD1793">
        <v>0</v>
      </c>
    </row>
    <row r="1794" spans="1:30" x14ac:dyDescent="0.25">
      <c r="A1794">
        <v>41156</v>
      </c>
      <c r="B1794">
        <v>2674</v>
      </c>
      <c r="C1794">
        <v>1958</v>
      </c>
      <c r="D1794" t="s">
        <v>63</v>
      </c>
      <c r="E1794" t="s">
        <v>18</v>
      </c>
      <c r="F1794" t="s">
        <v>9</v>
      </c>
      <c r="G1794">
        <v>75154</v>
      </c>
      <c r="H1794">
        <v>1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f>SUM(Table1[[#This Row],[Gold Spending]]+Table1[[#This Row],[Sweet Spending]]+Table1[[#This Row],[Fish Spending]]+Table1[[#This Row],[Meat Spending]]+Table1[[#This Row],[Fruits Spending]]+Table1[[#This Row],[Wine Spending ]])</f>
        <v>1143</v>
      </c>
      <c r="Q1794">
        <v>1</v>
      </c>
      <c r="R1794">
        <v>6</v>
      </c>
      <c r="S1794">
        <v>3</v>
      </c>
      <c r="T1794">
        <v>6</v>
      </c>
      <c r="U1794">
        <f>SUM(Table1[[#This Row],[Store_Purchases]]+Table1[[#This Row],[Catalog_Purchases]]+Table1[[#This Row],[Web_Purchases]]+Table1[[#This Row],[Deal_Purchases]])</f>
        <v>16</v>
      </c>
      <c r="V1794">
        <v>3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f>SUM(Table1[[#This Row],[Accepted_Campaign_2]]+Table1[[#This Row],[Accepted_Campaign_1]]+Table1[[#This Row],[Accepted_Campaign_5]]+Table1[[#This Row],[Accepted_Campaign_4]]+Table1[[#This Row],[Accepted_Campaign_3]])</f>
        <v>0</v>
      </c>
      <c r="AC1794">
        <v>1</v>
      </c>
      <c r="AD1794">
        <v>0</v>
      </c>
    </row>
    <row r="1795" spans="1:30" x14ac:dyDescent="0.25">
      <c r="A1795">
        <v>41805</v>
      </c>
      <c r="B1795">
        <v>2563</v>
      </c>
      <c r="C1795">
        <v>1961</v>
      </c>
      <c r="D1795" t="s">
        <v>17</v>
      </c>
      <c r="E1795" t="s">
        <v>21</v>
      </c>
      <c r="F1795" t="s">
        <v>11</v>
      </c>
      <c r="G1795">
        <v>28249</v>
      </c>
      <c r="H1795">
        <v>0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f>SUM(Table1[[#This Row],[Gold Spending]]+Table1[[#This Row],[Sweet Spending]]+Table1[[#This Row],[Fish Spending]]+Table1[[#This Row],[Meat Spending]]+Table1[[#This Row],[Fruits Spending]]+Table1[[#This Row],[Wine Spending ]])</f>
        <v>43</v>
      </c>
      <c r="Q1795">
        <v>1</v>
      </c>
      <c r="R1795">
        <v>2</v>
      </c>
      <c r="S1795">
        <v>0</v>
      </c>
      <c r="T1795">
        <v>3</v>
      </c>
      <c r="U1795">
        <f>SUM(Table1[[#This Row],[Store_Purchases]]+Table1[[#This Row],[Catalog_Purchases]]+Table1[[#This Row],[Web_Purchases]]+Table1[[#This Row],[Deal_Purchases]])</f>
        <v>6</v>
      </c>
      <c r="V1795">
        <v>6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f>SUM(Table1[[#This Row],[Accepted_Campaign_2]]+Table1[[#This Row],[Accepted_Campaign_1]]+Table1[[#This Row],[Accepted_Campaign_5]]+Table1[[#This Row],[Accepted_Campaign_4]]+Table1[[#This Row],[Accepted_Campaign_3]])</f>
        <v>0</v>
      </c>
      <c r="AC1795">
        <v>0</v>
      </c>
      <c r="AD1795">
        <v>0</v>
      </c>
    </row>
    <row r="1796" spans="1:30" x14ac:dyDescent="0.25">
      <c r="A1796">
        <v>41805</v>
      </c>
      <c r="B1796">
        <v>8312</v>
      </c>
      <c r="C1796">
        <v>1961</v>
      </c>
      <c r="D1796" t="s">
        <v>8</v>
      </c>
      <c r="E1796" t="s">
        <v>21</v>
      </c>
      <c r="F1796" t="s">
        <v>11</v>
      </c>
      <c r="G1796">
        <v>28249</v>
      </c>
      <c r="H1796">
        <v>0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f>SUM(Table1[[#This Row],[Gold Spending]]+Table1[[#This Row],[Sweet Spending]]+Table1[[#This Row],[Fish Spending]]+Table1[[#This Row],[Meat Spending]]+Table1[[#This Row],[Fruits Spending]]+Table1[[#This Row],[Wine Spending ]])</f>
        <v>43</v>
      </c>
      <c r="Q1796">
        <v>1</v>
      </c>
      <c r="R1796">
        <v>2</v>
      </c>
      <c r="S1796">
        <v>0</v>
      </c>
      <c r="T1796">
        <v>3</v>
      </c>
      <c r="U1796">
        <f>SUM(Table1[[#This Row],[Store_Purchases]]+Table1[[#This Row],[Catalog_Purchases]]+Table1[[#This Row],[Web_Purchases]]+Table1[[#This Row],[Deal_Purchases]])</f>
        <v>6</v>
      </c>
      <c r="V1796">
        <v>6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f>SUM(Table1[[#This Row],[Accepted_Campaign_2]]+Table1[[#This Row],[Accepted_Campaign_1]]+Table1[[#This Row],[Accepted_Campaign_5]]+Table1[[#This Row],[Accepted_Campaign_4]]+Table1[[#This Row],[Accepted_Campaign_3]])</f>
        <v>0</v>
      </c>
      <c r="AC1796">
        <v>0</v>
      </c>
      <c r="AD1796">
        <v>0</v>
      </c>
    </row>
    <row r="1797" spans="1:30" x14ac:dyDescent="0.25">
      <c r="A1797">
        <v>41772</v>
      </c>
      <c r="B1797">
        <v>6999</v>
      </c>
      <c r="C1797">
        <v>1980</v>
      </c>
      <c r="D1797" t="s">
        <v>17</v>
      </c>
      <c r="E1797" t="s">
        <v>18</v>
      </c>
      <c r="F1797" t="s">
        <v>11</v>
      </c>
      <c r="G1797">
        <v>69661</v>
      </c>
      <c r="H1797">
        <v>0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f>SUM(Table1[[#This Row],[Gold Spending]]+Table1[[#This Row],[Sweet Spending]]+Table1[[#This Row],[Fish Spending]]+Table1[[#This Row],[Meat Spending]]+Table1[[#This Row],[Fruits Spending]]+Table1[[#This Row],[Wine Spending ]])</f>
        <v>834</v>
      </c>
      <c r="Q1797">
        <v>1</v>
      </c>
      <c r="R1797">
        <v>7</v>
      </c>
      <c r="S1797">
        <v>3</v>
      </c>
      <c r="T1797">
        <v>12</v>
      </c>
      <c r="U1797">
        <f>SUM(Table1[[#This Row],[Store_Purchases]]+Table1[[#This Row],[Catalog_Purchases]]+Table1[[#This Row],[Web_Purchases]]+Table1[[#This Row],[Deal_Purchases]])</f>
        <v>23</v>
      </c>
      <c r="V1797">
        <v>3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f>SUM(Table1[[#This Row],[Accepted_Campaign_2]]+Table1[[#This Row],[Accepted_Campaign_1]]+Table1[[#This Row],[Accepted_Campaign_5]]+Table1[[#This Row],[Accepted_Campaign_4]]+Table1[[#This Row],[Accepted_Campaign_3]])</f>
        <v>0</v>
      </c>
      <c r="AC1797">
        <v>0</v>
      </c>
      <c r="AD1797">
        <v>0</v>
      </c>
    </row>
    <row r="1798" spans="1:30" x14ac:dyDescent="0.25">
      <c r="A1798">
        <v>41769</v>
      </c>
      <c r="B1798">
        <v>7574</v>
      </c>
      <c r="C1798">
        <v>1979</v>
      </c>
      <c r="D1798" t="s">
        <v>20</v>
      </c>
      <c r="E1798" t="s">
        <v>14</v>
      </c>
      <c r="F1798" t="s">
        <v>12</v>
      </c>
      <c r="G1798">
        <v>27922</v>
      </c>
      <c r="H1798">
        <v>1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f>SUM(Table1[[#This Row],[Gold Spending]]+Table1[[#This Row],[Sweet Spending]]+Table1[[#This Row],[Fish Spending]]+Table1[[#This Row],[Meat Spending]]+Table1[[#This Row],[Fruits Spending]]+Table1[[#This Row],[Wine Spending ]])</f>
        <v>41</v>
      </c>
      <c r="Q1798">
        <v>1</v>
      </c>
      <c r="R1798">
        <v>2</v>
      </c>
      <c r="S1798">
        <v>0</v>
      </c>
      <c r="T1798">
        <v>3</v>
      </c>
      <c r="U1798">
        <f>SUM(Table1[[#This Row],[Store_Purchases]]+Table1[[#This Row],[Catalog_Purchases]]+Table1[[#This Row],[Web_Purchases]]+Table1[[#This Row],[Deal_Purchases]])</f>
        <v>6</v>
      </c>
      <c r="V1798">
        <v>4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f>SUM(Table1[[#This Row],[Accepted_Campaign_2]]+Table1[[#This Row],[Accepted_Campaign_1]]+Table1[[#This Row],[Accepted_Campaign_5]]+Table1[[#This Row],[Accepted_Campaign_4]]+Table1[[#This Row],[Accepted_Campaign_3]])</f>
        <v>0</v>
      </c>
      <c r="AC1798">
        <v>0</v>
      </c>
      <c r="AD1798">
        <v>0</v>
      </c>
    </row>
    <row r="1799" spans="1:30" x14ac:dyDescent="0.25">
      <c r="A1799">
        <v>41752</v>
      </c>
      <c r="B1799">
        <v>5223</v>
      </c>
      <c r="C1799">
        <v>1966</v>
      </c>
      <c r="D1799" t="s">
        <v>20</v>
      </c>
      <c r="E1799" t="s">
        <v>18</v>
      </c>
      <c r="F1799" t="s">
        <v>12</v>
      </c>
      <c r="G1799">
        <v>45903</v>
      </c>
      <c r="H1799">
        <v>1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f>SUM(Table1[[#This Row],[Gold Spending]]+Table1[[#This Row],[Sweet Spending]]+Table1[[#This Row],[Fish Spending]]+Table1[[#This Row],[Meat Spending]]+Table1[[#This Row],[Fruits Spending]]+Table1[[#This Row],[Wine Spending ]])</f>
        <v>66</v>
      </c>
      <c r="Q1799">
        <v>2</v>
      </c>
      <c r="R1799">
        <v>2</v>
      </c>
      <c r="S1799">
        <v>1</v>
      </c>
      <c r="T1799">
        <v>3</v>
      </c>
      <c r="U1799">
        <f>SUM(Table1[[#This Row],[Store_Purchases]]+Table1[[#This Row],[Catalog_Purchases]]+Table1[[#This Row],[Web_Purchases]]+Table1[[#This Row],[Deal_Purchases]])</f>
        <v>8</v>
      </c>
      <c r="V1799">
        <v>4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f>SUM(Table1[[#This Row],[Accepted_Campaign_2]]+Table1[[#This Row],[Accepted_Campaign_1]]+Table1[[#This Row],[Accepted_Campaign_5]]+Table1[[#This Row],[Accepted_Campaign_4]]+Table1[[#This Row],[Accepted_Campaign_3]])</f>
        <v>0</v>
      </c>
      <c r="AC1799">
        <v>0</v>
      </c>
      <c r="AD1799">
        <v>0</v>
      </c>
    </row>
    <row r="1800" spans="1:30" x14ac:dyDescent="0.25">
      <c r="A1800">
        <v>41745</v>
      </c>
      <c r="B1800">
        <v>2952</v>
      </c>
      <c r="C1800">
        <v>1977</v>
      </c>
      <c r="D1800" t="s">
        <v>8</v>
      </c>
      <c r="E1800" t="s">
        <v>18</v>
      </c>
      <c r="F1800" t="s">
        <v>9</v>
      </c>
      <c r="G1800">
        <v>36273</v>
      </c>
      <c r="H1800">
        <v>1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f>SUM(Table1[[#This Row],[Gold Spending]]+Table1[[#This Row],[Sweet Spending]]+Table1[[#This Row],[Fish Spending]]+Table1[[#This Row],[Meat Spending]]+Table1[[#This Row],[Fruits Spending]]+Table1[[#This Row],[Wine Spending ]])</f>
        <v>76</v>
      </c>
      <c r="Q1800">
        <v>2</v>
      </c>
      <c r="R1800">
        <v>3</v>
      </c>
      <c r="S1800">
        <v>0</v>
      </c>
      <c r="T1800">
        <v>3</v>
      </c>
      <c r="U1800">
        <f>SUM(Table1[[#This Row],[Store_Purchases]]+Table1[[#This Row],[Catalog_Purchases]]+Table1[[#This Row],[Web_Purchases]]+Table1[[#This Row],[Deal_Purchases]])</f>
        <v>8</v>
      </c>
      <c r="V1800">
        <v>6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f>SUM(Table1[[#This Row],[Accepted_Campaign_2]]+Table1[[#This Row],[Accepted_Campaign_1]]+Table1[[#This Row],[Accepted_Campaign_5]]+Table1[[#This Row],[Accepted_Campaign_4]]+Table1[[#This Row],[Accepted_Campaign_3]])</f>
        <v>0</v>
      </c>
      <c r="AC1800">
        <v>0</v>
      </c>
      <c r="AD1800">
        <v>0</v>
      </c>
    </row>
    <row r="1801" spans="1:30" x14ac:dyDescent="0.25">
      <c r="A1801">
        <v>41695</v>
      </c>
      <c r="B1801">
        <v>7683</v>
      </c>
      <c r="C1801">
        <v>1968</v>
      </c>
      <c r="D1801" t="s">
        <v>8</v>
      </c>
      <c r="E1801" t="s">
        <v>18</v>
      </c>
      <c r="F1801" t="s">
        <v>11</v>
      </c>
      <c r="G1801">
        <v>70777</v>
      </c>
      <c r="H1801">
        <v>1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f>SUM(Table1[[#This Row],[Gold Spending]]+Table1[[#This Row],[Sweet Spending]]+Table1[[#This Row],[Fish Spending]]+Table1[[#This Row],[Meat Spending]]+Table1[[#This Row],[Fruits Spending]]+Table1[[#This Row],[Wine Spending ]])</f>
        <v>787</v>
      </c>
      <c r="Q1801">
        <v>3</v>
      </c>
      <c r="R1801">
        <v>5</v>
      </c>
      <c r="S1801">
        <v>3</v>
      </c>
      <c r="T1801">
        <v>12</v>
      </c>
      <c r="U1801">
        <f>SUM(Table1[[#This Row],[Store_Purchases]]+Table1[[#This Row],[Catalog_Purchases]]+Table1[[#This Row],[Web_Purchases]]+Table1[[#This Row],[Deal_Purchases]])</f>
        <v>23</v>
      </c>
      <c r="V1801">
        <v>3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f>SUM(Table1[[#This Row],[Accepted_Campaign_2]]+Table1[[#This Row],[Accepted_Campaign_1]]+Table1[[#This Row],[Accepted_Campaign_5]]+Table1[[#This Row],[Accepted_Campaign_4]]+Table1[[#This Row],[Accepted_Campaign_3]])</f>
        <v>0</v>
      </c>
      <c r="AC1801">
        <v>0</v>
      </c>
      <c r="AD1801">
        <v>0</v>
      </c>
    </row>
    <row r="1802" spans="1:30" x14ac:dyDescent="0.25">
      <c r="A1802">
        <v>41667</v>
      </c>
      <c r="B1802">
        <v>9481</v>
      </c>
      <c r="C1802">
        <v>1976</v>
      </c>
      <c r="D1802" t="s">
        <v>10</v>
      </c>
      <c r="E1802" t="s">
        <v>6</v>
      </c>
      <c r="F1802" t="s">
        <v>11</v>
      </c>
      <c r="G1802">
        <v>17148</v>
      </c>
      <c r="H1802">
        <v>1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f>SUM(Table1[[#This Row],[Gold Spending]]+Table1[[#This Row],[Sweet Spending]]+Table1[[#This Row],[Fish Spending]]+Table1[[#This Row],[Meat Spending]]+Table1[[#This Row],[Fruits Spending]]+Table1[[#This Row],[Wine Spending ]])</f>
        <v>68</v>
      </c>
      <c r="Q1802">
        <v>4</v>
      </c>
      <c r="R1802">
        <v>3</v>
      </c>
      <c r="S1802">
        <v>1</v>
      </c>
      <c r="T1802">
        <v>3</v>
      </c>
      <c r="U1802">
        <f>SUM(Table1[[#This Row],[Store_Purchases]]+Table1[[#This Row],[Catalog_Purchases]]+Table1[[#This Row],[Web_Purchases]]+Table1[[#This Row],[Deal_Purchases]])</f>
        <v>11</v>
      </c>
      <c r="V1802">
        <v>8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f>SUM(Table1[[#This Row],[Accepted_Campaign_2]]+Table1[[#This Row],[Accepted_Campaign_1]]+Table1[[#This Row],[Accepted_Campaign_5]]+Table1[[#This Row],[Accepted_Campaign_4]]+Table1[[#This Row],[Accepted_Campaign_3]])</f>
        <v>0</v>
      </c>
      <c r="AC1802">
        <v>0</v>
      </c>
      <c r="AD1802">
        <v>0</v>
      </c>
    </row>
    <row r="1803" spans="1:30" x14ac:dyDescent="0.25">
      <c r="A1803">
        <v>41612</v>
      </c>
      <c r="B1803">
        <v>9907</v>
      </c>
      <c r="C1803">
        <v>1969</v>
      </c>
      <c r="D1803" t="s">
        <v>16</v>
      </c>
      <c r="E1803" t="s">
        <v>18</v>
      </c>
      <c r="F1803" t="s">
        <v>12</v>
      </c>
      <c r="G1803">
        <v>66476</v>
      </c>
      <c r="H1803">
        <v>1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f>SUM(Table1[[#This Row],[Gold Spending]]+Table1[[#This Row],[Sweet Spending]]+Table1[[#This Row],[Fish Spending]]+Table1[[#This Row],[Meat Spending]]+Table1[[#This Row],[Fruits Spending]]+Table1[[#This Row],[Wine Spending ]])</f>
        <v>1013</v>
      </c>
      <c r="Q1803">
        <v>2</v>
      </c>
      <c r="R1803">
        <v>6</v>
      </c>
      <c r="S1803">
        <v>8</v>
      </c>
      <c r="T1803">
        <v>10</v>
      </c>
      <c r="U1803">
        <f>SUM(Table1[[#This Row],[Store_Purchases]]+Table1[[#This Row],[Catalog_Purchases]]+Table1[[#This Row],[Web_Purchases]]+Table1[[#This Row],[Deal_Purchases]])</f>
        <v>26</v>
      </c>
      <c r="V1803">
        <v>4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f>SUM(Table1[[#This Row],[Accepted_Campaign_2]]+Table1[[#This Row],[Accepted_Campaign_1]]+Table1[[#This Row],[Accepted_Campaign_5]]+Table1[[#This Row],[Accepted_Campaign_4]]+Table1[[#This Row],[Accepted_Campaign_3]])</f>
        <v>0</v>
      </c>
      <c r="AC1803">
        <v>0</v>
      </c>
      <c r="AD1803">
        <v>0</v>
      </c>
    </row>
    <row r="1804" spans="1:30" x14ac:dyDescent="0.25">
      <c r="A1804">
        <v>41609</v>
      </c>
      <c r="B1804">
        <v>5454</v>
      </c>
      <c r="C1804">
        <v>1979</v>
      </c>
      <c r="D1804" t="s">
        <v>63</v>
      </c>
      <c r="E1804" t="s">
        <v>18</v>
      </c>
      <c r="F1804" t="s">
        <v>11</v>
      </c>
      <c r="G1804">
        <v>45057</v>
      </c>
      <c r="H1804">
        <v>1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f>SUM(Table1[[#This Row],[Gold Spending]]+Table1[[#This Row],[Sweet Spending]]+Table1[[#This Row],[Fish Spending]]+Table1[[#This Row],[Meat Spending]]+Table1[[#This Row],[Fruits Spending]]+Table1[[#This Row],[Wine Spending ]])</f>
        <v>50</v>
      </c>
      <c r="Q1804">
        <v>1</v>
      </c>
      <c r="R1804">
        <v>2</v>
      </c>
      <c r="S1804">
        <v>0</v>
      </c>
      <c r="T1804">
        <v>3</v>
      </c>
      <c r="U1804">
        <f>SUM(Table1[[#This Row],[Store_Purchases]]+Table1[[#This Row],[Catalog_Purchases]]+Table1[[#This Row],[Web_Purchases]]+Table1[[#This Row],[Deal_Purchases]])</f>
        <v>6</v>
      </c>
      <c r="V1804">
        <v>5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f>SUM(Table1[[#This Row],[Accepted_Campaign_2]]+Table1[[#This Row],[Accepted_Campaign_1]]+Table1[[#This Row],[Accepted_Campaign_5]]+Table1[[#This Row],[Accepted_Campaign_4]]+Table1[[#This Row],[Accepted_Campaign_3]])</f>
        <v>0</v>
      </c>
      <c r="AC1804">
        <v>0</v>
      </c>
      <c r="AD1804">
        <v>0</v>
      </c>
    </row>
    <row r="1805" spans="1:30" x14ac:dyDescent="0.25">
      <c r="A1805">
        <v>41584</v>
      </c>
      <c r="B1805">
        <v>3798</v>
      </c>
      <c r="C1805">
        <v>1968</v>
      </c>
      <c r="D1805" t="s">
        <v>8</v>
      </c>
      <c r="E1805" t="s">
        <v>6</v>
      </c>
      <c r="F1805" t="s">
        <v>11</v>
      </c>
      <c r="G1805">
        <v>41120</v>
      </c>
      <c r="H1805">
        <v>2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f>SUM(Table1[[#This Row],[Gold Spending]]+Table1[[#This Row],[Sweet Spending]]+Table1[[#This Row],[Fish Spending]]+Table1[[#This Row],[Meat Spending]]+Table1[[#This Row],[Fruits Spending]]+Table1[[#This Row],[Wine Spending ]])</f>
        <v>81</v>
      </c>
      <c r="Q1805">
        <v>3</v>
      </c>
      <c r="R1805">
        <v>2</v>
      </c>
      <c r="S1805">
        <v>1</v>
      </c>
      <c r="T1805">
        <v>3</v>
      </c>
      <c r="U1805">
        <f>SUM(Table1[[#This Row],[Store_Purchases]]+Table1[[#This Row],[Catalog_Purchases]]+Table1[[#This Row],[Web_Purchases]]+Table1[[#This Row],[Deal_Purchases]])</f>
        <v>9</v>
      </c>
      <c r="V1805">
        <v>6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f>SUM(Table1[[#This Row],[Accepted_Campaign_2]]+Table1[[#This Row],[Accepted_Campaign_1]]+Table1[[#This Row],[Accepted_Campaign_5]]+Table1[[#This Row],[Accepted_Campaign_4]]+Table1[[#This Row],[Accepted_Campaign_3]])</f>
        <v>0</v>
      </c>
      <c r="AC1805">
        <v>0</v>
      </c>
      <c r="AD1805">
        <v>0</v>
      </c>
    </row>
    <row r="1806" spans="1:30" x14ac:dyDescent="0.25">
      <c r="A1806">
        <v>41583</v>
      </c>
      <c r="B1806">
        <v>7281</v>
      </c>
      <c r="C1806">
        <v>1959</v>
      </c>
      <c r="D1806" t="s">
        <v>13</v>
      </c>
      <c r="E1806" t="s">
        <v>14</v>
      </c>
      <c r="F1806" t="s">
        <v>9</v>
      </c>
      <c r="G1806">
        <v>53790.45</v>
      </c>
      <c r="H1806">
        <v>0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f>SUM(Table1[[#This Row],[Gold Spending]]+Table1[[#This Row],[Sweet Spending]]+Table1[[#This Row],[Fish Spending]]+Table1[[#This Row],[Meat Spending]]+Table1[[#This Row],[Fruits Spending]]+Table1[[#This Row],[Wine Spending ]])</f>
        <v>186</v>
      </c>
      <c r="Q1806">
        <v>1</v>
      </c>
      <c r="R1806">
        <v>1</v>
      </c>
      <c r="S1806">
        <v>3</v>
      </c>
      <c r="T1806">
        <v>4</v>
      </c>
      <c r="U1806">
        <f>SUM(Table1[[#This Row],[Store_Purchases]]+Table1[[#This Row],[Catalog_Purchases]]+Table1[[#This Row],[Web_Purchases]]+Table1[[#This Row],[Deal_Purchases]])</f>
        <v>9</v>
      </c>
      <c r="V1806">
        <v>2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f>SUM(Table1[[#This Row],[Accepted_Campaign_2]]+Table1[[#This Row],[Accepted_Campaign_1]]+Table1[[#This Row],[Accepted_Campaign_5]]+Table1[[#This Row],[Accepted_Campaign_4]]+Table1[[#This Row],[Accepted_Campaign_3]])</f>
        <v>0</v>
      </c>
      <c r="AC1806">
        <v>0</v>
      </c>
      <c r="AD1806">
        <v>0</v>
      </c>
    </row>
    <row r="1807" spans="1:30" x14ac:dyDescent="0.25">
      <c r="A1807">
        <v>41541</v>
      </c>
      <c r="B1807">
        <v>4259</v>
      </c>
      <c r="C1807">
        <v>1986</v>
      </c>
      <c r="D1807" t="s">
        <v>17</v>
      </c>
      <c r="E1807" t="s">
        <v>18</v>
      </c>
      <c r="F1807" t="s">
        <v>9</v>
      </c>
      <c r="G1807">
        <v>19485</v>
      </c>
      <c r="H1807">
        <v>2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f>SUM(Table1[[#This Row],[Gold Spending]]+Table1[[#This Row],[Sweet Spending]]+Table1[[#This Row],[Fish Spending]]+Table1[[#This Row],[Meat Spending]]+Table1[[#This Row],[Fruits Spending]]+Table1[[#This Row],[Wine Spending ]])</f>
        <v>10</v>
      </c>
      <c r="Q1807">
        <v>1</v>
      </c>
      <c r="R1807">
        <v>1</v>
      </c>
      <c r="S1807">
        <v>0</v>
      </c>
      <c r="T1807">
        <v>2</v>
      </c>
      <c r="U1807">
        <f>SUM(Table1[[#This Row],[Store_Purchases]]+Table1[[#This Row],[Catalog_Purchases]]+Table1[[#This Row],[Web_Purchases]]+Table1[[#This Row],[Deal_Purchases]])</f>
        <v>4</v>
      </c>
      <c r="V1807">
        <v>7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f>SUM(Table1[[#This Row],[Accepted_Campaign_2]]+Table1[[#This Row],[Accepted_Campaign_1]]+Table1[[#This Row],[Accepted_Campaign_5]]+Table1[[#This Row],[Accepted_Campaign_4]]+Table1[[#This Row],[Accepted_Campaign_3]])</f>
        <v>0</v>
      </c>
      <c r="AC1807">
        <v>0</v>
      </c>
      <c r="AD1807">
        <v>0</v>
      </c>
    </row>
    <row r="1808" spans="1:30" x14ac:dyDescent="0.25">
      <c r="A1808">
        <v>41476</v>
      </c>
      <c r="B1808">
        <v>2549</v>
      </c>
      <c r="C1808">
        <v>1983</v>
      </c>
      <c r="D1808" t="s">
        <v>8</v>
      </c>
      <c r="E1808" t="s">
        <v>14</v>
      </c>
      <c r="F1808" t="s">
        <v>12</v>
      </c>
      <c r="G1808">
        <v>21840</v>
      </c>
      <c r="H1808">
        <v>1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f>SUM(Table1[[#This Row],[Gold Spending]]+Table1[[#This Row],[Sweet Spending]]+Table1[[#This Row],[Fish Spending]]+Table1[[#This Row],[Meat Spending]]+Table1[[#This Row],[Fruits Spending]]+Table1[[#This Row],[Wine Spending ]])</f>
        <v>27</v>
      </c>
      <c r="Q1808">
        <v>1</v>
      </c>
      <c r="R1808">
        <v>1</v>
      </c>
      <c r="S1808">
        <v>0</v>
      </c>
      <c r="T1808">
        <v>3</v>
      </c>
      <c r="U1808">
        <f>SUM(Table1[[#This Row],[Store_Purchases]]+Table1[[#This Row],[Catalog_Purchases]]+Table1[[#This Row],[Web_Purchases]]+Table1[[#This Row],[Deal_Purchases]])</f>
        <v>5</v>
      </c>
      <c r="V1808">
        <v>9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f>SUM(Table1[[#This Row],[Accepted_Campaign_2]]+Table1[[#This Row],[Accepted_Campaign_1]]+Table1[[#This Row],[Accepted_Campaign_5]]+Table1[[#This Row],[Accepted_Campaign_4]]+Table1[[#This Row],[Accepted_Campaign_3]])</f>
        <v>0</v>
      </c>
      <c r="AC1808">
        <v>0</v>
      </c>
      <c r="AD1808">
        <v>0</v>
      </c>
    </row>
    <row r="1809" spans="1:30" x14ac:dyDescent="0.25">
      <c r="A1809">
        <v>41444</v>
      </c>
      <c r="B1809">
        <v>6437</v>
      </c>
      <c r="C1809">
        <v>1985</v>
      </c>
      <c r="D1809" t="s">
        <v>8</v>
      </c>
      <c r="E1809" t="s">
        <v>15</v>
      </c>
      <c r="F1809" t="s">
        <v>9</v>
      </c>
      <c r="G1809">
        <v>41473</v>
      </c>
      <c r="H1809">
        <v>1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f>SUM(Table1[[#This Row],[Gold Spending]]+Table1[[#This Row],[Sweet Spending]]+Table1[[#This Row],[Fish Spending]]+Table1[[#This Row],[Meat Spending]]+Table1[[#This Row],[Fruits Spending]]+Table1[[#This Row],[Wine Spending ]])</f>
        <v>76</v>
      </c>
      <c r="Q1809">
        <v>1</v>
      </c>
      <c r="R1809">
        <v>2</v>
      </c>
      <c r="S1809">
        <v>0</v>
      </c>
      <c r="T1809">
        <v>3</v>
      </c>
      <c r="U1809">
        <f>SUM(Table1[[#This Row],[Store_Purchases]]+Table1[[#This Row],[Catalog_Purchases]]+Table1[[#This Row],[Web_Purchases]]+Table1[[#This Row],[Deal_Purchases]])</f>
        <v>6</v>
      </c>
      <c r="V1809">
        <v>7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f>SUM(Table1[[#This Row],[Accepted_Campaign_2]]+Table1[[#This Row],[Accepted_Campaign_1]]+Table1[[#This Row],[Accepted_Campaign_5]]+Table1[[#This Row],[Accepted_Campaign_4]]+Table1[[#This Row],[Accepted_Campaign_3]])</f>
        <v>0</v>
      </c>
      <c r="AC1809">
        <v>0</v>
      </c>
      <c r="AD1809">
        <v>0</v>
      </c>
    </row>
    <row r="1810" spans="1:30" x14ac:dyDescent="0.25">
      <c r="A1810">
        <v>41356</v>
      </c>
      <c r="B1810">
        <v>2488</v>
      </c>
      <c r="C1810">
        <v>1956</v>
      </c>
      <c r="D1810" t="s">
        <v>8</v>
      </c>
      <c r="E1810" t="s">
        <v>15</v>
      </c>
      <c r="F1810" t="s">
        <v>7</v>
      </c>
      <c r="G1810">
        <v>31395</v>
      </c>
      <c r="H1810">
        <v>2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f>SUM(Table1[[#This Row],[Gold Spending]]+Table1[[#This Row],[Sweet Spending]]+Table1[[#This Row],[Fish Spending]]+Table1[[#This Row],[Meat Spending]]+Table1[[#This Row],[Fruits Spending]]+Table1[[#This Row],[Wine Spending ]])</f>
        <v>64</v>
      </c>
      <c r="Q1810">
        <v>4</v>
      </c>
      <c r="R1810">
        <v>2</v>
      </c>
      <c r="S1810">
        <v>1</v>
      </c>
      <c r="T1810">
        <v>3</v>
      </c>
      <c r="U1810">
        <f>SUM(Table1[[#This Row],[Store_Purchases]]+Table1[[#This Row],[Catalog_Purchases]]+Table1[[#This Row],[Web_Purchases]]+Table1[[#This Row],[Deal_Purchases]])</f>
        <v>10</v>
      </c>
      <c r="V1810">
        <v>6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f>SUM(Table1[[#This Row],[Accepted_Campaign_2]]+Table1[[#This Row],[Accepted_Campaign_1]]+Table1[[#This Row],[Accepted_Campaign_5]]+Table1[[#This Row],[Accepted_Campaign_4]]+Table1[[#This Row],[Accepted_Campaign_3]])</f>
        <v>0</v>
      </c>
      <c r="AC1810">
        <v>0</v>
      </c>
      <c r="AD1810">
        <v>0</v>
      </c>
    </row>
    <row r="1811" spans="1:30" x14ac:dyDescent="0.25">
      <c r="A1811">
        <v>41343</v>
      </c>
      <c r="B1811">
        <v>3945</v>
      </c>
      <c r="C1811">
        <v>1947</v>
      </c>
      <c r="D1811" t="s">
        <v>8</v>
      </c>
      <c r="E1811" t="s">
        <v>14</v>
      </c>
      <c r="F1811" t="s">
        <v>19</v>
      </c>
      <c r="G1811">
        <v>68117</v>
      </c>
      <c r="H1811">
        <v>1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f>SUM(Table1[[#This Row],[Gold Spending]]+Table1[[#This Row],[Sweet Spending]]+Table1[[#This Row],[Fish Spending]]+Table1[[#This Row],[Meat Spending]]+Table1[[#This Row],[Fruits Spending]]+Table1[[#This Row],[Wine Spending ]])</f>
        <v>930</v>
      </c>
      <c r="Q1811">
        <v>2</v>
      </c>
      <c r="R1811">
        <v>11</v>
      </c>
      <c r="S1811">
        <v>8</v>
      </c>
      <c r="T1811">
        <v>4</v>
      </c>
      <c r="U1811">
        <f>SUM(Table1[[#This Row],[Store_Purchases]]+Table1[[#This Row],[Catalog_Purchases]]+Table1[[#This Row],[Web_Purchases]]+Table1[[#This Row],[Deal_Purchases]])</f>
        <v>25</v>
      </c>
      <c r="V1811">
        <v>6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f>SUM(Table1[[#This Row],[Accepted_Campaign_2]]+Table1[[#This Row],[Accepted_Campaign_1]]+Table1[[#This Row],[Accepted_Campaign_5]]+Table1[[#This Row],[Accepted_Campaign_4]]+Table1[[#This Row],[Accepted_Campaign_3]])</f>
        <v>1</v>
      </c>
      <c r="AC1811">
        <v>1</v>
      </c>
      <c r="AD1811">
        <v>0</v>
      </c>
    </row>
    <row r="1812" spans="1:30" x14ac:dyDescent="0.25">
      <c r="A1812">
        <v>41320</v>
      </c>
      <c r="B1812">
        <v>702</v>
      </c>
      <c r="C1812">
        <v>1975</v>
      </c>
      <c r="D1812" t="s">
        <v>8</v>
      </c>
      <c r="E1812" t="s">
        <v>15</v>
      </c>
      <c r="F1812" t="s">
        <v>19</v>
      </c>
      <c r="G1812">
        <v>47682</v>
      </c>
      <c r="H1812">
        <v>1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f>SUM(Table1[[#This Row],[Gold Spending]]+Table1[[#This Row],[Sweet Spending]]+Table1[[#This Row],[Fish Spending]]+Table1[[#This Row],[Meat Spending]]+Table1[[#This Row],[Fruits Spending]]+Table1[[#This Row],[Wine Spending ]])</f>
        <v>521</v>
      </c>
      <c r="Q1812">
        <v>4</v>
      </c>
      <c r="R1812">
        <v>4</v>
      </c>
      <c r="S1812">
        <v>3</v>
      </c>
      <c r="T1812">
        <v>8</v>
      </c>
      <c r="U1812">
        <f>SUM(Table1[[#This Row],[Store_Purchases]]+Table1[[#This Row],[Catalog_Purchases]]+Table1[[#This Row],[Web_Purchases]]+Table1[[#This Row],[Deal_Purchases]])</f>
        <v>19</v>
      </c>
      <c r="V1812">
        <v>5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f>SUM(Table1[[#This Row],[Accepted_Campaign_2]]+Table1[[#This Row],[Accepted_Campaign_1]]+Table1[[#This Row],[Accepted_Campaign_5]]+Table1[[#This Row],[Accepted_Campaign_4]]+Table1[[#This Row],[Accepted_Campaign_3]])</f>
        <v>0</v>
      </c>
      <c r="AC1812">
        <v>0</v>
      </c>
      <c r="AD1812">
        <v>0</v>
      </c>
    </row>
    <row r="1813" spans="1:30" x14ac:dyDescent="0.25">
      <c r="A1813">
        <v>41315</v>
      </c>
      <c r="B1813">
        <v>9010</v>
      </c>
      <c r="C1813">
        <v>1972</v>
      </c>
      <c r="D1813" t="s">
        <v>8</v>
      </c>
      <c r="E1813" t="s">
        <v>18</v>
      </c>
      <c r="F1813" t="s">
        <v>11</v>
      </c>
      <c r="G1813">
        <v>83151</v>
      </c>
      <c r="H1813">
        <v>0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f>SUM(Table1[[#This Row],[Gold Spending]]+Table1[[#This Row],[Sweet Spending]]+Table1[[#This Row],[Fish Spending]]+Table1[[#This Row],[Meat Spending]]+Table1[[#This Row],[Fruits Spending]]+Table1[[#This Row],[Wine Spending ]])</f>
        <v>2346</v>
      </c>
      <c r="Q1813">
        <v>1</v>
      </c>
      <c r="R1813">
        <v>5</v>
      </c>
      <c r="S1813">
        <v>7</v>
      </c>
      <c r="T1813">
        <v>10</v>
      </c>
      <c r="U1813">
        <f>SUM(Table1[[#This Row],[Store_Purchases]]+Table1[[#This Row],[Catalog_Purchases]]+Table1[[#This Row],[Web_Purchases]]+Table1[[#This Row],[Deal_Purchases]])</f>
        <v>23</v>
      </c>
      <c r="V1813">
        <v>2</v>
      </c>
      <c r="W1813">
        <v>1</v>
      </c>
      <c r="X1813">
        <v>0</v>
      </c>
      <c r="Y1813">
        <v>1</v>
      </c>
      <c r="Z1813">
        <v>1</v>
      </c>
      <c r="AA1813">
        <v>0</v>
      </c>
      <c r="AB1813">
        <f>SUM(Table1[[#This Row],[Accepted_Campaign_2]]+Table1[[#This Row],[Accepted_Campaign_1]]+Table1[[#This Row],[Accepted_Campaign_5]]+Table1[[#This Row],[Accepted_Campaign_4]]+Table1[[#This Row],[Accepted_Campaign_3]])</f>
        <v>3</v>
      </c>
      <c r="AC1813">
        <v>1</v>
      </c>
      <c r="AD1813">
        <v>0</v>
      </c>
    </row>
    <row r="1814" spans="1:30" x14ac:dyDescent="0.25">
      <c r="A1814">
        <v>41294</v>
      </c>
      <c r="B1814">
        <v>9710</v>
      </c>
      <c r="C1814">
        <v>1969</v>
      </c>
      <c r="D1814" t="s">
        <v>8</v>
      </c>
      <c r="E1814" t="s">
        <v>14</v>
      </c>
      <c r="F1814" t="s">
        <v>7</v>
      </c>
      <c r="G1814">
        <v>58086</v>
      </c>
      <c r="H1814">
        <v>1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f>SUM(Table1[[#This Row],[Gold Spending]]+Table1[[#This Row],[Sweet Spending]]+Table1[[#This Row],[Fish Spending]]+Table1[[#This Row],[Meat Spending]]+Table1[[#This Row],[Fruits Spending]]+Table1[[#This Row],[Wine Spending ]])</f>
        <v>792</v>
      </c>
      <c r="Q1814">
        <v>2</v>
      </c>
      <c r="R1814">
        <v>11</v>
      </c>
      <c r="S1814">
        <v>3</v>
      </c>
      <c r="T1814">
        <v>7</v>
      </c>
      <c r="U1814">
        <f>SUM(Table1[[#This Row],[Store_Purchases]]+Table1[[#This Row],[Catalog_Purchases]]+Table1[[#This Row],[Web_Purchases]]+Table1[[#This Row],[Deal_Purchases]])</f>
        <v>23</v>
      </c>
      <c r="V1814">
        <v>8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f>SUM(Table1[[#This Row],[Accepted_Campaign_2]]+Table1[[#This Row],[Accepted_Campaign_1]]+Table1[[#This Row],[Accepted_Campaign_5]]+Table1[[#This Row],[Accepted_Campaign_4]]+Table1[[#This Row],[Accepted_Campaign_3]])</f>
        <v>0</v>
      </c>
      <c r="AC1814">
        <v>0</v>
      </c>
      <c r="AD1814">
        <v>0</v>
      </c>
    </row>
    <row r="1815" spans="1:30" x14ac:dyDescent="0.25">
      <c r="A1815">
        <v>41278</v>
      </c>
      <c r="B1815">
        <v>1509</v>
      </c>
      <c r="C1815">
        <v>1958</v>
      </c>
      <c r="D1815" t="s">
        <v>8</v>
      </c>
      <c r="E1815" t="s">
        <v>14</v>
      </c>
      <c r="F1815" t="s">
        <v>12</v>
      </c>
      <c r="G1815">
        <v>84460</v>
      </c>
      <c r="H1815">
        <v>0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f>SUM(Table1[[#This Row],[Gold Spending]]+Table1[[#This Row],[Sweet Spending]]+Table1[[#This Row],[Fish Spending]]+Table1[[#This Row],[Meat Spending]]+Table1[[#This Row],[Fruits Spending]]+Table1[[#This Row],[Wine Spending ]])</f>
        <v>523</v>
      </c>
      <c r="Q1815">
        <v>0</v>
      </c>
      <c r="R1815">
        <v>9</v>
      </c>
      <c r="S1815">
        <v>9</v>
      </c>
      <c r="T1815">
        <v>4</v>
      </c>
      <c r="U1815">
        <f>SUM(Table1[[#This Row],[Store_Purchases]]+Table1[[#This Row],[Catalog_Purchases]]+Table1[[#This Row],[Web_Purchases]]+Table1[[#This Row],[Deal_Purchases]])</f>
        <v>22</v>
      </c>
      <c r="V1815">
        <v>5</v>
      </c>
      <c r="W1815">
        <v>0</v>
      </c>
      <c r="X1815">
        <v>1</v>
      </c>
      <c r="Y1815">
        <v>1</v>
      </c>
      <c r="Z1815">
        <v>1</v>
      </c>
      <c r="AA1815">
        <v>1</v>
      </c>
      <c r="AB1815">
        <f>SUM(Table1[[#This Row],[Accepted_Campaign_2]]+Table1[[#This Row],[Accepted_Campaign_1]]+Table1[[#This Row],[Accepted_Campaign_5]]+Table1[[#This Row],[Accepted_Campaign_4]]+Table1[[#This Row],[Accepted_Campaign_3]])</f>
        <v>4</v>
      </c>
      <c r="AC1815">
        <v>1</v>
      </c>
      <c r="AD1815">
        <v>0</v>
      </c>
    </row>
    <row r="1816" spans="1:30" x14ac:dyDescent="0.25">
      <c r="A1816">
        <v>41248</v>
      </c>
      <c r="B1816">
        <v>9120</v>
      </c>
      <c r="C1816">
        <v>1962</v>
      </c>
      <c r="D1816" t="s">
        <v>8</v>
      </c>
      <c r="E1816" t="s">
        <v>6</v>
      </c>
      <c r="F1816" t="s">
        <v>9</v>
      </c>
      <c r="G1816">
        <v>66565</v>
      </c>
      <c r="H1816">
        <v>1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f>SUM(Table1[[#This Row],[Gold Spending]]+Table1[[#This Row],[Sweet Spending]]+Table1[[#This Row],[Fish Spending]]+Table1[[#This Row],[Meat Spending]]+Table1[[#This Row],[Fruits Spending]]+Table1[[#This Row],[Wine Spending ]])</f>
        <v>1065</v>
      </c>
      <c r="Q1816">
        <v>4</v>
      </c>
      <c r="R1816">
        <v>4</v>
      </c>
      <c r="S1816">
        <v>2</v>
      </c>
      <c r="T1816">
        <v>9</v>
      </c>
      <c r="U1816">
        <f>SUM(Table1[[#This Row],[Store_Purchases]]+Table1[[#This Row],[Catalog_Purchases]]+Table1[[#This Row],[Web_Purchases]]+Table1[[#This Row],[Deal_Purchases]])</f>
        <v>19</v>
      </c>
      <c r="V1816">
        <v>8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f>SUM(Table1[[#This Row],[Accepted_Campaign_2]]+Table1[[#This Row],[Accepted_Campaign_1]]+Table1[[#This Row],[Accepted_Campaign_5]]+Table1[[#This Row],[Accepted_Campaign_4]]+Table1[[#This Row],[Accepted_Campaign_3]])</f>
        <v>0</v>
      </c>
      <c r="AC1816">
        <v>0</v>
      </c>
      <c r="AD1816">
        <v>0</v>
      </c>
    </row>
    <row r="1817" spans="1:30" x14ac:dyDescent="0.25">
      <c r="A1817">
        <v>41208</v>
      </c>
      <c r="B1817">
        <v>5252</v>
      </c>
      <c r="C1817">
        <v>1969</v>
      </c>
      <c r="D1817" t="s">
        <v>8</v>
      </c>
      <c r="E1817" t="s">
        <v>6</v>
      </c>
      <c r="F1817" t="s">
        <v>7</v>
      </c>
      <c r="G1817">
        <v>23910</v>
      </c>
      <c r="H1817">
        <v>1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f>SUM(Table1[[#This Row],[Gold Spending]]+Table1[[#This Row],[Sweet Spending]]+Table1[[#This Row],[Fish Spending]]+Table1[[#This Row],[Meat Spending]]+Table1[[#This Row],[Fruits Spending]]+Table1[[#This Row],[Wine Spending ]])</f>
        <v>67</v>
      </c>
      <c r="Q1817">
        <v>1</v>
      </c>
      <c r="R1817">
        <v>2</v>
      </c>
      <c r="S1817">
        <v>0</v>
      </c>
      <c r="T1817">
        <v>3</v>
      </c>
      <c r="U1817">
        <f>SUM(Table1[[#This Row],[Store_Purchases]]+Table1[[#This Row],[Catalog_Purchases]]+Table1[[#This Row],[Web_Purchases]]+Table1[[#This Row],[Deal_Purchases]])</f>
        <v>6</v>
      </c>
      <c r="V1817">
        <v>7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f>SUM(Table1[[#This Row],[Accepted_Campaign_2]]+Table1[[#This Row],[Accepted_Campaign_1]]+Table1[[#This Row],[Accepted_Campaign_5]]+Table1[[#This Row],[Accepted_Campaign_4]]+Table1[[#This Row],[Accepted_Campaign_3]])</f>
        <v>0</v>
      </c>
      <c r="AC1817">
        <v>0</v>
      </c>
      <c r="AD1817">
        <v>0</v>
      </c>
    </row>
    <row r="1818" spans="1:30" x14ac:dyDescent="0.25">
      <c r="A1818">
        <v>41197</v>
      </c>
      <c r="B1818">
        <v>5959</v>
      </c>
      <c r="C1818">
        <v>1968</v>
      </c>
      <c r="D1818" t="s">
        <v>17</v>
      </c>
      <c r="E1818" t="s">
        <v>6</v>
      </c>
      <c r="F1818" t="s">
        <v>9</v>
      </c>
      <c r="G1818">
        <v>35893</v>
      </c>
      <c r="H1818">
        <v>2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f>SUM(Table1[[#This Row],[Gold Spending]]+Table1[[#This Row],[Sweet Spending]]+Table1[[#This Row],[Fish Spending]]+Table1[[#This Row],[Meat Spending]]+Table1[[#This Row],[Fruits Spending]]+Table1[[#This Row],[Wine Spending ]])</f>
        <v>199</v>
      </c>
      <c r="Q1818">
        <v>6</v>
      </c>
      <c r="R1818">
        <v>3</v>
      </c>
      <c r="S1818">
        <v>1</v>
      </c>
      <c r="T1818">
        <v>5</v>
      </c>
      <c r="U1818">
        <f>SUM(Table1[[#This Row],[Store_Purchases]]+Table1[[#This Row],[Catalog_Purchases]]+Table1[[#This Row],[Web_Purchases]]+Table1[[#This Row],[Deal_Purchases]])</f>
        <v>15</v>
      </c>
      <c r="V1818">
        <v>8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f>SUM(Table1[[#This Row],[Accepted_Campaign_2]]+Table1[[#This Row],[Accepted_Campaign_1]]+Table1[[#This Row],[Accepted_Campaign_5]]+Table1[[#This Row],[Accepted_Campaign_4]]+Table1[[#This Row],[Accepted_Campaign_3]])</f>
        <v>0</v>
      </c>
      <c r="AC1818">
        <v>0</v>
      </c>
      <c r="AD1818">
        <v>0</v>
      </c>
    </row>
    <row r="1819" spans="1:30" x14ac:dyDescent="0.25">
      <c r="A1819">
        <v>41188</v>
      </c>
      <c r="B1819">
        <v>7441</v>
      </c>
      <c r="C1819">
        <v>1973</v>
      </c>
      <c r="D1819" t="s">
        <v>63</v>
      </c>
      <c r="E1819" t="s">
        <v>6</v>
      </c>
      <c r="F1819" t="s">
        <v>7</v>
      </c>
      <c r="G1819">
        <v>71128</v>
      </c>
      <c r="H1819">
        <v>1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f>SUM(Table1[[#This Row],[Gold Spending]]+Table1[[#This Row],[Sweet Spending]]+Table1[[#This Row],[Fish Spending]]+Table1[[#This Row],[Meat Spending]]+Table1[[#This Row],[Fruits Spending]]+Table1[[#This Row],[Wine Spending ]])</f>
        <v>1615</v>
      </c>
      <c r="Q1819">
        <v>3</v>
      </c>
      <c r="R1819">
        <v>2</v>
      </c>
      <c r="S1819">
        <v>10</v>
      </c>
      <c r="T1819">
        <v>12</v>
      </c>
      <c r="U1819">
        <f>SUM(Table1[[#This Row],[Store_Purchases]]+Table1[[#This Row],[Catalog_Purchases]]+Table1[[#This Row],[Web_Purchases]]+Table1[[#This Row],[Deal_Purchases]])</f>
        <v>27</v>
      </c>
      <c r="V1819">
        <v>7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f>SUM(Table1[[#This Row],[Accepted_Campaign_2]]+Table1[[#This Row],[Accepted_Campaign_1]]+Table1[[#This Row],[Accepted_Campaign_5]]+Table1[[#This Row],[Accepted_Campaign_4]]+Table1[[#This Row],[Accepted_Campaign_3]])</f>
        <v>0</v>
      </c>
      <c r="AC1819">
        <v>0</v>
      </c>
      <c r="AD1819">
        <v>0</v>
      </c>
    </row>
    <row r="1820" spans="1:30" x14ac:dyDescent="0.25">
      <c r="A1820">
        <v>41186</v>
      </c>
      <c r="B1820">
        <v>4271</v>
      </c>
      <c r="C1820">
        <v>1989</v>
      </c>
      <c r="D1820" t="s">
        <v>17</v>
      </c>
      <c r="E1820" t="s">
        <v>15</v>
      </c>
      <c r="F1820" t="s">
        <v>12</v>
      </c>
      <c r="G1820">
        <v>38683</v>
      </c>
      <c r="H1820">
        <v>1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f>SUM(Table1[[#This Row],[Gold Spending]]+Table1[[#This Row],[Sweet Spending]]+Table1[[#This Row],[Fish Spending]]+Table1[[#This Row],[Meat Spending]]+Table1[[#This Row],[Fruits Spending]]+Table1[[#This Row],[Wine Spending ]])</f>
        <v>341</v>
      </c>
      <c r="Q1820">
        <v>6</v>
      </c>
      <c r="R1820">
        <v>4</v>
      </c>
      <c r="S1820">
        <v>1</v>
      </c>
      <c r="T1820">
        <v>6</v>
      </c>
      <c r="U1820">
        <f>SUM(Table1[[#This Row],[Store_Purchases]]+Table1[[#This Row],[Catalog_Purchases]]+Table1[[#This Row],[Web_Purchases]]+Table1[[#This Row],[Deal_Purchases]])</f>
        <v>17</v>
      </c>
      <c r="V1820">
        <v>7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f>SUM(Table1[[#This Row],[Accepted_Campaign_2]]+Table1[[#This Row],[Accepted_Campaign_1]]+Table1[[#This Row],[Accepted_Campaign_5]]+Table1[[#This Row],[Accepted_Campaign_4]]+Table1[[#This Row],[Accepted_Campaign_3]])</f>
        <v>0</v>
      </c>
      <c r="AC1820">
        <v>0</v>
      </c>
      <c r="AD1820">
        <v>0</v>
      </c>
    </row>
    <row r="1821" spans="1:30" x14ac:dyDescent="0.25">
      <c r="A1821">
        <v>41163</v>
      </c>
      <c r="B1821">
        <v>4095</v>
      </c>
      <c r="C1821">
        <v>1971</v>
      </c>
      <c r="D1821" t="s">
        <v>63</v>
      </c>
      <c r="E1821" t="s">
        <v>6</v>
      </c>
      <c r="F1821" t="s">
        <v>11</v>
      </c>
      <c r="G1821">
        <v>37150</v>
      </c>
      <c r="H1821">
        <v>1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f>SUM(Table1[[#This Row],[Gold Spending]]+Table1[[#This Row],[Sweet Spending]]+Table1[[#This Row],[Fish Spending]]+Table1[[#This Row],[Meat Spending]]+Table1[[#This Row],[Fruits Spending]]+Table1[[#This Row],[Wine Spending ]])</f>
        <v>467</v>
      </c>
      <c r="Q1821">
        <v>8</v>
      </c>
      <c r="R1821">
        <v>4</v>
      </c>
      <c r="S1821">
        <v>3</v>
      </c>
      <c r="T1821">
        <v>6</v>
      </c>
      <c r="U1821">
        <f>SUM(Table1[[#This Row],[Store_Purchases]]+Table1[[#This Row],[Catalog_Purchases]]+Table1[[#This Row],[Web_Purchases]]+Table1[[#This Row],[Deal_Purchases]])</f>
        <v>21</v>
      </c>
      <c r="V1821">
        <v>7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f>SUM(Table1[[#This Row],[Accepted_Campaign_2]]+Table1[[#This Row],[Accepted_Campaign_1]]+Table1[[#This Row],[Accepted_Campaign_5]]+Table1[[#This Row],[Accepted_Campaign_4]]+Table1[[#This Row],[Accepted_Campaign_3]])</f>
        <v>0</v>
      </c>
      <c r="AC1821">
        <v>0</v>
      </c>
      <c r="AD1821">
        <v>0</v>
      </c>
    </row>
    <row r="1822" spans="1:30" x14ac:dyDescent="0.25">
      <c r="A1822">
        <v>41152</v>
      </c>
      <c r="B1822">
        <v>8852</v>
      </c>
      <c r="C1822">
        <v>1976</v>
      </c>
      <c r="D1822" t="s">
        <v>8</v>
      </c>
      <c r="E1822" t="s">
        <v>6</v>
      </c>
      <c r="F1822" t="s">
        <v>11</v>
      </c>
      <c r="G1822">
        <v>61064</v>
      </c>
      <c r="H1822">
        <v>1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f>SUM(Table1[[#This Row],[Gold Spending]]+Table1[[#This Row],[Sweet Spending]]+Table1[[#This Row],[Fish Spending]]+Table1[[#This Row],[Meat Spending]]+Table1[[#This Row],[Fruits Spending]]+Table1[[#This Row],[Wine Spending ]])</f>
        <v>1080</v>
      </c>
      <c r="Q1822">
        <v>5</v>
      </c>
      <c r="R1822">
        <v>8</v>
      </c>
      <c r="S1822">
        <v>4</v>
      </c>
      <c r="T1822">
        <v>11</v>
      </c>
      <c r="U1822">
        <f>SUM(Table1[[#This Row],[Store_Purchases]]+Table1[[#This Row],[Catalog_Purchases]]+Table1[[#This Row],[Web_Purchases]]+Table1[[#This Row],[Deal_Purchases]])</f>
        <v>28</v>
      </c>
      <c r="V1822">
        <v>6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f>SUM(Table1[[#This Row],[Accepted_Campaign_2]]+Table1[[#This Row],[Accepted_Campaign_1]]+Table1[[#This Row],[Accepted_Campaign_5]]+Table1[[#This Row],[Accepted_Campaign_4]]+Table1[[#This Row],[Accepted_Campaign_3]])</f>
        <v>0</v>
      </c>
      <c r="AC1822">
        <v>0</v>
      </c>
      <c r="AD1822">
        <v>0</v>
      </c>
    </row>
    <row r="1823" spans="1:30" x14ac:dyDescent="0.25">
      <c r="A1823">
        <v>41770</v>
      </c>
      <c r="B1823">
        <v>7698</v>
      </c>
      <c r="C1823">
        <v>1976</v>
      </c>
      <c r="D1823" t="s">
        <v>17</v>
      </c>
      <c r="E1823" t="s">
        <v>14</v>
      </c>
      <c r="F1823" t="s">
        <v>11</v>
      </c>
      <c r="G1823">
        <v>51650</v>
      </c>
      <c r="H1823">
        <v>1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f>SUM(Table1[[#This Row],[Gold Spending]]+Table1[[#This Row],[Sweet Spending]]+Table1[[#This Row],[Fish Spending]]+Table1[[#This Row],[Meat Spending]]+Table1[[#This Row],[Fruits Spending]]+Table1[[#This Row],[Wine Spending ]])</f>
        <v>191</v>
      </c>
      <c r="Q1823">
        <v>1</v>
      </c>
      <c r="R1823">
        <v>4</v>
      </c>
      <c r="S1823">
        <v>1</v>
      </c>
      <c r="T1823">
        <v>4</v>
      </c>
      <c r="U1823">
        <f>SUM(Table1[[#This Row],[Store_Purchases]]+Table1[[#This Row],[Catalog_Purchases]]+Table1[[#This Row],[Web_Purchases]]+Table1[[#This Row],[Deal_Purchases]])</f>
        <v>10</v>
      </c>
      <c r="V1823">
        <v>5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f>SUM(Table1[[#This Row],[Accepted_Campaign_2]]+Table1[[#This Row],[Accepted_Campaign_1]]+Table1[[#This Row],[Accepted_Campaign_5]]+Table1[[#This Row],[Accepted_Campaign_4]]+Table1[[#This Row],[Accepted_Campaign_3]])</f>
        <v>0</v>
      </c>
      <c r="AC1823">
        <v>0</v>
      </c>
      <c r="AD1823">
        <v>0</v>
      </c>
    </row>
    <row r="1824" spans="1:30" x14ac:dyDescent="0.25">
      <c r="A1824">
        <v>41746</v>
      </c>
      <c r="B1824">
        <v>4174</v>
      </c>
      <c r="C1824">
        <v>1956</v>
      </c>
      <c r="D1824" t="s">
        <v>8</v>
      </c>
      <c r="E1824" t="s">
        <v>18</v>
      </c>
      <c r="F1824" t="s">
        <v>12</v>
      </c>
      <c r="G1824">
        <v>55249</v>
      </c>
      <c r="H1824">
        <v>1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f>SUM(Table1[[#This Row],[Gold Spending]]+Table1[[#This Row],[Sweet Spending]]+Table1[[#This Row],[Fish Spending]]+Table1[[#This Row],[Meat Spending]]+Table1[[#This Row],[Fruits Spending]]+Table1[[#This Row],[Wine Spending ]])</f>
        <v>130</v>
      </c>
      <c r="Q1824">
        <v>1</v>
      </c>
      <c r="R1824">
        <v>2</v>
      </c>
      <c r="S1824">
        <v>1</v>
      </c>
      <c r="T1824">
        <v>4</v>
      </c>
      <c r="U1824">
        <f>SUM(Table1[[#This Row],[Store_Purchases]]+Table1[[#This Row],[Catalog_Purchases]]+Table1[[#This Row],[Web_Purchases]]+Table1[[#This Row],[Deal_Purchases]])</f>
        <v>8</v>
      </c>
      <c r="V1824">
        <v>3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f>SUM(Table1[[#This Row],[Accepted_Campaign_2]]+Table1[[#This Row],[Accepted_Campaign_1]]+Table1[[#This Row],[Accepted_Campaign_5]]+Table1[[#This Row],[Accepted_Campaign_4]]+Table1[[#This Row],[Accepted_Campaign_3]])</f>
        <v>0</v>
      </c>
      <c r="AC1824">
        <v>0</v>
      </c>
      <c r="AD1824">
        <v>0</v>
      </c>
    </row>
    <row r="1825" spans="1:30" x14ac:dyDescent="0.25">
      <c r="A1825">
        <v>41729</v>
      </c>
      <c r="B1825">
        <v>3182</v>
      </c>
      <c r="C1825">
        <v>1973</v>
      </c>
      <c r="D1825" t="s">
        <v>17</v>
      </c>
      <c r="E1825" t="s">
        <v>14</v>
      </c>
      <c r="F1825" t="s">
        <v>9</v>
      </c>
      <c r="G1825">
        <v>46854</v>
      </c>
      <c r="H1825">
        <v>2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f>SUM(Table1[[#This Row],[Gold Spending]]+Table1[[#This Row],[Sweet Spending]]+Table1[[#This Row],[Fish Spending]]+Table1[[#This Row],[Meat Spending]]+Table1[[#This Row],[Fruits Spending]]+Table1[[#This Row],[Wine Spending ]])</f>
        <v>263</v>
      </c>
      <c r="Q1825">
        <v>6</v>
      </c>
      <c r="R1825">
        <v>5</v>
      </c>
      <c r="S1825">
        <v>1</v>
      </c>
      <c r="T1825">
        <v>3</v>
      </c>
      <c r="U1825">
        <f>SUM(Table1[[#This Row],[Store_Purchases]]+Table1[[#This Row],[Catalog_Purchases]]+Table1[[#This Row],[Web_Purchases]]+Table1[[#This Row],[Deal_Purchases]])</f>
        <v>15</v>
      </c>
      <c r="V1825">
        <v>8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f>SUM(Table1[[#This Row],[Accepted_Campaign_2]]+Table1[[#This Row],[Accepted_Campaign_1]]+Table1[[#This Row],[Accepted_Campaign_5]]+Table1[[#This Row],[Accepted_Campaign_4]]+Table1[[#This Row],[Accepted_Campaign_3]])</f>
        <v>1</v>
      </c>
      <c r="AC1825">
        <v>1</v>
      </c>
      <c r="AD1825">
        <v>0</v>
      </c>
    </row>
    <row r="1826" spans="1:30" x14ac:dyDescent="0.25">
      <c r="A1826">
        <v>41687</v>
      </c>
      <c r="B1826">
        <v>193</v>
      </c>
      <c r="C1826">
        <v>1996</v>
      </c>
      <c r="D1826" t="s">
        <v>8</v>
      </c>
      <c r="E1826" t="s">
        <v>21</v>
      </c>
      <c r="F1826" t="s">
        <v>11</v>
      </c>
      <c r="G1826">
        <v>14421</v>
      </c>
      <c r="H1826">
        <v>0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f>SUM(Table1[[#This Row],[Gold Spending]]+Table1[[#This Row],[Sweet Spending]]+Table1[[#This Row],[Fish Spending]]+Table1[[#This Row],[Meat Spending]]+Table1[[#This Row],[Fruits Spending]]+Table1[[#This Row],[Wine Spending ]])</f>
        <v>16</v>
      </c>
      <c r="Q1826">
        <v>1</v>
      </c>
      <c r="R1826">
        <v>1</v>
      </c>
      <c r="S1826">
        <v>0</v>
      </c>
      <c r="T1826">
        <v>2</v>
      </c>
      <c r="U1826">
        <f>SUM(Table1[[#This Row],[Store_Purchases]]+Table1[[#This Row],[Catalog_Purchases]]+Table1[[#This Row],[Web_Purchases]]+Table1[[#This Row],[Deal_Purchases]])</f>
        <v>4</v>
      </c>
      <c r="V1826">
        <v>5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f>SUM(Table1[[#This Row],[Accepted_Campaign_2]]+Table1[[#This Row],[Accepted_Campaign_1]]+Table1[[#This Row],[Accepted_Campaign_5]]+Table1[[#This Row],[Accepted_Campaign_4]]+Table1[[#This Row],[Accepted_Campaign_3]])</f>
        <v>1</v>
      </c>
      <c r="AC1826">
        <v>0</v>
      </c>
      <c r="AD1826">
        <v>0</v>
      </c>
    </row>
    <row r="1827" spans="1:30" x14ac:dyDescent="0.25">
      <c r="A1827">
        <v>41686</v>
      </c>
      <c r="B1827">
        <v>5229</v>
      </c>
      <c r="C1827">
        <v>1969</v>
      </c>
      <c r="D1827" t="s">
        <v>16</v>
      </c>
      <c r="E1827" t="s">
        <v>14</v>
      </c>
      <c r="F1827" t="s">
        <v>12</v>
      </c>
      <c r="G1827">
        <v>54132</v>
      </c>
      <c r="H1827">
        <v>1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f>SUM(Table1[[#This Row],[Gold Spending]]+Table1[[#This Row],[Sweet Spending]]+Table1[[#This Row],[Fish Spending]]+Table1[[#This Row],[Meat Spending]]+Table1[[#This Row],[Fruits Spending]]+Table1[[#This Row],[Wine Spending ]])</f>
        <v>42</v>
      </c>
      <c r="Q1827">
        <v>1</v>
      </c>
      <c r="R1827">
        <v>1</v>
      </c>
      <c r="S1827">
        <v>0</v>
      </c>
      <c r="T1827">
        <v>3</v>
      </c>
      <c r="U1827">
        <f>SUM(Table1[[#This Row],[Store_Purchases]]+Table1[[#This Row],[Catalog_Purchases]]+Table1[[#This Row],[Web_Purchases]]+Table1[[#This Row],[Deal_Purchases]])</f>
        <v>5</v>
      </c>
      <c r="V1827">
        <v>7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f>SUM(Table1[[#This Row],[Accepted_Campaign_2]]+Table1[[#This Row],[Accepted_Campaign_1]]+Table1[[#This Row],[Accepted_Campaign_5]]+Table1[[#This Row],[Accepted_Campaign_4]]+Table1[[#This Row],[Accepted_Campaign_3]])</f>
        <v>0</v>
      </c>
      <c r="AC1827">
        <v>0</v>
      </c>
      <c r="AD1827">
        <v>0</v>
      </c>
    </row>
    <row r="1828" spans="1:30" x14ac:dyDescent="0.25">
      <c r="A1828">
        <v>41677</v>
      </c>
      <c r="B1828">
        <v>5555</v>
      </c>
      <c r="C1828">
        <v>1975</v>
      </c>
      <c r="D1828" t="s">
        <v>8</v>
      </c>
      <c r="E1828" t="s">
        <v>6</v>
      </c>
      <c r="F1828" t="s">
        <v>7</v>
      </c>
      <c r="G1828">
        <v>153924</v>
      </c>
      <c r="H1828">
        <v>0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f>SUM(Table1[[#This Row],[Gold Spending]]+Table1[[#This Row],[Sweet Spending]]+Table1[[#This Row],[Fish Spending]]+Table1[[#This Row],[Meat Spending]]+Table1[[#This Row],[Fruits Spending]]+Table1[[#This Row],[Wine Spending ]])</f>
        <v>6</v>
      </c>
      <c r="Q1828">
        <v>0</v>
      </c>
      <c r="R1828">
        <v>0</v>
      </c>
      <c r="S1828">
        <v>0</v>
      </c>
      <c r="T1828">
        <v>0</v>
      </c>
      <c r="U1828">
        <f>SUM(Table1[[#This Row],[Store_Purchases]]+Table1[[#This Row],[Catalog_Purchases]]+Table1[[#This Row],[Web_Purchases]]+Table1[[#This Row],[Deal_Purchases]])</f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f>SUM(Table1[[#This Row],[Accepted_Campaign_2]]+Table1[[#This Row],[Accepted_Campaign_1]]+Table1[[#This Row],[Accepted_Campaign_5]]+Table1[[#This Row],[Accepted_Campaign_4]]+Table1[[#This Row],[Accepted_Campaign_3]])</f>
        <v>0</v>
      </c>
      <c r="AC1828">
        <v>0</v>
      </c>
      <c r="AD1828">
        <v>0</v>
      </c>
    </row>
    <row r="1829" spans="1:30" x14ac:dyDescent="0.25">
      <c r="A1829">
        <v>41641</v>
      </c>
      <c r="B1829">
        <v>7732</v>
      </c>
      <c r="C1829">
        <v>1978</v>
      </c>
      <c r="D1829" t="s">
        <v>8</v>
      </c>
      <c r="E1829" t="s">
        <v>6</v>
      </c>
      <c r="F1829" t="s">
        <v>11</v>
      </c>
      <c r="G1829">
        <v>64813</v>
      </c>
      <c r="H1829">
        <v>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f>SUM(Table1[[#This Row],[Gold Spending]]+Table1[[#This Row],[Sweet Spending]]+Table1[[#This Row],[Fish Spending]]+Table1[[#This Row],[Meat Spending]]+Table1[[#This Row],[Fruits Spending]]+Table1[[#This Row],[Wine Spending ]])</f>
        <v>745</v>
      </c>
      <c r="Q1829">
        <v>1</v>
      </c>
      <c r="R1829">
        <v>7</v>
      </c>
      <c r="S1829">
        <v>2</v>
      </c>
      <c r="T1829">
        <v>10</v>
      </c>
      <c r="U1829">
        <f>SUM(Table1[[#This Row],[Store_Purchases]]+Table1[[#This Row],[Catalog_Purchases]]+Table1[[#This Row],[Web_Purchases]]+Table1[[#This Row],[Deal_Purchases]])</f>
        <v>20</v>
      </c>
      <c r="V1829">
        <v>5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f>SUM(Table1[[#This Row],[Accepted_Campaign_2]]+Table1[[#This Row],[Accepted_Campaign_1]]+Table1[[#This Row],[Accepted_Campaign_5]]+Table1[[#This Row],[Accepted_Campaign_4]]+Table1[[#This Row],[Accepted_Campaign_3]])</f>
        <v>0</v>
      </c>
      <c r="AC1829">
        <v>0</v>
      </c>
      <c r="AD1829">
        <v>0</v>
      </c>
    </row>
    <row r="1830" spans="1:30" x14ac:dyDescent="0.25">
      <c r="A1830">
        <v>41621</v>
      </c>
      <c r="B1830">
        <v>310</v>
      </c>
      <c r="C1830">
        <v>1970</v>
      </c>
      <c r="D1830" t="s">
        <v>10</v>
      </c>
      <c r="E1830" t="s">
        <v>18</v>
      </c>
      <c r="F1830" t="s">
        <v>11</v>
      </c>
      <c r="G1830">
        <v>61872</v>
      </c>
      <c r="H1830">
        <v>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f>SUM(Table1[[#This Row],[Gold Spending]]+Table1[[#This Row],[Sweet Spending]]+Table1[[#This Row],[Fish Spending]]+Table1[[#This Row],[Meat Spending]]+Table1[[#This Row],[Fruits Spending]]+Table1[[#This Row],[Wine Spending ]])</f>
        <v>573</v>
      </c>
      <c r="Q1830">
        <v>4</v>
      </c>
      <c r="R1830">
        <v>4</v>
      </c>
      <c r="S1830">
        <v>4</v>
      </c>
      <c r="T1830">
        <v>9</v>
      </c>
      <c r="U1830">
        <f>SUM(Table1[[#This Row],[Store_Purchases]]+Table1[[#This Row],[Catalog_Purchases]]+Table1[[#This Row],[Web_Purchases]]+Table1[[#This Row],[Deal_Purchases]])</f>
        <v>21</v>
      </c>
      <c r="V1830">
        <v>4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f>SUM(Table1[[#This Row],[Accepted_Campaign_2]]+Table1[[#This Row],[Accepted_Campaign_1]]+Table1[[#This Row],[Accepted_Campaign_5]]+Table1[[#This Row],[Accepted_Campaign_4]]+Table1[[#This Row],[Accepted_Campaign_3]])</f>
        <v>0</v>
      </c>
      <c r="AC1830">
        <v>0</v>
      </c>
      <c r="AD1830">
        <v>0</v>
      </c>
    </row>
    <row r="1831" spans="1:30" x14ac:dyDescent="0.25">
      <c r="A1831">
        <v>41604</v>
      </c>
      <c r="B1831">
        <v>6261</v>
      </c>
      <c r="C1831">
        <v>1979</v>
      </c>
      <c r="D1831" t="s">
        <v>17</v>
      </c>
      <c r="E1831" t="s">
        <v>6</v>
      </c>
      <c r="F1831" t="s">
        <v>11</v>
      </c>
      <c r="G1831">
        <v>58025</v>
      </c>
      <c r="H1831">
        <v>1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f>SUM(Table1[[#This Row],[Gold Spending]]+Table1[[#This Row],[Sweet Spending]]+Table1[[#This Row],[Fish Spending]]+Table1[[#This Row],[Meat Spending]]+Table1[[#This Row],[Fruits Spending]]+Table1[[#This Row],[Wine Spending ]])</f>
        <v>470</v>
      </c>
      <c r="Q1831">
        <v>3</v>
      </c>
      <c r="R1831">
        <v>3</v>
      </c>
      <c r="S1831">
        <v>2</v>
      </c>
      <c r="T1831">
        <v>10</v>
      </c>
      <c r="U1831">
        <f>SUM(Table1[[#This Row],[Store_Purchases]]+Table1[[#This Row],[Catalog_Purchases]]+Table1[[#This Row],[Web_Purchases]]+Table1[[#This Row],[Deal_Purchases]])</f>
        <v>18</v>
      </c>
      <c r="V1831">
        <v>4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f>SUM(Table1[[#This Row],[Accepted_Campaign_2]]+Table1[[#This Row],[Accepted_Campaign_1]]+Table1[[#This Row],[Accepted_Campaign_5]]+Table1[[#This Row],[Accepted_Campaign_4]]+Table1[[#This Row],[Accepted_Campaign_3]])</f>
        <v>0</v>
      </c>
      <c r="AC1831">
        <v>0</v>
      </c>
      <c r="AD1831">
        <v>0</v>
      </c>
    </row>
    <row r="1832" spans="1:30" x14ac:dyDescent="0.25">
      <c r="A1832">
        <v>41593</v>
      </c>
      <c r="B1832">
        <v>6274</v>
      </c>
      <c r="C1832">
        <v>1948</v>
      </c>
      <c r="D1832" t="s">
        <v>20</v>
      </c>
      <c r="E1832" t="s">
        <v>18</v>
      </c>
      <c r="F1832" t="s">
        <v>11</v>
      </c>
      <c r="G1832">
        <v>83790</v>
      </c>
      <c r="H1832">
        <v>0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f>SUM(Table1[[#This Row],[Gold Spending]]+Table1[[#This Row],[Sweet Spending]]+Table1[[#This Row],[Fish Spending]]+Table1[[#This Row],[Meat Spending]]+Table1[[#This Row],[Fruits Spending]]+Table1[[#This Row],[Wine Spending ]])</f>
        <v>1615</v>
      </c>
      <c r="Q1832">
        <v>1</v>
      </c>
      <c r="R1832">
        <v>8</v>
      </c>
      <c r="S1832">
        <v>10</v>
      </c>
      <c r="T1832">
        <v>6</v>
      </c>
      <c r="U1832">
        <f>SUM(Table1[[#This Row],[Store_Purchases]]+Table1[[#This Row],[Catalog_Purchases]]+Table1[[#This Row],[Web_Purchases]]+Table1[[#This Row],[Deal_Purchases]])</f>
        <v>25</v>
      </c>
      <c r="V1832">
        <v>3</v>
      </c>
      <c r="W1832">
        <v>0</v>
      </c>
      <c r="X1832">
        <v>1</v>
      </c>
      <c r="Y1832">
        <v>1</v>
      </c>
      <c r="Z1832">
        <v>0</v>
      </c>
      <c r="AA1832">
        <v>0</v>
      </c>
      <c r="AB1832">
        <f>SUM(Table1[[#This Row],[Accepted_Campaign_2]]+Table1[[#This Row],[Accepted_Campaign_1]]+Table1[[#This Row],[Accepted_Campaign_5]]+Table1[[#This Row],[Accepted_Campaign_4]]+Table1[[#This Row],[Accepted_Campaign_3]])</f>
        <v>2</v>
      </c>
      <c r="AC1832">
        <v>0</v>
      </c>
      <c r="AD1832">
        <v>0</v>
      </c>
    </row>
    <row r="1833" spans="1:30" x14ac:dyDescent="0.25">
      <c r="A1833">
        <v>41566</v>
      </c>
      <c r="B1833">
        <v>1655</v>
      </c>
      <c r="C1833">
        <v>1979</v>
      </c>
      <c r="D1833" t="s">
        <v>13</v>
      </c>
      <c r="E1833" t="s">
        <v>6</v>
      </c>
      <c r="F1833" t="s">
        <v>12</v>
      </c>
      <c r="G1833">
        <v>34350</v>
      </c>
      <c r="H1833">
        <v>1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f>SUM(Table1[[#This Row],[Gold Spending]]+Table1[[#This Row],[Sweet Spending]]+Table1[[#This Row],[Fish Spending]]+Table1[[#This Row],[Meat Spending]]+Table1[[#This Row],[Fruits Spending]]+Table1[[#This Row],[Wine Spending ]])</f>
        <v>48</v>
      </c>
      <c r="Q1833">
        <v>1</v>
      </c>
      <c r="R1833">
        <v>1</v>
      </c>
      <c r="S1833">
        <v>0</v>
      </c>
      <c r="T1833">
        <v>3</v>
      </c>
      <c r="U1833">
        <f>SUM(Table1[[#This Row],[Store_Purchases]]+Table1[[#This Row],[Catalog_Purchases]]+Table1[[#This Row],[Web_Purchases]]+Table1[[#This Row],[Deal_Purchases]])</f>
        <v>5</v>
      </c>
      <c r="V1833">
        <v>7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f>SUM(Table1[[#This Row],[Accepted_Campaign_2]]+Table1[[#This Row],[Accepted_Campaign_1]]+Table1[[#This Row],[Accepted_Campaign_5]]+Table1[[#This Row],[Accepted_Campaign_4]]+Table1[[#This Row],[Accepted_Campaign_3]])</f>
        <v>0</v>
      </c>
      <c r="AC1833">
        <v>0</v>
      </c>
      <c r="AD1833">
        <v>0</v>
      </c>
    </row>
    <row r="1834" spans="1:30" x14ac:dyDescent="0.25">
      <c r="A1834">
        <v>41539</v>
      </c>
      <c r="B1834">
        <v>2740</v>
      </c>
      <c r="C1834">
        <v>1958</v>
      </c>
      <c r="D1834" t="s">
        <v>8</v>
      </c>
      <c r="E1834" t="s">
        <v>14</v>
      </c>
      <c r="F1834" t="s">
        <v>19</v>
      </c>
      <c r="G1834">
        <v>33438</v>
      </c>
      <c r="H1834">
        <v>2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f>SUM(Table1[[#This Row],[Gold Spending]]+Table1[[#This Row],[Sweet Spending]]+Table1[[#This Row],[Fish Spending]]+Table1[[#This Row],[Meat Spending]]+Table1[[#This Row],[Fruits Spending]]+Table1[[#This Row],[Wine Spending ]])</f>
        <v>90</v>
      </c>
      <c r="Q1834">
        <v>4</v>
      </c>
      <c r="R1834">
        <v>2</v>
      </c>
      <c r="S1834">
        <v>1</v>
      </c>
      <c r="T1834">
        <v>4</v>
      </c>
      <c r="U1834">
        <f>SUM(Table1[[#This Row],[Store_Purchases]]+Table1[[#This Row],[Catalog_Purchases]]+Table1[[#This Row],[Web_Purchases]]+Table1[[#This Row],[Deal_Purchases]])</f>
        <v>11</v>
      </c>
      <c r="V1834">
        <v>5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f>SUM(Table1[[#This Row],[Accepted_Campaign_2]]+Table1[[#This Row],[Accepted_Campaign_1]]+Table1[[#This Row],[Accepted_Campaign_5]]+Table1[[#This Row],[Accepted_Campaign_4]]+Table1[[#This Row],[Accepted_Campaign_3]])</f>
        <v>0</v>
      </c>
      <c r="AC1834">
        <v>0</v>
      </c>
      <c r="AD1834">
        <v>0</v>
      </c>
    </row>
    <row r="1835" spans="1:30" x14ac:dyDescent="0.25">
      <c r="A1835">
        <v>41524</v>
      </c>
      <c r="B1835">
        <v>4328</v>
      </c>
      <c r="C1835">
        <v>1986</v>
      </c>
      <c r="D1835" t="s">
        <v>8</v>
      </c>
      <c r="E1835" t="s">
        <v>15</v>
      </c>
      <c r="F1835" t="s">
        <v>11</v>
      </c>
      <c r="G1835">
        <v>21955</v>
      </c>
      <c r="H1835">
        <v>1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1835">
        <v>2</v>
      </c>
      <c r="R1835">
        <v>2</v>
      </c>
      <c r="S1835">
        <v>1</v>
      </c>
      <c r="T1835">
        <v>3</v>
      </c>
      <c r="U1835">
        <f>SUM(Table1[[#This Row],[Store_Purchases]]+Table1[[#This Row],[Catalog_Purchases]]+Table1[[#This Row],[Web_Purchases]]+Table1[[#This Row],[Deal_Purchases]])</f>
        <v>8</v>
      </c>
      <c r="V1835">
        <v>6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f>SUM(Table1[[#This Row],[Accepted_Campaign_2]]+Table1[[#This Row],[Accepted_Campaign_1]]+Table1[[#This Row],[Accepted_Campaign_5]]+Table1[[#This Row],[Accepted_Campaign_4]]+Table1[[#This Row],[Accepted_Campaign_3]])</f>
        <v>0</v>
      </c>
      <c r="AC1835">
        <v>0</v>
      </c>
      <c r="AD1835">
        <v>0</v>
      </c>
    </row>
    <row r="1836" spans="1:30" x14ac:dyDescent="0.25">
      <c r="A1836">
        <v>41523</v>
      </c>
      <c r="B1836">
        <v>17</v>
      </c>
      <c r="C1836">
        <v>1971</v>
      </c>
      <c r="D1836" t="s">
        <v>8</v>
      </c>
      <c r="E1836" t="s">
        <v>14</v>
      </c>
      <c r="F1836" t="s">
        <v>11</v>
      </c>
      <c r="G1836">
        <v>60491</v>
      </c>
      <c r="H1836">
        <v>1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f>SUM(Table1[[#This Row],[Gold Spending]]+Table1[[#This Row],[Sweet Spending]]+Table1[[#This Row],[Fish Spending]]+Table1[[#This Row],[Meat Spending]]+Table1[[#This Row],[Fruits Spending]]+Table1[[#This Row],[Wine Spending ]])</f>
        <v>1028</v>
      </c>
      <c r="Q1836">
        <v>4</v>
      </c>
      <c r="R1836">
        <v>6</v>
      </c>
      <c r="S1836">
        <v>11</v>
      </c>
      <c r="T1836">
        <v>7</v>
      </c>
      <c r="U1836">
        <f>SUM(Table1[[#This Row],[Store_Purchases]]+Table1[[#This Row],[Catalog_Purchases]]+Table1[[#This Row],[Web_Purchases]]+Table1[[#This Row],[Deal_Purchases]])</f>
        <v>28</v>
      </c>
      <c r="V1836">
        <v>5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f>SUM(Table1[[#This Row],[Accepted_Campaign_2]]+Table1[[#This Row],[Accepted_Campaign_1]]+Table1[[#This Row],[Accepted_Campaign_5]]+Table1[[#This Row],[Accepted_Campaign_4]]+Table1[[#This Row],[Accepted_Campaign_3]])</f>
        <v>0</v>
      </c>
      <c r="AC1836">
        <v>0</v>
      </c>
      <c r="AD1836">
        <v>0</v>
      </c>
    </row>
    <row r="1837" spans="1:30" x14ac:dyDescent="0.25">
      <c r="A1837">
        <v>41484</v>
      </c>
      <c r="B1837">
        <v>9153</v>
      </c>
      <c r="C1837">
        <v>1964</v>
      </c>
      <c r="D1837" t="s">
        <v>8</v>
      </c>
      <c r="E1837" t="s">
        <v>14</v>
      </c>
      <c r="F1837" t="s">
        <v>11</v>
      </c>
      <c r="G1837">
        <v>59304</v>
      </c>
      <c r="H1837">
        <v>1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f>SUM(Table1[[#This Row],[Gold Spending]]+Table1[[#This Row],[Sweet Spending]]+Table1[[#This Row],[Fish Spending]]+Table1[[#This Row],[Meat Spending]]+Table1[[#This Row],[Fruits Spending]]+Table1[[#This Row],[Wine Spending ]])</f>
        <v>1048</v>
      </c>
      <c r="Q1837">
        <v>3</v>
      </c>
      <c r="R1837">
        <v>7</v>
      </c>
      <c r="S1837">
        <v>8</v>
      </c>
      <c r="T1837">
        <v>10</v>
      </c>
      <c r="U1837">
        <f>SUM(Table1[[#This Row],[Store_Purchases]]+Table1[[#This Row],[Catalog_Purchases]]+Table1[[#This Row],[Web_Purchases]]+Table1[[#This Row],[Deal_Purchases]])</f>
        <v>28</v>
      </c>
      <c r="V1837">
        <v>5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f>SUM(Table1[[#This Row],[Accepted_Campaign_2]]+Table1[[#This Row],[Accepted_Campaign_1]]+Table1[[#This Row],[Accepted_Campaign_5]]+Table1[[#This Row],[Accepted_Campaign_4]]+Table1[[#This Row],[Accepted_Campaign_3]])</f>
        <v>0</v>
      </c>
      <c r="AC1837">
        <v>0</v>
      </c>
      <c r="AD1837">
        <v>0</v>
      </c>
    </row>
    <row r="1838" spans="1:30" x14ac:dyDescent="0.25">
      <c r="A1838">
        <v>41456</v>
      </c>
      <c r="B1838">
        <v>520</v>
      </c>
      <c r="C1838">
        <v>1974</v>
      </c>
      <c r="D1838" t="s">
        <v>8</v>
      </c>
      <c r="E1838" t="s">
        <v>6</v>
      </c>
      <c r="F1838" t="s">
        <v>11</v>
      </c>
      <c r="G1838">
        <v>34421</v>
      </c>
      <c r="H1838">
        <v>1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f>SUM(Table1[[#This Row],[Gold Spending]]+Table1[[#This Row],[Sweet Spending]]+Table1[[#This Row],[Fish Spending]]+Table1[[#This Row],[Meat Spending]]+Table1[[#This Row],[Fruits Spending]]+Table1[[#This Row],[Wine Spending ]])</f>
        <v>30</v>
      </c>
      <c r="Q1838">
        <v>1</v>
      </c>
      <c r="R1838">
        <v>1</v>
      </c>
      <c r="S1838">
        <v>0</v>
      </c>
      <c r="T1838">
        <v>2</v>
      </c>
      <c r="U1838">
        <f>SUM(Table1[[#This Row],[Store_Purchases]]+Table1[[#This Row],[Catalog_Purchases]]+Table1[[#This Row],[Web_Purchases]]+Table1[[#This Row],[Deal_Purchases]])</f>
        <v>4</v>
      </c>
      <c r="V1838">
        <v>7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f>SUM(Table1[[#This Row],[Accepted_Campaign_2]]+Table1[[#This Row],[Accepted_Campaign_1]]+Table1[[#This Row],[Accepted_Campaign_5]]+Table1[[#This Row],[Accepted_Campaign_4]]+Table1[[#This Row],[Accepted_Campaign_3]])</f>
        <v>0</v>
      </c>
      <c r="AC1838">
        <v>0</v>
      </c>
      <c r="AD1838">
        <v>0</v>
      </c>
    </row>
    <row r="1839" spans="1:30" x14ac:dyDescent="0.25">
      <c r="A1839">
        <v>41456</v>
      </c>
      <c r="B1839">
        <v>8372</v>
      </c>
      <c r="C1839">
        <v>1974</v>
      </c>
      <c r="D1839" t="s">
        <v>20</v>
      </c>
      <c r="E1839" t="s">
        <v>6</v>
      </c>
      <c r="F1839" t="s">
        <v>11</v>
      </c>
      <c r="G1839">
        <v>34421</v>
      </c>
      <c r="H1839">
        <v>1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f>SUM(Table1[[#This Row],[Gold Spending]]+Table1[[#This Row],[Sweet Spending]]+Table1[[#This Row],[Fish Spending]]+Table1[[#This Row],[Meat Spending]]+Table1[[#This Row],[Fruits Spending]]+Table1[[#This Row],[Wine Spending ]])</f>
        <v>30</v>
      </c>
      <c r="Q1839">
        <v>1</v>
      </c>
      <c r="R1839">
        <v>1</v>
      </c>
      <c r="S1839">
        <v>0</v>
      </c>
      <c r="T1839">
        <v>2</v>
      </c>
      <c r="U1839">
        <f>SUM(Table1[[#This Row],[Store_Purchases]]+Table1[[#This Row],[Catalog_Purchases]]+Table1[[#This Row],[Web_Purchases]]+Table1[[#This Row],[Deal_Purchases]])</f>
        <v>4</v>
      </c>
      <c r="V1839">
        <v>7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f>SUM(Table1[[#This Row],[Accepted_Campaign_2]]+Table1[[#This Row],[Accepted_Campaign_1]]+Table1[[#This Row],[Accepted_Campaign_5]]+Table1[[#This Row],[Accepted_Campaign_4]]+Table1[[#This Row],[Accepted_Campaign_3]])</f>
        <v>0</v>
      </c>
      <c r="AC1839">
        <v>0</v>
      </c>
      <c r="AD1839">
        <v>0</v>
      </c>
    </row>
    <row r="1840" spans="1:30" x14ac:dyDescent="0.25">
      <c r="A1840">
        <v>41420</v>
      </c>
      <c r="B1840">
        <v>73</v>
      </c>
      <c r="C1840">
        <v>1953</v>
      </c>
      <c r="D1840" t="s">
        <v>17</v>
      </c>
      <c r="E1840" t="s">
        <v>14</v>
      </c>
      <c r="F1840" t="s">
        <v>9</v>
      </c>
      <c r="G1840">
        <v>51411</v>
      </c>
      <c r="H1840">
        <v>3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f>SUM(Table1[[#This Row],[Gold Spending]]+Table1[[#This Row],[Sweet Spending]]+Table1[[#This Row],[Fish Spending]]+Table1[[#This Row],[Meat Spending]]+Table1[[#This Row],[Fruits Spending]]+Table1[[#This Row],[Wine Spending ]])</f>
        <v>18</v>
      </c>
      <c r="Q1840">
        <v>1</v>
      </c>
      <c r="R1840">
        <v>0</v>
      </c>
      <c r="S1840">
        <v>0</v>
      </c>
      <c r="T1840">
        <v>3</v>
      </c>
      <c r="U1840">
        <f>SUM(Table1[[#This Row],[Store_Purchases]]+Table1[[#This Row],[Catalog_Purchases]]+Table1[[#This Row],[Web_Purchases]]+Table1[[#This Row],[Deal_Purchases]])</f>
        <v>4</v>
      </c>
      <c r="V1840">
        <v>5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f>SUM(Table1[[#This Row],[Accepted_Campaign_2]]+Table1[[#This Row],[Accepted_Campaign_1]]+Table1[[#This Row],[Accepted_Campaign_5]]+Table1[[#This Row],[Accepted_Campaign_4]]+Table1[[#This Row],[Accepted_Campaign_3]])</f>
        <v>0</v>
      </c>
      <c r="AC1840">
        <v>0</v>
      </c>
      <c r="AD1840">
        <v>0</v>
      </c>
    </row>
    <row r="1841" spans="1:30" x14ac:dyDescent="0.25">
      <c r="A1841">
        <v>41414</v>
      </c>
      <c r="B1841">
        <v>2002</v>
      </c>
      <c r="C1841">
        <v>1958</v>
      </c>
      <c r="D1841" t="s">
        <v>8</v>
      </c>
      <c r="E1841" t="s">
        <v>6</v>
      </c>
      <c r="F1841" t="s">
        <v>7</v>
      </c>
      <c r="G1841">
        <v>71964</v>
      </c>
      <c r="H1841">
        <v>0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f>SUM(Table1[[#This Row],[Gold Spending]]+Table1[[#This Row],[Sweet Spending]]+Table1[[#This Row],[Fish Spending]]+Table1[[#This Row],[Meat Spending]]+Table1[[#This Row],[Fruits Spending]]+Table1[[#This Row],[Wine Spending ]])</f>
        <v>1870</v>
      </c>
      <c r="Q1841">
        <v>1</v>
      </c>
      <c r="R1841">
        <v>5</v>
      </c>
      <c r="S1841">
        <v>6</v>
      </c>
      <c r="T1841">
        <v>5</v>
      </c>
      <c r="U1841">
        <f>SUM(Table1[[#This Row],[Store_Purchases]]+Table1[[#This Row],[Catalog_Purchases]]+Table1[[#This Row],[Web_Purchases]]+Table1[[#This Row],[Deal_Purchases]])</f>
        <v>17</v>
      </c>
      <c r="V1841">
        <v>3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f>SUM(Table1[[#This Row],[Accepted_Campaign_2]]+Table1[[#This Row],[Accepted_Campaign_1]]+Table1[[#This Row],[Accepted_Campaign_5]]+Table1[[#This Row],[Accepted_Campaign_4]]+Table1[[#This Row],[Accepted_Campaign_3]])</f>
        <v>0</v>
      </c>
      <c r="AC1841">
        <v>0</v>
      </c>
      <c r="AD1841">
        <v>0</v>
      </c>
    </row>
    <row r="1842" spans="1:30" x14ac:dyDescent="0.25">
      <c r="A1842">
        <v>41337</v>
      </c>
      <c r="B1842">
        <v>6059</v>
      </c>
      <c r="C1842">
        <v>1953</v>
      </c>
      <c r="D1842" t="s">
        <v>8</v>
      </c>
      <c r="E1842" t="s">
        <v>14</v>
      </c>
      <c r="F1842" t="s">
        <v>12</v>
      </c>
      <c r="G1842">
        <v>64504</v>
      </c>
      <c r="H1842">
        <v>3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f>SUM(Table1[[#This Row],[Gold Spending]]+Table1[[#This Row],[Sweet Spending]]+Table1[[#This Row],[Fish Spending]]+Table1[[#This Row],[Meat Spending]]+Table1[[#This Row],[Fruits Spending]]+Table1[[#This Row],[Wine Spending ]])</f>
        <v>1314</v>
      </c>
      <c r="Q1842">
        <v>7</v>
      </c>
      <c r="R1842">
        <v>11</v>
      </c>
      <c r="S1842">
        <v>3</v>
      </c>
      <c r="T1842">
        <v>4</v>
      </c>
      <c r="U1842">
        <f>SUM(Table1[[#This Row],[Store_Purchases]]+Table1[[#This Row],[Catalog_Purchases]]+Table1[[#This Row],[Web_Purchases]]+Table1[[#This Row],[Deal_Purchases]])</f>
        <v>25</v>
      </c>
      <c r="V1842">
        <v>7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f>SUM(Table1[[#This Row],[Accepted_Campaign_2]]+Table1[[#This Row],[Accepted_Campaign_1]]+Table1[[#This Row],[Accepted_Campaign_5]]+Table1[[#This Row],[Accepted_Campaign_4]]+Table1[[#This Row],[Accepted_Campaign_3]])</f>
        <v>0</v>
      </c>
      <c r="AC1842">
        <v>1</v>
      </c>
      <c r="AD1842">
        <v>0</v>
      </c>
    </row>
    <row r="1843" spans="1:30" x14ac:dyDescent="0.25">
      <c r="A1843">
        <v>41307</v>
      </c>
      <c r="B1843">
        <v>11166</v>
      </c>
      <c r="C1843">
        <v>1961</v>
      </c>
      <c r="D1843" t="s">
        <v>8</v>
      </c>
      <c r="E1843" t="s">
        <v>6</v>
      </c>
      <c r="F1843" t="s">
        <v>11</v>
      </c>
      <c r="G1843">
        <v>49678</v>
      </c>
      <c r="H1843">
        <v>1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f>SUM(Table1[[#This Row],[Gold Spending]]+Table1[[#This Row],[Sweet Spending]]+Table1[[#This Row],[Fish Spending]]+Table1[[#This Row],[Meat Spending]]+Table1[[#This Row],[Fruits Spending]]+Table1[[#This Row],[Wine Spending ]])</f>
        <v>315</v>
      </c>
      <c r="Q1843">
        <v>2</v>
      </c>
      <c r="R1843">
        <v>6</v>
      </c>
      <c r="S1843">
        <v>2</v>
      </c>
      <c r="T1843">
        <v>4</v>
      </c>
      <c r="U1843">
        <f>SUM(Table1[[#This Row],[Store_Purchases]]+Table1[[#This Row],[Catalog_Purchases]]+Table1[[#This Row],[Web_Purchases]]+Table1[[#This Row],[Deal_Purchases]])</f>
        <v>14</v>
      </c>
      <c r="V1843">
        <v>7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f>SUM(Table1[[#This Row],[Accepted_Campaign_2]]+Table1[[#This Row],[Accepted_Campaign_1]]+Table1[[#This Row],[Accepted_Campaign_5]]+Table1[[#This Row],[Accepted_Campaign_4]]+Table1[[#This Row],[Accepted_Campaign_3]])</f>
        <v>0</v>
      </c>
      <c r="AC1843">
        <v>0</v>
      </c>
      <c r="AD1843">
        <v>0</v>
      </c>
    </row>
    <row r="1844" spans="1:30" x14ac:dyDescent="0.25">
      <c r="A1844">
        <v>41297</v>
      </c>
      <c r="B1844">
        <v>6257</v>
      </c>
      <c r="C1844">
        <v>1976</v>
      </c>
      <c r="D1844" t="s">
        <v>20</v>
      </c>
      <c r="E1844" t="s">
        <v>18</v>
      </c>
      <c r="F1844" t="s">
        <v>9</v>
      </c>
      <c r="G1844">
        <v>60482</v>
      </c>
      <c r="H1844">
        <v>1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f>SUM(Table1[[#This Row],[Gold Spending]]+Table1[[#This Row],[Sweet Spending]]+Table1[[#This Row],[Fish Spending]]+Table1[[#This Row],[Meat Spending]]+Table1[[#This Row],[Fruits Spending]]+Table1[[#This Row],[Wine Spending ]])</f>
        <v>507</v>
      </c>
      <c r="Q1844">
        <v>1</v>
      </c>
      <c r="R1844">
        <v>7</v>
      </c>
      <c r="S1844">
        <v>2</v>
      </c>
      <c r="T1844">
        <v>7</v>
      </c>
      <c r="U1844">
        <f>SUM(Table1[[#This Row],[Store_Purchases]]+Table1[[#This Row],[Catalog_Purchases]]+Table1[[#This Row],[Web_Purchases]]+Table1[[#This Row],[Deal_Purchases]])</f>
        <v>17</v>
      </c>
      <c r="V1844">
        <v>7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f>SUM(Table1[[#This Row],[Accepted_Campaign_2]]+Table1[[#This Row],[Accepted_Campaign_1]]+Table1[[#This Row],[Accepted_Campaign_5]]+Table1[[#This Row],[Accepted_Campaign_4]]+Table1[[#This Row],[Accepted_Campaign_3]])</f>
        <v>0</v>
      </c>
      <c r="AC1844">
        <v>0</v>
      </c>
      <c r="AD1844">
        <v>0</v>
      </c>
    </row>
    <row r="1845" spans="1:30" x14ac:dyDescent="0.25">
      <c r="A1845">
        <v>41255</v>
      </c>
      <c r="B1845">
        <v>9224</v>
      </c>
      <c r="C1845">
        <v>1972</v>
      </c>
      <c r="D1845" t="s">
        <v>20</v>
      </c>
      <c r="E1845" t="s">
        <v>14</v>
      </c>
      <c r="F1845" t="s">
        <v>9</v>
      </c>
      <c r="G1845">
        <v>55260</v>
      </c>
      <c r="H1845">
        <v>1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f>SUM(Table1[[#This Row],[Gold Spending]]+Table1[[#This Row],[Sweet Spending]]+Table1[[#This Row],[Fish Spending]]+Table1[[#This Row],[Meat Spending]]+Table1[[#This Row],[Fruits Spending]]+Table1[[#This Row],[Wine Spending ]])</f>
        <v>1139</v>
      </c>
      <c r="Q1845">
        <v>2</v>
      </c>
      <c r="R1845">
        <v>8</v>
      </c>
      <c r="S1845">
        <v>10</v>
      </c>
      <c r="T1845">
        <v>5</v>
      </c>
      <c r="U1845">
        <f>SUM(Table1[[#This Row],[Store_Purchases]]+Table1[[#This Row],[Catalog_Purchases]]+Table1[[#This Row],[Web_Purchases]]+Table1[[#This Row],[Deal_Purchases]])</f>
        <v>25</v>
      </c>
      <c r="V1845">
        <v>6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f>SUM(Table1[[#This Row],[Accepted_Campaign_2]]+Table1[[#This Row],[Accepted_Campaign_1]]+Table1[[#This Row],[Accepted_Campaign_5]]+Table1[[#This Row],[Accepted_Campaign_4]]+Table1[[#This Row],[Accepted_Campaign_3]])</f>
        <v>0</v>
      </c>
      <c r="AC1845">
        <v>0</v>
      </c>
      <c r="AD1845">
        <v>0</v>
      </c>
    </row>
    <row r="1846" spans="1:30" x14ac:dyDescent="0.25">
      <c r="A1846">
        <v>41230</v>
      </c>
      <c r="B1846">
        <v>8732</v>
      </c>
      <c r="C1846">
        <v>1969</v>
      </c>
      <c r="D1846" t="s">
        <v>8</v>
      </c>
      <c r="E1846" t="s">
        <v>18</v>
      </c>
      <c r="F1846" t="s">
        <v>19</v>
      </c>
      <c r="G1846">
        <v>67369</v>
      </c>
      <c r="H1846">
        <v>1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f>SUM(Table1[[#This Row],[Gold Spending]]+Table1[[#This Row],[Sweet Spending]]+Table1[[#This Row],[Fish Spending]]+Table1[[#This Row],[Meat Spending]]+Table1[[#This Row],[Fruits Spending]]+Table1[[#This Row],[Wine Spending ]])</f>
        <v>1461</v>
      </c>
      <c r="Q1846">
        <v>4</v>
      </c>
      <c r="R1846">
        <v>7</v>
      </c>
      <c r="S1846">
        <v>4</v>
      </c>
      <c r="T1846">
        <v>10</v>
      </c>
      <c r="U1846">
        <f>SUM(Table1[[#This Row],[Store_Purchases]]+Table1[[#This Row],[Catalog_Purchases]]+Table1[[#This Row],[Web_Purchases]]+Table1[[#This Row],[Deal_Purchases]])</f>
        <v>25</v>
      </c>
      <c r="V1846">
        <v>4</v>
      </c>
      <c r="W1846">
        <v>0</v>
      </c>
      <c r="X1846">
        <v>1</v>
      </c>
      <c r="Y1846">
        <v>1</v>
      </c>
      <c r="Z1846">
        <v>0</v>
      </c>
      <c r="AA1846">
        <v>0</v>
      </c>
      <c r="AB1846">
        <f>SUM(Table1[[#This Row],[Accepted_Campaign_2]]+Table1[[#This Row],[Accepted_Campaign_1]]+Table1[[#This Row],[Accepted_Campaign_5]]+Table1[[#This Row],[Accepted_Campaign_4]]+Table1[[#This Row],[Accepted_Campaign_3]])</f>
        <v>2</v>
      </c>
      <c r="AC1846">
        <v>1</v>
      </c>
      <c r="AD1846">
        <v>0</v>
      </c>
    </row>
    <row r="1847" spans="1:30" x14ac:dyDescent="0.25">
      <c r="A1847">
        <v>41210</v>
      </c>
      <c r="B1847">
        <v>955</v>
      </c>
      <c r="C1847">
        <v>1962</v>
      </c>
      <c r="D1847" t="s">
        <v>20</v>
      </c>
      <c r="E1847" t="s">
        <v>18</v>
      </c>
      <c r="F1847" t="s">
        <v>12</v>
      </c>
      <c r="G1847">
        <v>47175</v>
      </c>
      <c r="H1847">
        <v>2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f>SUM(Table1[[#This Row],[Gold Spending]]+Table1[[#This Row],[Sweet Spending]]+Table1[[#This Row],[Fish Spending]]+Table1[[#This Row],[Meat Spending]]+Table1[[#This Row],[Fruits Spending]]+Table1[[#This Row],[Wine Spending ]])</f>
        <v>240</v>
      </c>
      <c r="Q1847">
        <v>7</v>
      </c>
      <c r="R1847">
        <v>4</v>
      </c>
      <c r="S1847">
        <v>2</v>
      </c>
      <c r="T1847">
        <v>4</v>
      </c>
      <c r="U1847">
        <f>SUM(Table1[[#This Row],[Store_Purchases]]+Table1[[#This Row],[Catalog_Purchases]]+Table1[[#This Row],[Web_Purchases]]+Table1[[#This Row],[Deal_Purchases]])</f>
        <v>17</v>
      </c>
      <c r="V1847">
        <v>8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f>SUM(Table1[[#This Row],[Accepted_Campaign_2]]+Table1[[#This Row],[Accepted_Campaign_1]]+Table1[[#This Row],[Accepted_Campaign_5]]+Table1[[#This Row],[Accepted_Campaign_4]]+Table1[[#This Row],[Accepted_Campaign_3]])</f>
        <v>1</v>
      </c>
      <c r="AC1847">
        <v>1</v>
      </c>
      <c r="AD1847">
        <v>0</v>
      </c>
    </row>
    <row r="1848" spans="1:30" x14ac:dyDescent="0.25">
      <c r="A1848">
        <v>41151</v>
      </c>
      <c r="B1848">
        <v>4910</v>
      </c>
      <c r="C1848">
        <v>1967</v>
      </c>
      <c r="D1848" t="s">
        <v>63</v>
      </c>
      <c r="E1848" t="s">
        <v>6</v>
      </c>
      <c r="F1848" t="s">
        <v>7</v>
      </c>
      <c r="G1848">
        <v>68743</v>
      </c>
      <c r="H1848">
        <v>0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f>SUM(Table1[[#This Row],[Gold Spending]]+Table1[[#This Row],[Sweet Spending]]+Table1[[#This Row],[Fish Spending]]+Table1[[#This Row],[Meat Spending]]+Table1[[#This Row],[Fruits Spending]]+Table1[[#This Row],[Wine Spending ]])</f>
        <v>2074</v>
      </c>
      <c r="Q1848">
        <v>1</v>
      </c>
      <c r="R1848">
        <v>11</v>
      </c>
      <c r="S1848">
        <v>5</v>
      </c>
      <c r="T1848">
        <v>13</v>
      </c>
      <c r="U1848">
        <f>SUM(Table1[[#This Row],[Store_Purchases]]+Table1[[#This Row],[Catalog_Purchases]]+Table1[[#This Row],[Web_Purchases]]+Table1[[#This Row],[Deal_Purchases]])</f>
        <v>30</v>
      </c>
      <c r="V1848">
        <v>7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f>SUM(Table1[[#This Row],[Accepted_Campaign_2]]+Table1[[#This Row],[Accepted_Campaign_1]]+Table1[[#This Row],[Accepted_Campaign_5]]+Table1[[#This Row],[Accepted_Campaign_4]]+Table1[[#This Row],[Accepted_Campaign_3]])</f>
        <v>0</v>
      </c>
      <c r="AC1848">
        <v>0</v>
      </c>
      <c r="AD1848">
        <v>0</v>
      </c>
    </row>
    <row r="1849" spans="1:30" x14ac:dyDescent="0.25">
      <c r="A1849">
        <v>41125</v>
      </c>
      <c r="B1849">
        <v>564</v>
      </c>
      <c r="C1849">
        <v>1981</v>
      </c>
      <c r="D1849" t="s">
        <v>8</v>
      </c>
      <c r="E1849" t="s">
        <v>14</v>
      </c>
      <c r="F1849" t="s">
        <v>12</v>
      </c>
      <c r="G1849">
        <v>56937</v>
      </c>
      <c r="H1849">
        <v>1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f>SUM(Table1[[#This Row],[Gold Spending]]+Table1[[#This Row],[Sweet Spending]]+Table1[[#This Row],[Fish Spending]]+Table1[[#This Row],[Meat Spending]]+Table1[[#This Row],[Fruits Spending]]+Table1[[#This Row],[Wine Spending ]])</f>
        <v>906</v>
      </c>
      <c r="Q1849">
        <v>7</v>
      </c>
      <c r="R1849">
        <v>8</v>
      </c>
      <c r="S1849">
        <v>6</v>
      </c>
      <c r="T1849">
        <v>9</v>
      </c>
      <c r="U1849">
        <f>SUM(Table1[[#This Row],[Store_Purchases]]+Table1[[#This Row],[Catalog_Purchases]]+Table1[[#This Row],[Web_Purchases]]+Table1[[#This Row],[Deal_Purchases]])</f>
        <v>30</v>
      </c>
      <c r="V1849">
        <v>6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f>SUM(Table1[[#This Row],[Accepted_Campaign_2]]+Table1[[#This Row],[Accepted_Campaign_1]]+Table1[[#This Row],[Accepted_Campaign_5]]+Table1[[#This Row],[Accepted_Campaign_4]]+Table1[[#This Row],[Accepted_Campaign_3]])</f>
        <v>1</v>
      </c>
      <c r="AC1849">
        <v>1</v>
      </c>
      <c r="AD1849">
        <v>0</v>
      </c>
    </row>
    <row r="1850" spans="1:30" x14ac:dyDescent="0.25">
      <c r="A1850">
        <v>41777</v>
      </c>
      <c r="B1850">
        <v>8931</v>
      </c>
      <c r="C1850">
        <v>1986</v>
      </c>
      <c r="D1850" t="s">
        <v>20</v>
      </c>
      <c r="E1850" t="s">
        <v>6</v>
      </c>
      <c r="F1850" t="s">
        <v>12</v>
      </c>
      <c r="G1850">
        <v>83033</v>
      </c>
      <c r="H1850">
        <v>1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f>SUM(Table1[[#This Row],[Gold Spending]]+Table1[[#This Row],[Sweet Spending]]+Table1[[#This Row],[Fish Spending]]+Table1[[#This Row],[Meat Spending]]+Table1[[#This Row],[Fruits Spending]]+Table1[[#This Row],[Wine Spending ]])</f>
        <v>1761</v>
      </c>
      <c r="Q1850">
        <v>1</v>
      </c>
      <c r="R1850">
        <v>11</v>
      </c>
      <c r="S1850">
        <v>4</v>
      </c>
      <c r="T1850">
        <v>10</v>
      </c>
      <c r="U1850">
        <f>SUM(Table1[[#This Row],[Store_Purchases]]+Table1[[#This Row],[Catalog_Purchases]]+Table1[[#This Row],[Web_Purchases]]+Table1[[#This Row],[Deal_Purchases]])</f>
        <v>26</v>
      </c>
      <c r="V1850">
        <v>5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f>SUM(Table1[[#This Row],[Accepted_Campaign_2]]+Table1[[#This Row],[Accepted_Campaign_1]]+Table1[[#This Row],[Accepted_Campaign_5]]+Table1[[#This Row],[Accepted_Campaign_4]]+Table1[[#This Row],[Accepted_Campaign_3]])</f>
        <v>1</v>
      </c>
      <c r="AC1850">
        <v>0</v>
      </c>
      <c r="AD1850">
        <v>0</v>
      </c>
    </row>
    <row r="1851" spans="1:30" x14ac:dyDescent="0.25">
      <c r="A1851">
        <v>41677</v>
      </c>
      <c r="B1851">
        <v>1998</v>
      </c>
      <c r="C1851">
        <v>1976</v>
      </c>
      <c r="D1851" t="s">
        <v>17</v>
      </c>
      <c r="E1851" t="s">
        <v>6</v>
      </c>
      <c r="F1851" t="s">
        <v>9</v>
      </c>
      <c r="G1851">
        <v>37697</v>
      </c>
      <c r="H1851">
        <v>1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f>SUM(Table1[[#This Row],[Gold Spending]]+Table1[[#This Row],[Sweet Spending]]+Table1[[#This Row],[Fish Spending]]+Table1[[#This Row],[Meat Spending]]+Table1[[#This Row],[Fruits Spending]]+Table1[[#This Row],[Wine Spending ]])</f>
        <v>84</v>
      </c>
      <c r="Q1851">
        <v>1</v>
      </c>
      <c r="R1851">
        <v>2</v>
      </c>
      <c r="S1851">
        <v>1</v>
      </c>
      <c r="T1851">
        <v>3</v>
      </c>
      <c r="U1851">
        <f>SUM(Table1[[#This Row],[Store_Purchases]]+Table1[[#This Row],[Catalog_Purchases]]+Table1[[#This Row],[Web_Purchases]]+Table1[[#This Row],[Deal_Purchases]])</f>
        <v>7</v>
      </c>
      <c r="V1851">
        <v>6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f>SUM(Table1[[#This Row],[Accepted_Campaign_2]]+Table1[[#This Row],[Accepted_Campaign_1]]+Table1[[#This Row],[Accepted_Campaign_5]]+Table1[[#This Row],[Accepted_Campaign_4]]+Table1[[#This Row],[Accepted_Campaign_3]])</f>
        <v>0</v>
      </c>
      <c r="AC1851">
        <v>0</v>
      </c>
      <c r="AD1851">
        <v>0</v>
      </c>
    </row>
    <row r="1852" spans="1:30" x14ac:dyDescent="0.25">
      <c r="A1852">
        <v>41677</v>
      </c>
      <c r="B1852">
        <v>1250</v>
      </c>
      <c r="C1852">
        <v>1976</v>
      </c>
      <c r="D1852" t="s">
        <v>8</v>
      </c>
      <c r="E1852" t="s">
        <v>6</v>
      </c>
      <c r="F1852" t="s">
        <v>9</v>
      </c>
      <c r="G1852">
        <v>37697</v>
      </c>
      <c r="H1852">
        <v>1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f>SUM(Table1[[#This Row],[Gold Spending]]+Table1[[#This Row],[Sweet Spending]]+Table1[[#This Row],[Fish Spending]]+Table1[[#This Row],[Meat Spending]]+Table1[[#This Row],[Fruits Spending]]+Table1[[#This Row],[Wine Spending ]])</f>
        <v>84</v>
      </c>
      <c r="Q1852">
        <v>1</v>
      </c>
      <c r="R1852">
        <v>2</v>
      </c>
      <c r="S1852">
        <v>1</v>
      </c>
      <c r="T1852">
        <v>3</v>
      </c>
      <c r="U1852">
        <f>SUM(Table1[[#This Row],[Store_Purchases]]+Table1[[#This Row],[Catalog_Purchases]]+Table1[[#This Row],[Web_Purchases]]+Table1[[#This Row],[Deal_Purchases]])</f>
        <v>7</v>
      </c>
      <c r="V1852">
        <v>6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f>SUM(Table1[[#This Row],[Accepted_Campaign_2]]+Table1[[#This Row],[Accepted_Campaign_1]]+Table1[[#This Row],[Accepted_Campaign_5]]+Table1[[#This Row],[Accepted_Campaign_4]]+Table1[[#This Row],[Accepted_Campaign_3]])</f>
        <v>0</v>
      </c>
      <c r="AC1852">
        <v>0</v>
      </c>
      <c r="AD1852">
        <v>0</v>
      </c>
    </row>
    <row r="1853" spans="1:30" x14ac:dyDescent="0.25">
      <c r="A1853">
        <v>41649</v>
      </c>
      <c r="B1853">
        <v>8397</v>
      </c>
      <c r="C1853">
        <v>1951</v>
      </c>
      <c r="D1853" t="s">
        <v>8</v>
      </c>
      <c r="E1853" t="s">
        <v>6</v>
      </c>
      <c r="F1853" t="s">
        <v>11</v>
      </c>
      <c r="G1853">
        <v>44689</v>
      </c>
      <c r="H1853">
        <v>2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f>SUM(Table1[[#This Row],[Gold Spending]]+Table1[[#This Row],[Sweet Spending]]+Table1[[#This Row],[Fish Spending]]+Table1[[#This Row],[Meat Spending]]+Table1[[#This Row],[Fruits Spending]]+Table1[[#This Row],[Wine Spending ]])</f>
        <v>34</v>
      </c>
      <c r="Q1853">
        <v>2</v>
      </c>
      <c r="R1853">
        <v>1</v>
      </c>
      <c r="S1853">
        <v>1</v>
      </c>
      <c r="T1853">
        <v>2</v>
      </c>
      <c r="U1853">
        <f>SUM(Table1[[#This Row],[Store_Purchases]]+Table1[[#This Row],[Catalog_Purchases]]+Table1[[#This Row],[Web_Purchases]]+Table1[[#This Row],[Deal_Purchases]])</f>
        <v>6</v>
      </c>
      <c r="V1853">
        <v>7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f>SUM(Table1[[#This Row],[Accepted_Campaign_2]]+Table1[[#This Row],[Accepted_Campaign_1]]+Table1[[#This Row],[Accepted_Campaign_5]]+Table1[[#This Row],[Accepted_Campaign_4]]+Table1[[#This Row],[Accepted_Campaign_3]])</f>
        <v>1</v>
      </c>
      <c r="AC1853">
        <v>0</v>
      </c>
      <c r="AD1853">
        <v>0</v>
      </c>
    </row>
    <row r="1854" spans="1:30" x14ac:dyDescent="0.25">
      <c r="A1854">
        <v>41629</v>
      </c>
      <c r="B1854">
        <v>9672</v>
      </c>
      <c r="C1854">
        <v>1970</v>
      </c>
      <c r="D1854" t="s">
        <v>10</v>
      </c>
      <c r="E1854" t="s">
        <v>15</v>
      </c>
      <c r="F1854" t="s">
        <v>11</v>
      </c>
      <c r="G1854">
        <v>23162</v>
      </c>
      <c r="H1854">
        <v>2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f>SUM(Table1[[#This Row],[Gold Spending]]+Table1[[#This Row],[Sweet Spending]]+Table1[[#This Row],[Fish Spending]]+Table1[[#This Row],[Meat Spending]]+Table1[[#This Row],[Fruits Spending]]+Table1[[#This Row],[Wine Spending ]])</f>
        <v>65</v>
      </c>
      <c r="Q1854">
        <v>3</v>
      </c>
      <c r="R1854">
        <v>1</v>
      </c>
      <c r="S1854">
        <v>1</v>
      </c>
      <c r="T1854">
        <v>3</v>
      </c>
      <c r="U1854">
        <f>SUM(Table1[[#This Row],[Store_Purchases]]+Table1[[#This Row],[Catalog_Purchases]]+Table1[[#This Row],[Web_Purchases]]+Table1[[#This Row],[Deal_Purchases]])</f>
        <v>8</v>
      </c>
      <c r="V1854">
        <v>6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f>SUM(Table1[[#This Row],[Accepted_Campaign_2]]+Table1[[#This Row],[Accepted_Campaign_1]]+Table1[[#This Row],[Accepted_Campaign_5]]+Table1[[#This Row],[Accepted_Campaign_4]]+Table1[[#This Row],[Accepted_Campaign_3]])</f>
        <v>0</v>
      </c>
      <c r="AC1854">
        <v>0</v>
      </c>
      <c r="AD1854">
        <v>0</v>
      </c>
    </row>
    <row r="1855" spans="1:30" x14ac:dyDescent="0.25">
      <c r="A1855">
        <v>41593</v>
      </c>
      <c r="B1855">
        <v>2125</v>
      </c>
      <c r="C1855">
        <v>1959</v>
      </c>
      <c r="D1855" t="s">
        <v>63</v>
      </c>
      <c r="E1855" t="s">
        <v>6</v>
      </c>
      <c r="F1855" t="s">
        <v>7</v>
      </c>
      <c r="G1855">
        <v>63033</v>
      </c>
      <c r="H1855">
        <v>0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f>SUM(Table1[[#This Row],[Gold Spending]]+Table1[[#This Row],[Sweet Spending]]+Table1[[#This Row],[Fish Spending]]+Table1[[#This Row],[Meat Spending]]+Table1[[#This Row],[Fruits Spending]]+Table1[[#This Row],[Wine Spending ]])</f>
        <v>1102</v>
      </c>
      <c r="Q1855">
        <v>1</v>
      </c>
      <c r="R1855">
        <v>3</v>
      </c>
      <c r="S1855">
        <v>4</v>
      </c>
      <c r="T1855">
        <v>8</v>
      </c>
      <c r="U1855">
        <f>SUM(Table1[[#This Row],[Store_Purchases]]+Table1[[#This Row],[Catalog_Purchases]]+Table1[[#This Row],[Web_Purchases]]+Table1[[#This Row],[Deal_Purchases]])</f>
        <v>16</v>
      </c>
      <c r="V1855">
        <v>2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f>SUM(Table1[[#This Row],[Accepted_Campaign_2]]+Table1[[#This Row],[Accepted_Campaign_1]]+Table1[[#This Row],[Accepted_Campaign_5]]+Table1[[#This Row],[Accepted_Campaign_4]]+Table1[[#This Row],[Accepted_Campaign_3]])</f>
        <v>0</v>
      </c>
      <c r="AC1855">
        <v>0</v>
      </c>
      <c r="AD1855">
        <v>0</v>
      </c>
    </row>
    <row r="1856" spans="1:30" x14ac:dyDescent="0.25">
      <c r="A1856">
        <v>41547</v>
      </c>
      <c r="B1856">
        <v>5975</v>
      </c>
      <c r="C1856">
        <v>1967</v>
      </c>
      <c r="D1856" t="s">
        <v>10</v>
      </c>
      <c r="E1856" t="s">
        <v>14</v>
      </c>
      <c r="F1856" t="s">
        <v>9</v>
      </c>
      <c r="G1856">
        <v>40304</v>
      </c>
      <c r="H1856">
        <v>1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f>SUM(Table1[[#This Row],[Gold Spending]]+Table1[[#This Row],[Sweet Spending]]+Table1[[#This Row],[Fish Spending]]+Table1[[#This Row],[Meat Spending]]+Table1[[#This Row],[Fruits Spending]]+Table1[[#This Row],[Wine Spending ]])</f>
        <v>57</v>
      </c>
      <c r="Q1856">
        <v>1</v>
      </c>
      <c r="R1856">
        <v>2</v>
      </c>
      <c r="S1856">
        <v>0</v>
      </c>
      <c r="T1856">
        <v>3</v>
      </c>
      <c r="U1856">
        <f>SUM(Table1[[#This Row],[Store_Purchases]]+Table1[[#This Row],[Catalog_Purchases]]+Table1[[#This Row],[Web_Purchases]]+Table1[[#This Row],[Deal_Purchases]])</f>
        <v>6</v>
      </c>
      <c r="V1856">
        <v>7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f>SUM(Table1[[#This Row],[Accepted_Campaign_2]]+Table1[[#This Row],[Accepted_Campaign_1]]+Table1[[#This Row],[Accepted_Campaign_5]]+Table1[[#This Row],[Accepted_Campaign_4]]+Table1[[#This Row],[Accepted_Campaign_3]])</f>
        <v>0</v>
      </c>
      <c r="AC1856">
        <v>0</v>
      </c>
      <c r="AD1856">
        <v>0</v>
      </c>
    </row>
    <row r="1857" spans="1:30" x14ac:dyDescent="0.25">
      <c r="A1857">
        <v>41545</v>
      </c>
      <c r="B1857">
        <v>983</v>
      </c>
      <c r="C1857">
        <v>1984</v>
      </c>
      <c r="D1857" t="s">
        <v>63</v>
      </c>
      <c r="E1857" t="s">
        <v>6</v>
      </c>
      <c r="F1857" t="s">
        <v>11</v>
      </c>
      <c r="G1857">
        <v>40059</v>
      </c>
      <c r="H1857">
        <v>1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f>SUM(Table1[[#This Row],[Gold Spending]]+Table1[[#This Row],[Sweet Spending]]+Table1[[#This Row],[Fish Spending]]+Table1[[#This Row],[Meat Spending]]+Table1[[#This Row],[Fruits Spending]]+Table1[[#This Row],[Wine Spending ]])</f>
        <v>414</v>
      </c>
      <c r="Q1857">
        <v>1</v>
      </c>
      <c r="R1857">
        <v>6</v>
      </c>
      <c r="S1857">
        <v>2</v>
      </c>
      <c r="T1857">
        <v>3</v>
      </c>
      <c r="U1857">
        <f>SUM(Table1[[#This Row],[Store_Purchases]]+Table1[[#This Row],[Catalog_Purchases]]+Table1[[#This Row],[Web_Purchases]]+Table1[[#This Row],[Deal_Purchases]])</f>
        <v>12</v>
      </c>
      <c r="V1857">
        <v>8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f>SUM(Table1[[#This Row],[Accepted_Campaign_2]]+Table1[[#This Row],[Accepted_Campaign_1]]+Table1[[#This Row],[Accepted_Campaign_5]]+Table1[[#This Row],[Accepted_Campaign_4]]+Table1[[#This Row],[Accepted_Campaign_3]])</f>
        <v>1</v>
      </c>
      <c r="AC1857">
        <v>0</v>
      </c>
      <c r="AD1857">
        <v>0</v>
      </c>
    </row>
    <row r="1858" spans="1:30" x14ac:dyDescent="0.25">
      <c r="A1858">
        <v>41536</v>
      </c>
      <c r="B1858">
        <v>9938</v>
      </c>
      <c r="C1858">
        <v>1954</v>
      </c>
      <c r="D1858" t="s">
        <v>17</v>
      </c>
      <c r="E1858" t="s">
        <v>6</v>
      </c>
      <c r="F1858" t="s">
        <v>11</v>
      </c>
      <c r="G1858">
        <v>80067</v>
      </c>
      <c r="H1858">
        <v>0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f>SUM(Table1[[#This Row],[Gold Spending]]+Table1[[#This Row],[Sweet Spending]]+Table1[[#This Row],[Fish Spending]]+Table1[[#This Row],[Meat Spending]]+Table1[[#This Row],[Fruits Spending]]+Table1[[#This Row],[Wine Spending ]])</f>
        <v>1600</v>
      </c>
      <c r="Q1858">
        <v>1</v>
      </c>
      <c r="R1858">
        <v>4</v>
      </c>
      <c r="S1858">
        <v>6</v>
      </c>
      <c r="T1858">
        <v>6</v>
      </c>
      <c r="U1858">
        <f>SUM(Table1[[#This Row],[Store_Purchases]]+Table1[[#This Row],[Catalog_Purchases]]+Table1[[#This Row],[Web_Purchases]]+Table1[[#This Row],[Deal_Purchases]])</f>
        <v>17</v>
      </c>
      <c r="V1858">
        <v>2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f>SUM(Table1[[#This Row],[Accepted_Campaign_2]]+Table1[[#This Row],[Accepted_Campaign_1]]+Table1[[#This Row],[Accepted_Campaign_5]]+Table1[[#This Row],[Accepted_Campaign_4]]+Table1[[#This Row],[Accepted_Campaign_3]])</f>
        <v>1</v>
      </c>
      <c r="AC1858">
        <v>0</v>
      </c>
      <c r="AD1858">
        <v>0</v>
      </c>
    </row>
    <row r="1859" spans="1:30" x14ac:dyDescent="0.25">
      <c r="A1859">
        <v>41425</v>
      </c>
      <c r="B1859">
        <v>4385</v>
      </c>
      <c r="C1859">
        <v>1981</v>
      </c>
      <c r="D1859" t="s">
        <v>8</v>
      </c>
      <c r="E1859" t="s">
        <v>14</v>
      </c>
      <c r="F1859" t="s">
        <v>9</v>
      </c>
      <c r="G1859">
        <v>36038</v>
      </c>
      <c r="H1859">
        <v>1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f>SUM(Table1[[#This Row],[Gold Spending]]+Table1[[#This Row],[Sweet Spending]]+Table1[[#This Row],[Fish Spending]]+Table1[[#This Row],[Meat Spending]]+Table1[[#This Row],[Fruits Spending]]+Table1[[#This Row],[Wine Spending ]])</f>
        <v>47</v>
      </c>
      <c r="Q1859">
        <v>2</v>
      </c>
      <c r="R1859">
        <v>3</v>
      </c>
      <c r="S1859">
        <v>0</v>
      </c>
      <c r="T1859">
        <v>3</v>
      </c>
      <c r="U1859">
        <f>SUM(Table1[[#This Row],[Store_Purchases]]+Table1[[#This Row],[Catalog_Purchases]]+Table1[[#This Row],[Web_Purchases]]+Table1[[#This Row],[Deal_Purchases]])</f>
        <v>8</v>
      </c>
      <c r="V1859">
        <v>6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f>SUM(Table1[[#This Row],[Accepted_Campaign_2]]+Table1[[#This Row],[Accepted_Campaign_1]]+Table1[[#This Row],[Accepted_Campaign_5]]+Table1[[#This Row],[Accepted_Campaign_4]]+Table1[[#This Row],[Accepted_Campaign_3]])</f>
        <v>0</v>
      </c>
      <c r="AC1859">
        <v>0</v>
      </c>
      <c r="AD1859">
        <v>0</v>
      </c>
    </row>
    <row r="1860" spans="1:30" x14ac:dyDescent="0.25">
      <c r="A1860">
        <v>41425</v>
      </c>
      <c r="B1860">
        <v>1612</v>
      </c>
      <c r="C1860">
        <v>1981</v>
      </c>
      <c r="D1860" t="s">
        <v>13</v>
      </c>
      <c r="E1860" t="s">
        <v>14</v>
      </c>
      <c r="F1860" t="s">
        <v>9</v>
      </c>
      <c r="G1860">
        <v>53790.45</v>
      </c>
      <c r="H1860">
        <v>1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f>SUM(Table1[[#This Row],[Gold Spending]]+Table1[[#This Row],[Sweet Spending]]+Table1[[#This Row],[Fish Spending]]+Table1[[#This Row],[Meat Spending]]+Table1[[#This Row],[Fruits Spending]]+Table1[[#This Row],[Wine Spending ]])</f>
        <v>47</v>
      </c>
      <c r="Q1860">
        <v>2</v>
      </c>
      <c r="R1860">
        <v>3</v>
      </c>
      <c r="S1860">
        <v>0</v>
      </c>
      <c r="T1860">
        <v>3</v>
      </c>
      <c r="U1860">
        <f>SUM(Table1[[#This Row],[Store_Purchases]]+Table1[[#This Row],[Catalog_Purchases]]+Table1[[#This Row],[Web_Purchases]]+Table1[[#This Row],[Deal_Purchases]])</f>
        <v>8</v>
      </c>
      <c r="V1860">
        <v>6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f>SUM(Table1[[#This Row],[Accepted_Campaign_2]]+Table1[[#This Row],[Accepted_Campaign_1]]+Table1[[#This Row],[Accepted_Campaign_5]]+Table1[[#This Row],[Accepted_Campaign_4]]+Table1[[#This Row],[Accepted_Campaign_3]])</f>
        <v>0</v>
      </c>
      <c r="AC1860">
        <v>0</v>
      </c>
      <c r="AD1860">
        <v>0</v>
      </c>
    </row>
    <row r="1861" spans="1:30" x14ac:dyDescent="0.25">
      <c r="A1861">
        <v>41369</v>
      </c>
      <c r="B1861">
        <v>803</v>
      </c>
      <c r="C1861">
        <v>1968</v>
      </c>
      <c r="D1861" t="s">
        <v>8</v>
      </c>
      <c r="E1861" t="s">
        <v>6</v>
      </c>
      <c r="F1861" t="s">
        <v>12</v>
      </c>
      <c r="G1861">
        <v>40521</v>
      </c>
      <c r="H1861">
        <v>2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f>SUM(Table1[[#This Row],[Gold Spending]]+Table1[[#This Row],[Sweet Spending]]+Table1[[#This Row],[Fish Spending]]+Table1[[#This Row],[Meat Spending]]+Table1[[#This Row],[Fruits Spending]]+Table1[[#This Row],[Wine Spending ]])</f>
        <v>21</v>
      </c>
      <c r="Q1861">
        <v>1</v>
      </c>
      <c r="R1861">
        <v>0</v>
      </c>
      <c r="S1861">
        <v>1</v>
      </c>
      <c r="T1861">
        <v>2</v>
      </c>
      <c r="U1861">
        <f>SUM(Table1[[#This Row],[Store_Purchases]]+Table1[[#This Row],[Catalog_Purchases]]+Table1[[#This Row],[Web_Purchases]]+Table1[[#This Row],[Deal_Purchases]])</f>
        <v>4</v>
      </c>
      <c r="V1861">
        <v>5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f>SUM(Table1[[#This Row],[Accepted_Campaign_2]]+Table1[[#This Row],[Accepted_Campaign_1]]+Table1[[#This Row],[Accepted_Campaign_5]]+Table1[[#This Row],[Accepted_Campaign_4]]+Table1[[#This Row],[Accepted_Campaign_3]])</f>
        <v>0</v>
      </c>
      <c r="AC1861">
        <v>0</v>
      </c>
      <c r="AD1861">
        <v>0</v>
      </c>
    </row>
    <row r="1862" spans="1:30" x14ac:dyDescent="0.25">
      <c r="A1862">
        <v>41367</v>
      </c>
      <c r="B1862">
        <v>10675</v>
      </c>
      <c r="C1862">
        <v>1956</v>
      </c>
      <c r="D1862" t="s">
        <v>8</v>
      </c>
      <c r="E1862" t="s">
        <v>14</v>
      </c>
      <c r="F1862" t="s">
        <v>11</v>
      </c>
      <c r="G1862">
        <v>66334</v>
      </c>
      <c r="H1862">
        <v>1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f>SUM(Table1[[#This Row],[Gold Spending]]+Table1[[#This Row],[Sweet Spending]]+Table1[[#This Row],[Fish Spending]]+Table1[[#This Row],[Meat Spending]]+Table1[[#This Row],[Fruits Spending]]+Table1[[#This Row],[Wine Spending ]])</f>
        <v>1161</v>
      </c>
      <c r="Q1862">
        <v>2</v>
      </c>
      <c r="R1862">
        <v>9</v>
      </c>
      <c r="S1862">
        <v>3</v>
      </c>
      <c r="T1862">
        <v>5</v>
      </c>
      <c r="U1862">
        <f>SUM(Table1[[#This Row],[Store_Purchases]]+Table1[[#This Row],[Catalog_Purchases]]+Table1[[#This Row],[Web_Purchases]]+Table1[[#This Row],[Deal_Purchases]])</f>
        <v>19</v>
      </c>
      <c r="V1862">
        <v>5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f>SUM(Table1[[#This Row],[Accepted_Campaign_2]]+Table1[[#This Row],[Accepted_Campaign_1]]+Table1[[#This Row],[Accepted_Campaign_5]]+Table1[[#This Row],[Accepted_Campaign_4]]+Table1[[#This Row],[Accepted_Campaign_3]])</f>
        <v>0</v>
      </c>
      <c r="AC1862">
        <v>1</v>
      </c>
      <c r="AD1862">
        <v>0</v>
      </c>
    </row>
    <row r="1863" spans="1:30" x14ac:dyDescent="0.25">
      <c r="A1863">
        <v>41349</v>
      </c>
      <c r="B1863">
        <v>7004</v>
      </c>
      <c r="C1863">
        <v>1984</v>
      </c>
      <c r="D1863" t="s">
        <v>17</v>
      </c>
      <c r="E1863" t="s">
        <v>6</v>
      </c>
      <c r="F1863" t="s">
        <v>9</v>
      </c>
      <c r="G1863">
        <v>11012</v>
      </c>
      <c r="H1863">
        <v>1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f>SUM(Table1[[#This Row],[Gold Spending]]+Table1[[#This Row],[Sweet Spending]]+Table1[[#This Row],[Fish Spending]]+Table1[[#This Row],[Meat Spending]]+Table1[[#This Row],[Fruits Spending]]+Table1[[#This Row],[Wine Spending ]])</f>
        <v>84</v>
      </c>
      <c r="Q1863">
        <v>3</v>
      </c>
      <c r="R1863">
        <v>3</v>
      </c>
      <c r="S1863">
        <v>1</v>
      </c>
      <c r="T1863">
        <v>2</v>
      </c>
      <c r="U1863">
        <f>SUM(Table1[[#This Row],[Store_Purchases]]+Table1[[#This Row],[Catalog_Purchases]]+Table1[[#This Row],[Web_Purchases]]+Table1[[#This Row],[Deal_Purchases]])</f>
        <v>9</v>
      </c>
      <c r="V1863">
        <v>9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f>SUM(Table1[[#This Row],[Accepted_Campaign_2]]+Table1[[#This Row],[Accepted_Campaign_1]]+Table1[[#This Row],[Accepted_Campaign_5]]+Table1[[#This Row],[Accepted_Campaign_4]]+Table1[[#This Row],[Accepted_Campaign_3]])</f>
        <v>1</v>
      </c>
      <c r="AC1863">
        <v>0</v>
      </c>
      <c r="AD1863">
        <v>0</v>
      </c>
    </row>
    <row r="1864" spans="1:30" x14ac:dyDescent="0.25">
      <c r="A1864">
        <v>41349</v>
      </c>
      <c r="B1864">
        <v>4432</v>
      </c>
      <c r="C1864">
        <v>1976</v>
      </c>
      <c r="D1864" t="s">
        <v>8</v>
      </c>
      <c r="E1864" t="s">
        <v>6</v>
      </c>
      <c r="F1864" t="s">
        <v>7</v>
      </c>
      <c r="G1864">
        <v>31615</v>
      </c>
      <c r="H1864">
        <v>1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f>SUM(Table1[[#This Row],[Gold Spending]]+Table1[[#This Row],[Sweet Spending]]+Table1[[#This Row],[Fish Spending]]+Table1[[#This Row],[Meat Spending]]+Table1[[#This Row],[Fruits Spending]]+Table1[[#This Row],[Wine Spending ]])</f>
        <v>51</v>
      </c>
      <c r="Q1864">
        <v>2</v>
      </c>
      <c r="R1864">
        <v>2</v>
      </c>
      <c r="S1864">
        <v>0</v>
      </c>
      <c r="T1864">
        <v>3</v>
      </c>
      <c r="U1864">
        <f>SUM(Table1[[#This Row],[Store_Purchases]]+Table1[[#This Row],[Catalog_Purchases]]+Table1[[#This Row],[Web_Purchases]]+Table1[[#This Row],[Deal_Purchases]])</f>
        <v>7</v>
      </c>
      <c r="V1864">
        <v>7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f>SUM(Table1[[#This Row],[Accepted_Campaign_2]]+Table1[[#This Row],[Accepted_Campaign_1]]+Table1[[#This Row],[Accepted_Campaign_5]]+Table1[[#This Row],[Accepted_Campaign_4]]+Table1[[#This Row],[Accepted_Campaign_3]])</f>
        <v>0</v>
      </c>
      <c r="AC1864">
        <v>0</v>
      </c>
      <c r="AD1864">
        <v>0</v>
      </c>
    </row>
    <row r="1865" spans="1:30" x14ac:dyDescent="0.25">
      <c r="A1865">
        <v>41336</v>
      </c>
      <c r="B1865">
        <v>5079</v>
      </c>
      <c r="C1865">
        <v>1971</v>
      </c>
      <c r="D1865" t="s">
        <v>13</v>
      </c>
      <c r="E1865" t="s">
        <v>6</v>
      </c>
      <c r="F1865" t="s">
        <v>11</v>
      </c>
      <c r="G1865">
        <v>53790.45</v>
      </c>
      <c r="H1865">
        <v>2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f>SUM(Table1[[#This Row],[Gold Spending]]+Table1[[#This Row],[Sweet Spending]]+Table1[[#This Row],[Fish Spending]]+Table1[[#This Row],[Meat Spending]]+Table1[[#This Row],[Fruits Spending]]+Table1[[#This Row],[Wine Spending ]])</f>
        <v>97</v>
      </c>
      <c r="Q1865">
        <v>4</v>
      </c>
      <c r="R1865">
        <v>2</v>
      </c>
      <c r="S1865">
        <v>1</v>
      </c>
      <c r="T1865">
        <v>3</v>
      </c>
      <c r="U1865">
        <f>SUM(Table1[[#This Row],[Store_Purchases]]+Table1[[#This Row],[Catalog_Purchases]]+Table1[[#This Row],[Web_Purchases]]+Table1[[#This Row],[Deal_Purchases]])</f>
        <v>10</v>
      </c>
      <c r="V1865">
        <v>8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f>SUM(Table1[[#This Row],[Accepted_Campaign_2]]+Table1[[#This Row],[Accepted_Campaign_1]]+Table1[[#This Row],[Accepted_Campaign_5]]+Table1[[#This Row],[Accepted_Campaign_4]]+Table1[[#This Row],[Accepted_Campaign_3]])</f>
        <v>0</v>
      </c>
      <c r="AC1865">
        <v>0</v>
      </c>
      <c r="AD1865">
        <v>0</v>
      </c>
    </row>
    <row r="1866" spans="1:30" x14ac:dyDescent="0.25">
      <c r="A1866">
        <v>41321</v>
      </c>
      <c r="B1866">
        <v>4475</v>
      </c>
      <c r="C1866">
        <v>1949</v>
      </c>
      <c r="D1866" t="s">
        <v>8</v>
      </c>
      <c r="E1866" t="s">
        <v>14</v>
      </c>
      <c r="F1866" t="s">
        <v>11</v>
      </c>
      <c r="G1866">
        <v>69098</v>
      </c>
      <c r="H1866">
        <v>0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f>SUM(Table1[[#This Row],[Gold Spending]]+Table1[[#This Row],[Sweet Spending]]+Table1[[#This Row],[Fish Spending]]+Table1[[#This Row],[Meat Spending]]+Table1[[#This Row],[Fruits Spending]]+Table1[[#This Row],[Wine Spending ]])</f>
        <v>2440</v>
      </c>
      <c r="Q1866">
        <v>1</v>
      </c>
      <c r="R1866">
        <v>7</v>
      </c>
      <c r="S1866">
        <v>8</v>
      </c>
      <c r="T1866">
        <v>9</v>
      </c>
      <c r="U1866">
        <f>SUM(Table1[[#This Row],[Store_Purchases]]+Table1[[#This Row],[Catalog_Purchases]]+Table1[[#This Row],[Web_Purchases]]+Table1[[#This Row],[Deal_Purchases]])</f>
        <v>25</v>
      </c>
      <c r="V1866">
        <v>5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f>SUM(Table1[[#This Row],[Accepted_Campaign_2]]+Table1[[#This Row],[Accepted_Campaign_1]]+Table1[[#This Row],[Accepted_Campaign_5]]+Table1[[#This Row],[Accepted_Campaign_4]]+Table1[[#This Row],[Accepted_Campaign_3]])</f>
        <v>0</v>
      </c>
      <c r="AC1866">
        <v>0</v>
      </c>
      <c r="AD1866">
        <v>0</v>
      </c>
    </row>
    <row r="1867" spans="1:30" x14ac:dyDescent="0.25">
      <c r="A1867">
        <v>41311</v>
      </c>
      <c r="B1867">
        <v>10868</v>
      </c>
      <c r="C1867">
        <v>1951</v>
      </c>
      <c r="D1867" t="s">
        <v>8</v>
      </c>
      <c r="E1867" t="s">
        <v>6</v>
      </c>
      <c r="F1867" t="s">
        <v>19</v>
      </c>
      <c r="G1867">
        <v>70792</v>
      </c>
      <c r="H1867">
        <v>0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f>SUM(Table1[[#This Row],[Gold Spending]]+Table1[[#This Row],[Sweet Spending]]+Table1[[#This Row],[Fish Spending]]+Table1[[#This Row],[Meat Spending]]+Table1[[#This Row],[Fruits Spending]]+Table1[[#This Row],[Wine Spending ]])</f>
        <v>1272</v>
      </c>
      <c r="Q1867">
        <v>2</v>
      </c>
      <c r="R1867">
        <v>3</v>
      </c>
      <c r="S1867">
        <v>4</v>
      </c>
      <c r="T1867">
        <v>10</v>
      </c>
      <c r="U1867">
        <f>SUM(Table1[[#This Row],[Store_Purchases]]+Table1[[#This Row],[Catalog_Purchases]]+Table1[[#This Row],[Web_Purchases]]+Table1[[#This Row],[Deal_Purchases]])</f>
        <v>19</v>
      </c>
      <c r="V1867">
        <v>3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f>SUM(Table1[[#This Row],[Accepted_Campaign_2]]+Table1[[#This Row],[Accepted_Campaign_1]]+Table1[[#This Row],[Accepted_Campaign_5]]+Table1[[#This Row],[Accepted_Campaign_4]]+Table1[[#This Row],[Accepted_Campaign_3]])</f>
        <v>0</v>
      </c>
      <c r="AC1867">
        <v>0</v>
      </c>
      <c r="AD1867">
        <v>0</v>
      </c>
    </row>
    <row r="1868" spans="1:30" x14ac:dyDescent="0.25">
      <c r="A1868">
        <v>41287</v>
      </c>
      <c r="B1868">
        <v>6742</v>
      </c>
      <c r="C1868">
        <v>1979</v>
      </c>
      <c r="D1868" t="s">
        <v>8</v>
      </c>
      <c r="E1868" t="s">
        <v>6</v>
      </c>
      <c r="F1868" t="s">
        <v>11</v>
      </c>
      <c r="G1868">
        <v>17688</v>
      </c>
      <c r="H1868">
        <v>1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f>SUM(Table1[[#This Row],[Gold Spending]]+Table1[[#This Row],[Sweet Spending]]+Table1[[#This Row],[Fish Spending]]+Table1[[#This Row],[Meat Spending]]+Table1[[#This Row],[Fruits Spending]]+Table1[[#This Row],[Wine Spending ]])</f>
        <v>11</v>
      </c>
      <c r="Q1868">
        <v>1</v>
      </c>
      <c r="R1868">
        <v>1</v>
      </c>
      <c r="S1868">
        <v>0</v>
      </c>
      <c r="T1868">
        <v>2</v>
      </c>
      <c r="U1868">
        <f>SUM(Table1[[#This Row],[Store_Purchases]]+Table1[[#This Row],[Catalog_Purchases]]+Table1[[#This Row],[Web_Purchases]]+Table1[[#This Row],[Deal_Purchases]])</f>
        <v>4</v>
      </c>
      <c r="V1868">
        <v>8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f>SUM(Table1[[#This Row],[Accepted_Campaign_2]]+Table1[[#This Row],[Accepted_Campaign_1]]+Table1[[#This Row],[Accepted_Campaign_5]]+Table1[[#This Row],[Accepted_Campaign_4]]+Table1[[#This Row],[Accepted_Campaign_3]])</f>
        <v>0</v>
      </c>
      <c r="AC1868">
        <v>0</v>
      </c>
      <c r="AD1868">
        <v>1</v>
      </c>
    </row>
    <row r="1869" spans="1:30" x14ac:dyDescent="0.25">
      <c r="A1869">
        <v>41265</v>
      </c>
      <c r="B1869">
        <v>5692</v>
      </c>
      <c r="C1869">
        <v>1989</v>
      </c>
      <c r="D1869" t="s">
        <v>20</v>
      </c>
      <c r="E1869" t="s">
        <v>21</v>
      </c>
      <c r="F1869" t="s">
        <v>11</v>
      </c>
      <c r="G1869">
        <v>25443</v>
      </c>
      <c r="H1869">
        <v>1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f>SUM(Table1[[#This Row],[Gold Spending]]+Table1[[#This Row],[Sweet Spending]]+Table1[[#This Row],[Fish Spending]]+Table1[[#This Row],[Meat Spending]]+Table1[[#This Row],[Fruits Spending]]+Table1[[#This Row],[Wine Spending ]])</f>
        <v>32</v>
      </c>
      <c r="Q1869">
        <v>1</v>
      </c>
      <c r="R1869">
        <v>1</v>
      </c>
      <c r="S1869">
        <v>0</v>
      </c>
      <c r="T1869">
        <v>3</v>
      </c>
      <c r="U1869">
        <f>SUM(Table1[[#This Row],[Store_Purchases]]+Table1[[#This Row],[Catalog_Purchases]]+Table1[[#This Row],[Web_Purchases]]+Table1[[#This Row],[Deal_Purchases]])</f>
        <v>5</v>
      </c>
      <c r="V1869">
        <v>8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f>SUM(Table1[[#This Row],[Accepted_Campaign_2]]+Table1[[#This Row],[Accepted_Campaign_1]]+Table1[[#This Row],[Accepted_Campaign_5]]+Table1[[#This Row],[Accepted_Campaign_4]]+Table1[[#This Row],[Accepted_Campaign_3]])</f>
        <v>0</v>
      </c>
      <c r="AC1869">
        <v>0</v>
      </c>
      <c r="AD1869">
        <v>0</v>
      </c>
    </row>
    <row r="1870" spans="1:30" x14ac:dyDescent="0.25">
      <c r="A1870">
        <v>41236</v>
      </c>
      <c r="B1870">
        <v>339</v>
      </c>
      <c r="C1870">
        <v>1972</v>
      </c>
      <c r="D1870" t="s">
        <v>8</v>
      </c>
      <c r="E1870" t="s">
        <v>14</v>
      </c>
      <c r="F1870" t="s">
        <v>11</v>
      </c>
      <c r="G1870">
        <v>57091</v>
      </c>
      <c r="H1870">
        <v>1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f>SUM(Table1[[#This Row],[Gold Spending]]+Table1[[#This Row],[Sweet Spending]]+Table1[[#This Row],[Fish Spending]]+Table1[[#This Row],[Meat Spending]]+Table1[[#This Row],[Fruits Spending]]+Table1[[#This Row],[Wine Spending ]])</f>
        <v>496</v>
      </c>
      <c r="Q1870">
        <v>2</v>
      </c>
      <c r="R1870">
        <v>9</v>
      </c>
      <c r="S1870">
        <v>2</v>
      </c>
      <c r="T1870">
        <v>5</v>
      </c>
      <c r="U1870">
        <f>SUM(Table1[[#This Row],[Store_Purchases]]+Table1[[#This Row],[Catalog_Purchases]]+Table1[[#This Row],[Web_Purchases]]+Table1[[#This Row],[Deal_Purchases]])</f>
        <v>18</v>
      </c>
      <c r="V1870">
        <v>7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f>SUM(Table1[[#This Row],[Accepted_Campaign_2]]+Table1[[#This Row],[Accepted_Campaign_1]]+Table1[[#This Row],[Accepted_Campaign_5]]+Table1[[#This Row],[Accepted_Campaign_4]]+Table1[[#This Row],[Accepted_Campaign_3]])</f>
        <v>1</v>
      </c>
      <c r="AC1870">
        <v>1</v>
      </c>
      <c r="AD1870">
        <v>0</v>
      </c>
    </row>
    <row r="1871" spans="1:30" x14ac:dyDescent="0.25">
      <c r="A1871">
        <v>41148</v>
      </c>
      <c r="B1871">
        <v>10398</v>
      </c>
      <c r="C1871">
        <v>1981</v>
      </c>
      <c r="D1871" t="s">
        <v>8</v>
      </c>
      <c r="E1871" t="s">
        <v>15</v>
      </c>
      <c r="F1871" t="s">
        <v>9</v>
      </c>
      <c r="G1871">
        <v>24336</v>
      </c>
      <c r="H1871">
        <v>1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f>SUM(Table1[[#This Row],[Gold Spending]]+Table1[[#This Row],[Sweet Spending]]+Table1[[#This Row],[Fish Spending]]+Table1[[#This Row],[Meat Spending]]+Table1[[#This Row],[Fruits Spending]]+Table1[[#This Row],[Wine Spending ]])</f>
        <v>31</v>
      </c>
      <c r="Q1871">
        <v>1</v>
      </c>
      <c r="R1871">
        <v>1</v>
      </c>
      <c r="S1871">
        <v>0</v>
      </c>
      <c r="T1871">
        <v>2</v>
      </c>
      <c r="U1871">
        <f>SUM(Table1[[#This Row],[Store_Purchases]]+Table1[[#This Row],[Catalog_Purchases]]+Table1[[#This Row],[Web_Purchases]]+Table1[[#This Row],[Deal_Purchases]])</f>
        <v>4</v>
      </c>
      <c r="V1871">
        <v>7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f>SUM(Table1[[#This Row],[Accepted_Campaign_2]]+Table1[[#This Row],[Accepted_Campaign_1]]+Table1[[#This Row],[Accepted_Campaign_5]]+Table1[[#This Row],[Accepted_Campaign_4]]+Table1[[#This Row],[Accepted_Campaign_3]])</f>
        <v>0</v>
      </c>
      <c r="AC1871">
        <v>0</v>
      </c>
      <c r="AD1871">
        <v>0</v>
      </c>
    </row>
    <row r="1872" spans="1:30" x14ac:dyDescent="0.25">
      <c r="A1872">
        <v>41809</v>
      </c>
      <c r="B1872">
        <v>8017</v>
      </c>
      <c r="C1872">
        <v>1981</v>
      </c>
      <c r="D1872" t="s">
        <v>20</v>
      </c>
      <c r="E1872" t="s">
        <v>15</v>
      </c>
      <c r="F1872" t="s">
        <v>11</v>
      </c>
      <c r="G1872">
        <v>51111</v>
      </c>
      <c r="H1872">
        <v>2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1872">
        <v>2</v>
      </c>
      <c r="R1872">
        <v>2</v>
      </c>
      <c r="S1872">
        <v>0</v>
      </c>
      <c r="T1872">
        <v>3</v>
      </c>
      <c r="U1872">
        <f>SUM(Table1[[#This Row],[Store_Purchases]]+Table1[[#This Row],[Catalog_Purchases]]+Table1[[#This Row],[Web_Purchases]]+Table1[[#This Row],[Deal_Purchases]])</f>
        <v>7</v>
      </c>
      <c r="V1872">
        <v>6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f>SUM(Table1[[#This Row],[Accepted_Campaign_2]]+Table1[[#This Row],[Accepted_Campaign_1]]+Table1[[#This Row],[Accepted_Campaign_5]]+Table1[[#This Row],[Accepted_Campaign_4]]+Table1[[#This Row],[Accepted_Campaign_3]])</f>
        <v>0</v>
      </c>
      <c r="AC1872">
        <v>0</v>
      </c>
      <c r="AD1872">
        <v>0</v>
      </c>
    </row>
    <row r="1873" spans="1:30" x14ac:dyDescent="0.25">
      <c r="A1873">
        <v>41745</v>
      </c>
      <c r="B1873">
        <v>3722</v>
      </c>
      <c r="C1873">
        <v>1972</v>
      </c>
      <c r="D1873" t="s">
        <v>8</v>
      </c>
      <c r="E1873" t="s">
        <v>6</v>
      </c>
      <c r="F1873" t="s">
        <v>9</v>
      </c>
      <c r="G1873">
        <v>44503</v>
      </c>
      <c r="H1873">
        <v>2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f>SUM(Table1[[#This Row],[Gold Spending]]+Table1[[#This Row],[Sweet Spending]]+Table1[[#This Row],[Fish Spending]]+Table1[[#This Row],[Meat Spending]]+Table1[[#This Row],[Fruits Spending]]+Table1[[#This Row],[Wine Spending ]])</f>
        <v>48</v>
      </c>
      <c r="Q1873">
        <v>2</v>
      </c>
      <c r="R1873">
        <v>2</v>
      </c>
      <c r="S1873">
        <v>0</v>
      </c>
      <c r="T1873">
        <v>3</v>
      </c>
      <c r="U1873">
        <f>SUM(Table1[[#This Row],[Store_Purchases]]+Table1[[#This Row],[Catalog_Purchases]]+Table1[[#This Row],[Web_Purchases]]+Table1[[#This Row],[Deal_Purchases]])</f>
        <v>7</v>
      </c>
      <c r="V1873">
        <v>6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f>SUM(Table1[[#This Row],[Accepted_Campaign_2]]+Table1[[#This Row],[Accepted_Campaign_1]]+Table1[[#This Row],[Accepted_Campaign_5]]+Table1[[#This Row],[Accepted_Campaign_4]]+Table1[[#This Row],[Accepted_Campaign_3]])</f>
        <v>0</v>
      </c>
      <c r="AC1873">
        <v>0</v>
      </c>
      <c r="AD1873">
        <v>0</v>
      </c>
    </row>
    <row r="1874" spans="1:30" x14ac:dyDescent="0.25">
      <c r="A1874">
        <v>41721</v>
      </c>
      <c r="B1874">
        <v>7326</v>
      </c>
      <c r="C1874">
        <v>1971</v>
      </c>
      <c r="D1874" t="s">
        <v>10</v>
      </c>
      <c r="E1874" t="s">
        <v>18</v>
      </c>
      <c r="F1874" t="s">
        <v>11</v>
      </c>
      <c r="G1874">
        <v>56850</v>
      </c>
      <c r="H1874">
        <v>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f>SUM(Table1[[#This Row],[Gold Spending]]+Table1[[#This Row],[Sweet Spending]]+Table1[[#This Row],[Fish Spending]]+Table1[[#This Row],[Meat Spending]]+Table1[[#This Row],[Fruits Spending]]+Table1[[#This Row],[Wine Spending ]])</f>
        <v>63</v>
      </c>
      <c r="Q1874">
        <v>1</v>
      </c>
      <c r="R1874">
        <v>1</v>
      </c>
      <c r="S1874">
        <v>1</v>
      </c>
      <c r="T1874">
        <v>3</v>
      </c>
      <c r="U1874">
        <f>SUM(Table1[[#This Row],[Store_Purchases]]+Table1[[#This Row],[Catalog_Purchases]]+Table1[[#This Row],[Web_Purchases]]+Table1[[#This Row],[Deal_Purchases]])</f>
        <v>6</v>
      </c>
      <c r="V1874">
        <v>2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f>SUM(Table1[[#This Row],[Accepted_Campaign_2]]+Table1[[#This Row],[Accepted_Campaign_1]]+Table1[[#This Row],[Accepted_Campaign_5]]+Table1[[#This Row],[Accepted_Campaign_4]]+Table1[[#This Row],[Accepted_Campaign_3]])</f>
        <v>0</v>
      </c>
      <c r="AC1874">
        <v>0</v>
      </c>
      <c r="AD1874">
        <v>0</v>
      </c>
    </row>
    <row r="1875" spans="1:30" x14ac:dyDescent="0.25">
      <c r="A1875">
        <v>41701</v>
      </c>
      <c r="B1875">
        <v>2416</v>
      </c>
      <c r="C1875">
        <v>1969</v>
      </c>
      <c r="D1875" t="s">
        <v>8</v>
      </c>
      <c r="E1875" t="s">
        <v>14</v>
      </c>
      <c r="F1875" t="s">
        <v>9</v>
      </c>
      <c r="G1875">
        <v>66582</v>
      </c>
      <c r="H1875">
        <v>0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f>SUM(Table1[[#This Row],[Gold Spending]]+Table1[[#This Row],[Sweet Spending]]+Table1[[#This Row],[Fish Spending]]+Table1[[#This Row],[Meat Spending]]+Table1[[#This Row],[Fruits Spending]]+Table1[[#This Row],[Wine Spending ]])</f>
        <v>1288</v>
      </c>
      <c r="Q1875">
        <v>1</v>
      </c>
      <c r="R1875">
        <v>2</v>
      </c>
      <c r="S1875">
        <v>8</v>
      </c>
      <c r="T1875">
        <v>9</v>
      </c>
      <c r="U1875">
        <f>SUM(Table1[[#This Row],[Store_Purchases]]+Table1[[#This Row],[Catalog_Purchases]]+Table1[[#This Row],[Web_Purchases]]+Table1[[#This Row],[Deal_Purchases]])</f>
        <v>20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f>SUM(Table1[[#This Row],[Accepted_Campaign_2]]+Table1[[#This Row],[Accepted_Campaign_1]]+Table1[[#This Row],[Accepted_Campaign_5]]+Table1[[#This Row],[Accepted_Campaign_4]]+Table1[[#This Row],[Accepted_Campaign_3]])</f>
        <v>0</v>
      </c>
      <c r="AC1875">
        <v>0</v>
      </c>
      <c r="AD1875">
        <v>0</v>
      </c>
    </row>
    <row r="1876" spans="1:30" x14ac:dyDescent="0.25">
      <c r="A1876">
        <v>41688</v>
      </c>
      <c r="B1876">
        <v>1878</v>
      </c>
      <c r="C1876">
        <v>1985</v>
      </c>
      <c r="D1876" t="s">
        <v>8</v>
      </c>
      <c r="E1876" t="s">
        <v>15</v>
      </c>
      <c r="F1876" t="s">
        <v>11</v>
      </c>
      <c r="G1876">
        <v>23148</v>
      </c>
      <c r="H1876">
        <v>0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f>SUM(Table1[[#This Row],[Gold Spending]]+Table1[[#This Row],[Sweet Spending]]+Table1[[#This Row],[Fish Spending]]+Table1[[#This Row],[Meat Spending]]+Table1[[#This Row],[Fruits Spending]]+Table1[[#This Row],[Wine Spending ]])</f>
        <v>37</v>
      </c>
      <c r="Q1876">
        <v>1</v>
      </c>
      <c r="R1876">
        <v>2</v>
      </c>
      <c r="S1876">
        <v>0</v>
      </c>
      <c r="T1876">
        <v>3</v>
      </c>
      <c r="U1876">
        <f>SUM(Table1[[#This Row],[Store_Purchases]]+Table1[[#This Row],[Catalog_Purchases]]+Table1[[#This Row],[Web_Purchases]]+Table1[[#This Row],[Deal_Purchases]])</f>
        <v>6</v>
      </c>
      <c r="V1876">
        <v>7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f>SUM(Table1[[#This Row],[Accepted_Campaign_2]]+Table1[[#This Row],[Accepted_Campaign_1]]+Table1[[#This Row],[Accepted_Campaign_5]]+Table1[[#This Row],[Accepted_Campaign_4]]+Table1[[#This Row],[Accepted_Campaign_3]])</f>
        <v>0</v>
      </c>
      <c r="AC1876">
        <v>0</v>
      </c>
      <c r="AD1876">
        <v>0</v>
      </c>
    </row>
    <row r="1877" spans="1:30" x14ac:dyDescent="0.25">
      <c r="A1877">
        <v>41664</v>
      </c>
      <c r="B1877">
        <v>5278</v>
      </c>
      <c r="C1877">
        <v>1964</v>
      </c>
      <c r="D1877" t="s">
        <v>16</v>
      </c>
      <c r="E1877" t="s">
        <v>6</v>
      </c>
      <c r="F1877" t="s">
        <v>11</v>
      </c>
      <c r="G1877">
        <v>82224</v>
      </c>
      <c r="H1877">
        <v>0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f>SUM(Table1[[#This Row],[Gold Spending]]+Table1[[#This Row],[Sweet Spending]]+Table1[[#This Row],[Fish Spending]]+Table1[[#This Row],[Meat Spending]]+Table1[[#This Row],[Fruits Spending]]+Table1[[#This Row],[Wine Spending ]])</f>
        <v>902</v>
      </c>
      <c r="Q1877">
        <v>1</v>
      </c>
      <c r="R1877">
        <v>6</v>
      </c>
      <c r="S1877">
        <v>9</v>
      </c>
      <c r="T1877">
        <v>5</v>
      </c>
      <c r="U1877">
        <f>SUM(Table1[[#This Row],[Store_Purchases]]+Table1[[#This Row],[Catalog_Purchases]]+Table1[[#This Row],[Web_Purchases]]+Table1[[#This Row],[Deal_Purchases]])</f>
        <v>21</v>
      </c>
      <c r="V1877">
        <v>3</v>
      </c>
      <c r="W1877">
        <v>0</v>
      </c>
      <c r="X1877">
        <v>0</v>
      </c>
      <c r="Y1877">
        <v>0</v>
      </c>
      <c r="Z1877">
        <v>1</v>
      </c>
      <c r="AA1877">
        <v>0</v>
      </c>
      <c r="AB1877">
        <f>SUM(Table1[[#This Row],[Accepted_Campaign_2]]+Table1[[#This Row],[Accepted_Campaign_1]]+Table1[[#This Row],[Accepted_Campaign_5]]+Table1[[#This Row],[Accepted_Campaign_4]]+Table1[[#This Row],[Accepted_Campaign_3]])</f>
        <v>1</v>
      </c>
      <c r="AC1877">
        <v>0</v>
      </c>
      <c r="AD1877">
        <v>0</v>
      </c>
    </row>
    <row r="1878" spans="1:30" x14ac:dyDescent="0.25">
      <c r="A1878">
        <v>41598</v>
      </c>
      <c r="B1878">
        <v>5734</v>
      </c>
      <c r="C1878">
        <v>1974</v>
      </c>
      <c r="D1878" t="s">
        <v>8</v>
      </c>
      <c r="E1878" t="s">
        <v>14</v>
      </c>
      <c r="F1878" t="s">
        <v>11</v>
      </c>
      <c r="G1878">
        <v>61917</v>
      </c>
      <c r="H1878">
        <v>2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f>SUM(Table1[[#This Row],[Gold Spending]]+Table1[[#This Row],[Sweet Spending]]+Table1[[#This Row],[Fish Spending]]+Table1[[#This Row],[Meat Spending]]+Table1[[#This Row],[Fruits Spending]]+Table1[[#This Row],[Wine Spending ]])</f>
        <v>91</v>
      </c>
      <c r="Q1878">
        <v>1</v>
      </c>
      <c r="R1878">
        <v>2</v>
      </c>
      <c r="S1878">
        <v>0</v>
      </c>
      <c r="T1878">
        <v>4</v>
      </c>
      <c r="U1878">
        <f>SUM(Table1[[#This Row],[Store_Purchases]]+Table1[[#This Row],[Catalog_Purchases]]+Table1[[#This Row],[Web_Purchases]]+Table1[[#This Row],[Deal_Purchases]])</f>
        <v>7</v>
      </c>
      <c r="V1878">
        <v>5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f>SUM(Table1[[#This Row],[Accepted_Campaign_2]]+Table1[[#This Row],[Accepted_Campaign_1]]+Table1[[#This Row],[Accepted_Campaign_5]]+Table1[[#This Row],[Accepted_Campaign_4]]+Table1[[#This Row],[Accepted_Campaign_3]])</f>
        <v>0</v>
      </c>
      <c r="AC1878">
        <v>0</v>
      </c>
      <c r="AD1878">
        <v>0</v>
      </c>
    </row>
    <row r="1879" spans="1:30" x14ac:dyDescent="0.25">
      <c r="A1879">
        <v>41591</v>
      </c>
      <c r="B1879">
        <v>4370</v>
      </c>
      <c r="C1879">
        <v>1966</v>
      </c>
      <c r="D1879" t="s">
        <v>17</v>
      </c>
      <c r="E1879" t="s">
        <v>6</v>
      </c>
      <c r="F1879" t="s">
        <v>12</v>
      </c>
      <c r="G1879">
        <v>43482</v>
      </c>
      <c r="H1879">
        <v>3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f>SUM(Table1[[#This Row],[Gold Spending]]+Table1[[#This Row],[Sweet Spending]]+Table1[[#This Row],[Fish Spending]]+Table1[[#This Row],[Meat Spending]]+Table1[[#This Row],[Fruits Spending]]+Table1[[#This Row],[Wine Spending ]])</f>
        <v>88</v>
      </c>
      <c r="Q1879">
        <v>3</v>
      </c>
      <c r="R1879">
        <v>2</v>
      </c>
      <c r="S1879">
        <v>0</v>
      </c>
      <c r="T1879">
        <v>4</v>
      </c>
      <c r="U1879">
        <f>SUM(Table1[[#This Row],[Store_Purchases]]+Table1[[#This Row],[Catalog_Purchases]]+Table1[[#This Row],[Web_Purchases]]+Table1[[#This Row],[Deal_Purchases]])</f>
        <v>9</v>
      </c>
      <c r="V1879">
        <v>6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f>SUM(Table1[[#This Row],[Accepted_Campaign_2]]+Table1[[#This Row],[Accepted_Campaign_1]]+Table1[[#This Row],[Accepted_Campaign_5]]+Table1[[#This Row],[Accepted_Campaign_4]]+Table1[[#This Row],[Accepted_Campaign_3]])</f>
        <v>0</v>
      </c>
      <c r="AC1879">
        <v>0</v>
      </c>
      <c r="AD1879">
        <v>0</v>
      </c>
    </row>
    <row r="1880" spans="1:30" x14ac:dyDescent="0.25">
      <c r="A1880">
        <v>41547</v>
      </c>
      <c r="B1880">
        <v>8405</v>
      </c>
      <c r="C1880">
        <v>1979</v>
      </c>
      <c r="D1880" t="s">
        <v>20</v>
      </c>
      <c r="E1880" t="s">
        <v>6</v>
      </c>
      <c r="F1880" t="s">
        <v>7</v>
      </c>
      <c r="G1880">
        <v>68274</v>
      </c>
      <c r="H1880">
        <v>2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f>SUM(Table1[[#This Row],[Gold Spending]]+Table1[[#This Row],[Sweet Spending]]+Table1[[#This Row],[Fish Spending]]+Table1[[#This Row],[Meat Spending]]+Table1[[#This Row],[Fruits Spending]]+Table1[[#This Row],[Wine Spending ]])</f>
        <v>305</v>
      </c>
      <c r="Q1880">
        <v>2</v>
      </c>
      <c r="R1880">
        <v>4</v>
      </c>
      <c r="S1880">
        <v>2</v>
      </c>
      <c r="T1880">
        <v>5</v>
      </c>
      <c r="U1880">
        <f>SUM(Table1[[#This Row],[Store_Purchases]]+Table1[[#This Row],[Catalog_Purchases]]+Table1[[#This Row],[Web_Purchases]]+Table1[[#This Row],[Deal_Purchases]])</f>
        <v>13</v>
      </c>
      <c r="V1880">
        <v>3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f>SUM(Table1[[#This Row],[Accepted_Campaign_2]]+Table1[[#This Row],[Accepted_Campaign_1]]+Table1[[#This Row],[Accepted_Campaign_5]]+Table1[[#This Row],[Accepted_Campaign_4]]+Table1[[#This Row],[Accepted_Campaign_3]])</f>
        <v>0</v>
      </c>
      <c r="AC1880">
        <v>0</v>
      </c>
      <c r="AD1880">
        <v>0</v>
      </c>
    </row>
    <row r="1881" spans="1:30" x14ac:dyDescent="0.25">
      <c r="A1881">
        <v>41501</v>
      </c>
      <c r="B1881">
        <v>7617</v>
      </c>
      <c r="C1881">
        <v>1974</v>
      </c>
      <c r="D1881" t="s">
        <v>8</v>
      </c>
      <c r="E1881" t="s">
        <v>6</v>
      </c>
      <c r="F1881" t="s">
        <v>9</v>
      </c>
      <c r="G1881">
        <v>42373</v>
      </c>
      <c r="H1881">
        <v>2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f>SUM(Table1[[#This Row],[Gold Spending]]+Table1[[#This Row],[Sweet Spending]]+Table1[[#This Row],[Fish Spending]]+Table1[[#This Row],[Meat Spending]]+Table1[[#This Row],[Fruits Spending]]+Table1[[#This Row],[Wine Spending ]])</f>
        <v>163</v>
      </c>
      <c r="Q1881">
        <v>5</v>
      </c>
      <c r="R1881">
        <v>2</v>
      </c>
      <c r="S1881">
        <v>1</v>
      </c>
      <c r="T1881">
        <v>5</v>
      </c>
      <c r="U1881">
        <f>SUM(Table1[[#This Row],[Store_Purchases]]+Table1[[#This Row],[Catalog_Purchases]]+Table1[[#This Row],[Web_Purchases]]+Table1[[#This Row],[Deal_Purchases]])</f>
        <v>13</v>
      </c>
      <c r="V1881">
        <v>5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f>SUM(Table1[[#This Row],[Accepted_Campaign_2]]+Table1[[#This Row],[Accepted_Campaign_1]]+Table1[[#This Row],[Accepted_Campaign_5]]+Table1[[#This Row],[Accepted_Campaign_4]]+Table1[[#This Row],[Accepted_Campaign_3]])</f>
        <v>0</v>
      </c>
      <c r="AC1881">
        <v>0</v>
      </c>
      <c r="AD1881">
        <v>0</v>
      </c>
    </row>
    <row r="1882" spans="1:30" x14ac:dyDescent="0.25">
      <c r="A1882">
        <v>41448</v>
      </c>
      <c r="B1882">
        <v>10339</v>
      </c>
      <c r="C1882">
        <v>1954</v>
      </c>
      <c r="D1882" t="s">
        <v>13</v>
      </c>
      <c r="E1882" t="s">
        <v>18</v>
      </c>
      <c r="F1882" t="s">
        <v>12</v>
      </c>
      <c r="G1882">
        <v>53790.45</v>
      </c>
      <c r="H1882">
        <v>1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f>SUM(Table1[[#This Row],[Gold Spending]]+Table1[[#This Row],[Sweet Spending]]+Table1[[#This Row],[Fish Spending]]+Table1[[#This Row],[Meat Spending]]+Table1[[#This Row],[Fruits Spending]]+Table1[[#This Row],[Wine Spending ]])</f>
        <v>207</v>
      </c>
      <c r="Q1882">
        <v>2</v>
      </c>
      <c r="R1882">
        <v>4</v>
      </c>
      <c r="S1882">
        <v>1</v>
      </c>
      <c r="T1882">
        <v>4</v>
      </c>
      <c r="U1882">
        <f>SUM(Table1[[#This Row],[Store_Purchases]]+Table1[[#This Row],[Catalog_Purchases]]+Table1[[#This Row],[Web_Purchases]]+Table1[[#This Row],[Deal_Purchases]])</f>
        <v>11</v>
      </c>
      <c r="V1882">
        <v>6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f>SUM(Table1[[#This Row],[Accepted_Campaign_2]]+Table1[[#This Row],[Accepted_Campaign_1]]+Table1[[#This Row],[Accepted_Campaign_5]]+Table1[[#This Row],[Accepted_Campaign_4]]+Table1[[#This Row],[Accepted_Campaign_3]])</f>
        <v>0</v>
      </c>
      <c r="AC1882">
        <v>0</v>
      </c>
      <c r="AD1882">
        <v>0</v>
      </c>
    </row>
    <row r="1883" spans="1:30" x14ac:dyDescent="0.25">
      <c r="A1883">
        <v>41435</v>
      </c>
      <c r="B1883">
        <v>6376</v>
      </c>
      <c r="C1883">
        <v>1979</v>
      </c>
      <c r="D1883" t="s">
        <v>13</v>
      </c>
      <c r="E1883" t="s">
        <v>6</v>
      </c>
      <c r="F1883" t="s">
        <v>9</v>
      </c>
      <c r="G1883">
        <v>57537</v>
      </c>
      <c r="H1883">
        <v>1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f>SUM(Table1[[#This Row],[Gold Spending]]+Table1[[#This Row],[Sweet Spending]]+Table1[[#This Row],[Fish Spending]]+Table1[[#This Row],[Meat Spending]]+Table1[[#This Row],[Fruits Spending]]+Table1[[#This Row],[Wine Spending ]])</f>
        <v>545</v>
      </c>
      <c r="Q1883">
        <v>4</v>
      </c>
      <c r="R1883">
        <v>4</v>
      </c>
      <c r="S1883">
        <v>3</v>
      </c>
      <c r="T1883">
        <v>8</v>
      </c>
      <c r="U1883">
        <f>SUM(Table1[[#This Row],[Store_Purchases]]+Table1[[#This Row],[Catalog_Purchases]]+Table1[[#This Row],[Web_Purchases]]+Table1[[#This Row],[Deal_Purchases]])</f>
        <v>19</v>
      </c>
      <c r="V1883">
        <v>4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f>SUM(Table1[[#This Row],[Accepted_Campaign_2]]+Table1[[#This Row],[Accepted_Campaign_1]]+Table1[[#This Row],[Accepted_Campaign_5]]+Table1[[#This Row],[Accepted_Campaign_4]]+Table1[[#This Row],[Accepted_Campaign_3]])</f>
        <v>0</v>
      </c>
      <c r="AC1883">
        <v>0</v>
      </c>
      <c r="AD1883">
        <v>0</v>
      </c>
    </row>
    <row r="1884" spans="1:30" x14ac:dyDescent="0.25">
      <c r="A1884">
        <v>41405</v>
      </c>
      <c r="B1884">
        <v>2150</v>
      </c>
      <c r="C1884">
        <v>1958</v>
      </c>
      <c r="D1884" t="s">
        <v>10</v>
      </c>
      <c r="E1884" t="s">
        <v>14</v>
      </c>
      <c r="F1884" t="s">
        <v>19</v>
      </c>
      <c r="G1884">
        <v>80995</v>
      </c>
      <c r="H1884">
        <v>1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f>SUM(Table1[[#This Row],[Gold Spending]]+Table1[[#This Row],[Sweet Spending]]+Table1[[#This Row],[Fish Spending]]+Table1[[#This Row],[Meat Spending]]+Table1[[#This Row],[Fruits Spending]]+Table1[[#This Row],[Wine Spending ]])</f>
        <v>1482</v>
      </c>
      <c r="Q1884">
        <v>1</v>
      </c>
      <c r="R1884">
        <v>8</v>
      </c>
      <c r="S1884">
        <v>9</v>
      </c>
      <c r="T1884">
        <v>4</v>
      </c>
      <c r="U1884">
        <f>SUM(Table1[[#This Row],[Store_Purchases]]+Table1[[#This Row],[Catalog_Purchases]]+Table1[[#This Row],[Web_Purchases]]+Table1[[#This Row],[Deal_Purchases]])</f>
        <v>22</v>
      </c>
      <c r="V1884">
        <v>4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f>SUM(Table1[[#This Row],[Accepted_Campaign_2]]+Table1[[#This Row],[Accepted_Campaign_1]]+Table1[[#This Row],[Accepted_Campaign_5]]+Table1[[#This Row],[Accepted_Campaign_4]]+Table1[[#This Row],[Accepted_Campaign_3]])</f>
        <v>0</v>
      </c>
      <c r="AC1884">
        <v>0</v>
      </c>
      <c r="AD1884">
        <v>0</v>
      </c>
    </row>
    <row r="1885" spans="1:30" x14ac:dyDescent="0.25">
      <c r="A1885">
        <v>41386</v>
      </c>
      <c r="B1885">
        <v>7386</v>
      </c>
      <c r="C1885">
        <v>1976</v>
      </c>
      <c r="D1885" t="s">
        <v>10</v>
      </c>
      <c r="E1885" t="s">
        <v>6</v>
      </c>
      <c r="F1885" t="s">
        <v>7</v>
      </c>
      <c r="G1885">
        <v>30992</v>
      </c>
      <c r="H1885">
        <v>1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f>SUM(Table1[[#This Row],[Gold Spending]]+Table1[[#This Row],[Sweet Spending]]+Table1[[#This Row],[Fish Spending]]+Table1[[#This Row],[Meat Spending]]+Table1[[#This Row],[Fruits Spending]]+Table1[[#This Row],[Wine Spending ]])</f>
        <v>43</v>
      </c>
      <c r="Q1885">
        <v>1</v>
      </c>
      <c r="R1885">
        <v>1</v>
      </c>
      <c r="S1885">
        <v>0</v>
      </c>
      <c r="T1885">
        <v>3</v>
      </c>
      <c r="U1885">
        <f>SUM(Table1[[#This Row],[Store_Purchases]]+Table1[[#This Row],[Catalog_Purchases]]+Table1[[#This Row],[Web_Purchases]]+Table1[[#This Row],[Deal_Purchases]])</f>
        <v>5</v>
      </c>
      <c r="V1885">
        <v>7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f>SUM(Table1[[#This Row],[Accepted_Campaign_2]]+Table1[[#This Row],[Accepted_Campaign_1]]+Table1[[#This Row],[Accepted_Campaign_5]]+Table1[[#This Row],[Accepted_Campaign_4]]+Table1[[#This Row],[Accepted_Campaign_3]])</f>
        <v>0</v>
      </c>
      <c r="AC1885">
        <v>0</v>
      </c>
      <c r="AD1885">
        <v>0</v>
      </c>
    </row>
    <row r="1886" spans="1:30" x14ac:dyDescent="0.25">
      <c r="A1886">
        <v>41386</v>
      </c>
      <c r="B1886">
        <v>3006</v>
      </c>
      <c r="C1886">
        <v>1976</v>
      </c>
      <c r="D1886" t="s">
        <v>10</v>
      </c>
      <c r="E1886" t="s">
        <v>6</v>
      </c>
      <c r="F1886" t="s">
        <v>7</v>
      </c>
      <c r="G1886">
        <v>30992</v>
      </c>
      <c r="H1886">
        <v>1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f>SUM(Table1[[#This Row],[Gold Spending]]+Table1[[#This Row],[Sweet Spending]]+Table1[[#This Row],[Fish Spending]]+Table1[[#This Row],[Meat Spending]]+Table1[[#This Row],[Fruits Spending]]+Table1[[#This Row],[Wine Spending ]])</f>
        <v>43</v>
      </c>
      <c r="Q1886">
        <v>1</v>
      </c>
      <c r="R1886">
        <v>1</v>
      </c>
      <c r="S1886">
        <v>0</v>
      </c>
      <c r="T1886">
        <v>3</v>
      </c>
      <c r="U1886">
        <f>SUM(Table1[[#This Row],[Store_Purchases]]+Table1[[#This Row],[Catalog_Purchases]]+Table1[[#This Row],[Web_Purchases]]+Table1[[#This Row],[Deal_Purchases]])</f>
        <v>5</v>
      </c>
      <c r="V1886">
        <v>7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f>SUM(Table1[[#This Row],[Accepted_Campaign_2]]+Table1[[#This Row],[Accepted_Campaign_1]]+Table1[[#This Row],[Accepted_Campaign_5]]+Table1[[#This Row],[Accepted_Campaign_4]]+Table1[[#This Row],[Accepted_Campaign_3]])</f>
        <v>0</v>
      </c>
      <c r="AC1886">
        <v>0</v>
      </c>
      <c r="AD1886">
        <v>0</v>
      </c>
    </row>
    <row r="1887" spans="1:30" x14ac:dyDescent="0.25">
      <c r="A1887">
        <v>41385</v>
      </c>
      <c r="B1887">
        <v>11088</v>
      </c>
      <c r="C1887">
        <v>1971</v>
      </c>
      <c r="D1887" t="s">
        <v>8</v>
      </c>
      <c r="E1887" t="s">
        <v>14</v>
      </c>
      <c r="F1887" t="s">
        <v>12</v>
      </c>
      <c r="G1887">
        <v>78642</v>
      </c>
      <c r="H1887">
        <v>1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f>SUM(Table1[[#This Row],[Gold Spending]]+Table1[[#This Row],[Sweet Spending]]+Table1[[#This Row],[Fish Spending]]+Table1[[#This Row],[Meat Spending]]+Table1[[#This Row],[Fruits Spending]]+Table1[[#This Row],[Wine Spending ]])</f>
        <v>1816</v>
      </c>
      <c r="Q1887">
        <v>1</v>
      </c>
      <c r="R1887">
        <v>4</v>
      </c>
      <c r="S1887">
        <v>9</v>
      </c>
      <c r="T1887">
        <v>4</v>
      </c>
      <c r="U1887">
        <f>SUM(Table1[[#This Row],[Store_Purchases]]+Table1[[#This Row],[Catalog_Purchases]]+Table1[[#This Row],[Web_Purchases]]+Table1[[#This Row],[Deal_Purchases]])</f>
        <v>18</v>
      </c>
      <c r="V1887">
        <v>6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f>SUM(Table1[[#This Row],[Accepted_Campaign_2]]+Table1[[#This Row],[Accepted_Campaign_1]]+Table1[[#This Row],[Accepted_Campaign_5]]+Table1[[#This Row],[Accepted_Campaign_4]]+Table1[[#This Row],[Accepted_Campaign_3]])</f>
        <v>0</v>
      </c>
      <c r="AC1887">
        <v>0</v>
      </c>
      <c r="AD1887">
        <v>0</v>
      </c>
    </row>
    <row r="1888" spans="1:30" x14ac:dyDescent="0.25">
      <c r="A1888">
        <v>41319</v>
      </c>
      <c r="B1888">
        <v>5185</v>
      </c>
      <c r="C1888">
        <v>1955</v>
      </c>
      <c r="D1888" t="s">
        <v>20</v>
      </c>
      <c r="E1888" t="s">
        <v>6</v>
      </c>
      <c r="F1888" t="s">
        <v>11</v>
      </c>
      <c r="G1888">
        <v>74268</v>
      </c>
      <c r="H1888">
        <v>0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f>SUM(Table1[[#This Row],[Gold Spending]]+Table1[[#This Row],[Sweet Spending]]+Table1[[#This Row],[Fish Spending]]+Table1[[#This Row],[Meat Spending]]+Table1[[#This Row],[Fruits Spending]]+Table1[[#This Row],[Wine Spending ]])</f>
        <v>892</v>
      </c>
      <c r="Q1888">
        <v>1</v>
      </c>
      <c r="R1888">
        <v>4</v>
      </c>
      <c r="S1888">
        <v>3</v>
      </c>
      <c r="T1888">
        <v>5</v>
      </c>
      <c r="U1888">
        <f>SUM(Table1[[#This Row],[Store_Purchases]]+Table1[[#This Row],[Catalog_Purchases]]+Table1[[#This Row],[Web_Purchases]]+Table1[[#This Row],[Deal_Purchases]])</f>
        <v>13</v>
      </c>
      <c r="V1888">
        <v>2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f>SUM(Table1[[#This Row],[Accepted_Campaign_2]]+Table1[[#This Row],[Accepted_Campaign_1]]+Table1[[#This Row],[Accepted_Campaign_5]]+Table1[[#This Row],[Accepted_Campaign_4]]+Table1[[#This Row],[Accepted_Campaign_3]])</f>
        <v>0</v>
      </c>
      <c r="AC1888">
        <v>0</v>
      </c>
      <c r="AD1888">
        <v>0</v>
      </c>
    </row>
    <row r="1889" spans="1:30" x14ac:dyDescent="0.25">
      <c r="A1889">
        <v>41297</v>
      </c>
      <c r="B1889">
        <v>3523</v>
      </c>
      <c r="C1889">
        <v>1962</v>
      </c>
      <c r="D1889" t="s">
        <v>8</v>
      </c>
      <c r="E1889" t="s">
        <v>6</v>
      </c>
      <c r="F1889" t="s">
        <v>12</v>
      </c>
      <c r="G1889">
        <v>75072</v>
      </c>
      <c r="H1889">
        <v>1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f>SUM(Table1[[#This Row],[Gold Spending]]+Table1[[#This Row],[Sweet Spending]]+Table1[[#This Row],[Fish Spending]]+Table1[[#This Row],[Meat Spending]]+Table1[[#This Row],[Fruits Spending]]+Table1[[#This Row],[Wine Spending ]])</f>
        <v>1073</v>
      </c>
      <c r="Q1889">
        <v>2</v>
      </c>
      <c r="R1889">
        <v>5</v>
      </c>
      <c r="S1889">
        <v>4</v>
      </c>
      <c r="T1889">
        <v>8</v>
      </c>
      <c r="U1889">
        <f>SUM(Table1[[#This Row],[Store_Purchases]]+Table1[[#This Row],[Catalog_Purchases]]+Table1[[#This Row],[Web_Purchases]]+Table1[[#This Row],[Deal_Purchases]])</f>
        <v>19</v>
      </c>
      <c r="V1889">
        <v>3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f>SUM(Table1[[#This Row],[Accepted_Campaign_2]]+Table1[[#This Row],[Accepted_Campaign_1]]+Table1[[#This Row],[Accepted_Campaign_5]]+Table1[[#This Row],[Accepted_Campaign_4]]+Table1[[#This Row],[Accepted_Campaign_3]])</f>
        <v>0</v>
      </c>
      <c r="AC1889">
        <v>0</v>
      </c>
      <c r="AD1889">
        <v>0</v>
      </c>
    </row>
    <row r="1890" spans="1:30" x14ac:dyDescent="0.25">
      <c r="A1890">
        <v>41250</v>
      </c>
      <c r="B1890">
        <v>55</v>
      </c>
      <c r="C1890">
        <v>1963</v>
      </c>
      <c r="D1890" t="s">
        <v>8</v>
      </c>
      <c r="E1890" t="s">
        <v>6</v>
      </c>
      <c r="F1890" t="s">
        <v>12</v>
      </c>
      <c r="G1890">
        <v>56253</v>
      </c>
      <c r="H1890">
        <v>1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f>SUM(Table1[[#This Row],[Gold Spending]]+Table1[[#This Row],[Sweet Spending]]+Table1[[#This Row],[Fish Spending]]+Table1[[#This Row],[Meat Spending]]+Table1[[#This Row],[Fruits Spending]]+Table1[[#This Row],[Wine Spending ]])</f>
        <v>597</v>
      </c>
      <c r="Q1890">
        <v>4</v>
      </c>
      <c r="R1890">
        <v>7</v>
      </c>
      <c r="S1890">
        <v>2</v>
      </c>
      <c r="T1890">
        <v>9</v>
      </c>
      <c r="U1890">
        <f>SUM(Table1[[#This Row],[Store_Purchases]]+Table1[[#This Row],[Catalog_Purchases]]+Table1[[#This Row],[Web_Purchases]]+Table1[[#This Row],[Deal_Purchases]])</f>
        <v>22</v>
      </c>
      <c r="V1890">
        <v>6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f>SUM(Table1[[#This Row],[Accepted_Campaign_2]]+Table1[[#This Row],[Accepted_Campaign_1]]+Table1[[#This Row],[Accepted_Campaign_5]]+Table1[[#This Row],[Accepted_Campaign_4]]+Table1[[#This Row],[Accepted_Campaign_3]])</f>
        <v>0</v>
      </c>
      <c r="AC1890">
        <v>0</v>
      </c>
      <c r="AD1890">
        <v>0</v>
      </c>
    </row>
    <row r="1891" spans="1:30" x14ac:dyDescent="0.25">
      <c r="A1891">
        <v>41243</v>
      </c>
      <c r="B1891">
        <v>3807</v>
      </c>
      <c r="C1891">
        <v>1955</v>
      </c>
      <c r="D1891" t="s">
        <v>8</v>
      </c>
      <c r="E1891" t="s">
        <v>6</v>
      </c>
      <c r="F1891" t="s">
        <v>12</v>
      </c>
      <c r="G1891">
        <v>59925</v>
      </c>
      <c r="H1891">
        <v>1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f>SUM(Table1[[#This Row],[Gold Spending]]+Table1[[#This Row],[Sweet Spending]]+Table1[[#This Row],[Fish Spending]]+Table1[[#This Row],[Meat Spending]]+Table1[[#This Row],[Fruits Spending]]+Table1[[#This Row],[Wine Spending ]])</f>
        <v>766</v>
      </c>
      <c r="Q1891">
        <v>3</v>
      </c>
      <c r="R1891">
        <v>9</v>
      </c>
      <c r="S1891">
        <v>2</v>
      </c>
      <c r="T1891">
        <v>9</v>
      </c>
      <c r="U1891">
        <f>SUM(Table1[[#This Row],[Store_Purchases]]+Table1[[#This Row],[Catalog_Purchases]]+Table1[[#This Row],[Web_Purchases]]+Table1[[#This Row],[Deal_Purchases]])</f>
        <v>23</v>
      </c>
      <c r="V1891">
        <v>6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f>SUM(Table1[[#This Row],[Accepted_Campaign_2]]+Table1[[#This Row],[Accepted_Campaign_1]]+Table1[[#This Row],[Accepted_Campaign_5]]+Table1[[#This Row],[Accepted_Campaign_4]]+Table1[[#This Row],[Accepted_Campaign_3]])</f>
        <v>0</v>
      </c>
      <c r="AC1891">
        <v>0</v>
      </c>
      <c r="AD1891">
        <v>0</v>
      </c>
    </row>
    <row r="1892" spans="1:30" x14ac:dyDescent="0.25">
      <c r="A1892">
        <v>41152</v>
      </c>
      <c r="B1892">
        <v>2453</v>
      </c>
      <c r="C1892">
        <v>1960</v>
      </c>
      <c r="D1892" t="s">
        <v>8</v>
      </c>
      <c r="E1892" t="s">
        <v>6</v>
      </c>
      <c r="F1892" t="s">
        <v>12</v>
      </c>
      <c r="G1892">
        <v>62807</v>
      </c>
      <c r="H1892">
        <v>1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f>SUM(Table1[[#This Row],[Gold Spending]]+Table1[[#This Row],[Sweet Spending]]+Table1[[#This Row],[Fish Spending]]+Table1[[#This Row],[Meat Spending]]+Table1[[#This Row],[Fruits Spending]]+Table1[[#This Row],[Wine Spending ]])</f>
        <v>819</v>
      </c>
      <c r="Q1892">
        <v>3</v>
      </c>
      <c r="R1892">
        <v>5</v>
      </c>
      <c r="S1892">
        <v>3</v>
      </c>
      <c r="T1892">
        <v>12</v>
      </c>
      <c r="U1892">
        <f>SUM(Table1[[#This Row],[Store_Purchases]]+Table1[[#This Row],[Catalog_Purchases]]+Table1[[#This Row],[Web_Purchases]]+Table1[[#This Row],[Deal_Purchases]])</f>
        <v>23</v>
      </c>
      <c r="V1892">
        <v>5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f>SUM(Table1[[#This Row],[Accepted_Campaign_2]]+Table1[[#This Row],[Accepted_Campaign_1]]+Table1[[#This Row],[Accepted_Campaign_5]]+Table1[[#This Row],[Accepted_Campaign_4]]+Table1[[#This Row],[Accepted_Campaign_3]])</f>
        <v>0</v>
      </c>
      <c r="AC1892">
        <v>0</v>
      </c>
      <c r="AD1892">
        <v>0</v>
      </c>
    </row>
    <row r="1893" spans="1:30" x14ac:dyDescent="0.25">
      <c r="A1893">
        <v>41152</v>
      </c>
      <c r="B1893">
        <v>7787</v>
      </c>
      <c r="C1893">
        <v>1960</v>
      </c>
      <c r="D1893" t="s">
        <v>10</v>
      </c>
      <c r="E1893" t="s">
        <v>6</v>
      </c>
      <c r="F1893" t="s">
        <v>12</v>
      </c>
      <c r="G1893">
        <v>62807</v>
      </c>
      <c r="H1893">
        <v>1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f>SUM(Table1[[#This Row],[Gold Spending]]+Table1[[#This Row],[Sweet Spending]]+Table1[[#This Row],[Fish Spending]]+Table1[[#This Row],[Meat Spending]]+Table1[[#This Row],[Fruits Spending]]+Table1[[#This Row],[Wine Spending ]])</f>
        <v>819</v>
      </c>
      <c r="Q1893">
        <v>3</v>
      </c>
      <c r="R1893">
        <v>5</v>
      </c>
      <c r="S1893">
        <v>3</v>
      </c>
      <c r="T1893">
        <v>12</v>
      </c>
      <c r="U1893">
        <f>SUM(Table1[[#This Row],[Store_Purchases]]+Table1[[#This Row],[Catalog_Purchases]]+Table1[[#This Row],[Web_Purchases]]+Table1[[#This Row],[Deal_Purchases]])</f>
        <v>23</v>
      </c>
      <c r="V1893">
        <v>5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f>SUM(Table1[[#This Row],[Accepted_Campaign_2]]+Table1[[#This Row],[Accepted_Campaign_1]]+Table1[[#This Row],[Accepted_Campaign_5]]+Table1[[#This Row],[Accepted_Campaign_4]]+Table1[[#This Row],[Accepted_Campaign_3]])</f>
        <v>0</v>
      </c>
      <c r="AC1893">
        <v>0</v>
      </c>
      <c r="AD1893">
        <v>0</v>
      </c>
    </row>
    <row r="1894" spans="1:30" x14ac:dyDescent="0.25">
      <c r="A1894">
        <v>41783</v>
      </c>
      <c r="B1894">
        <v>2230</v>
      </c>
      <c r="C1894">
        <v>1970</v>
      </c>
      <c r="D1894" t="s">
        <v>16</v>
      </c>
      <c r="E1894" t="s">
        <v>14</v>
      </c>
      <c r="F1894" t="s">
        <v>11</v>
      </c>
      <c r="G1894">
        <v>23626</v>
      </c>
      <c r="H1894">
        <v>1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f>SUM(Table1[[#This Row],[Gold Spending]]+Table1[[#This Row],[Sweet Spending]]+Table1[[#This Row],[Fish Spending]]+Table1[[#This Row],[Meat Spending]]+Table1[[#This Row],[Fruits Spending]]+Table1[[#This Row],[Wine Spending ]])</f>
        <v>43</v>
      </c>
      <c r="Q1894">
        <v>3</v>
      </c>
      <c r="R1894">
        <v>3</v>
      </c>
      <c r="S1894">
        <v>1</v>
      </c>
      <c r="T1894">
        <v>3</v>
      </c>
      <c r="U1894">
        <f>SUM(Table1[[#This Row],[Store_Purchases]]+Table1[[#This Row],[Catalog_Purchases]]+Table1[[#This Row],[Web_Purchases]]+Table1[[#This Row],[Deal_Purchases]])</f>
        <v>10</v>
      </c>
      <c r="V1894">
        <v>5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f>SUM(Table1[[#This Row],[Accepted_Campaign_2]]+Table1[[#This Row],[Accepted_Campaign_1]]+Table1[[#This Row],[Accepted_Campaign_5]]+Table1[[#This Row],[Accepted_Campaign_4]]+Table1[[#This Row],[Accepted_Campaign_3]])</f>
        <v>0</v>
      </c>
      <c r="AC1894">
        <v>0</v>
      </c>
      <c r="AD1894">
        <v>0</v>
      </c>
    </row>
    <row r="1895" spans="1:30" x14ac:dyDescent="0.25">
      <c r="A1895">
        <v>41770</v>
      </c>
      <c r="B1895">
        <v>8146</v>
      </c>
      <c r="C1895">
        <v>1976</v>
      </c>
      <c r="D1895" t="s">
        <v>20</v>
      </c>
      <c r="E1895" t="s">
        <v>18</v>
      </c>
      <c r="F1895" t="s">
        <v>12</v>
      </c>
      <c r="G1895">
        <v>46106</v>
      </c>
      <c r="H1895">
        <v>2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f>SUM(Table1[[#This Row],[Gold Spending]]+Table1[[#This Row],[Sweet Spending]]+Table1[[#This Row],[Fish Spending]]+Table1[[#This Row],[Meat Spending]]+Table1[[#This Row],[Fruits Spending]]+Table1[[#This Row],[Wine Spending ]])</f>
        <v>54</v>
      </c>
      <c r="Q1895">
        <v>1</v>
      </c>
      <c r="R1895">
        <v>1</v>
      </c>
      <c r="S1895">
        <v>1</v>
      </c>
      <c r="T1895">
        <v>2</v>
      </c>
      <c r="U1895">
        <f>SUM(Table1[[#This Row],[Store_Purchases]]+Table1[[#This Row],[Catalog_Purchases]]+Table1[[#This Row],[Web_Purchases]]+Table1[[#This Row],[Deal_Purchases]])</f>
        <v>5</v>
      </c>
      <c r="V1895">
        <v>6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f>SUM(Table1[[#This Row],[Accepted_Campaign_2]]+Table1[[#This Row],[Accepted_Campaign_1]]+Table1[[#This Row],[Accepted_Campaign_5]]+Table1[[#This Row],[Accepted_Campaign_4]]+Table1[[#This Row],[Accepted_Campaign_3]])</f>
        <v>0</v>
      </c>
      <c r="AC1895">
        <v>0</v>
      </c>
      <c r="AD1895">
        <v>0</v>
      </c>
    </row>
    <row r="1896" spans="1:30" x14ac:dyDescent="0.25">
      <c r="A1896">
        <v>41766</v>
      </c>
      <c r="B1896">
        <v>988</v>
      </c>
      <c r="C1896">
        <v>1965</v>
      </c>
      <c r="D1896" t="s">
        <v>8</v>
      </c>
      <c r="E1896" t="s">
        <v>6</v>
      </c>
      <c r="F1896" t="s">
        <v>11</v>
      </c>
      <c r="G1896">
        <v>81168</v>
      </c>
      <c r="H1896">
        <v>0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f>SUM(Table1[[#This Row],[Gold Spending]]+Table1[[#This Row],[Sweet Spending]]+Table1[[#This Row],[Fish Spending]]+Table1[[#This Row],[Meat Spending]]+Table1[[#This Row],[Fruits Spending]]+Table1[[#This Row],[Wine Spending ]])</f>
        <v>1193</v>
      </c>
      <c r="Q1896">
        <v>1</v>
      </c>
      <c r="R1896">
        <v>6</v>
      </c>
      <c r="S1896">
        <v>4</v>
      </c>
      <c r="T1896">
        <v>7</v>
      </c>
      <c r="U1896">
        <f>SUM(Table1[[#This Row],[Store_Purchases]]+Table1[[#This Row],[Catalog_Purchases]]+Table1[[#This Row],[Web_Purchases]]+Table1[[#This Row],[Deal_Purchases]])</f>
        <v>18</v>
      </c>
      <c r="V1896">
        <v>3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f>SUM(Table1[[#This Row],[Accepted_Campaign_2]]+Table1[[#This Row],[Accepted_Campaign_1]]+Table1[[#This Row],[Accepted_Campaign_5]]+Table1[[#This Row],[Accepted_Campaign_4]]+Table1[[#This Row],[Accepted_Campaign_3]])</f>
        <v>1</v>
      </c>
      <c r="AC1896">
        <v>0</v>
      </c>
      <c r="AD1896">
        <v>0</v>
      </c>
    </row>
    <row r="1897" spans="1:30" x14ac:dyDescent="0.25">
      <c r="A1897">
        <v>41705</v>
      </c>
      <c r="B1897">
        <v>4832</v>
      </c>
      <c r="C1897">
        <v>1979</v>
      </c>
      <c r="D1897" t="s">
        <v>8</v>
      </c>
      <c r="E1897" t="s">
        <v>6</v>
      </c>
      <c r="F1897" t="s">
        <v>11</v>
      </c>
      <c r="G1897">
        <v>27244</v>
      </c>
      <c r="H1897">
        <v>1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f>SUM(Table1[[#This Row],[Gold Spending]]+Table1[[#This Row],[Sweet Spending]]+Table1[[#This Row],[Fish Spending]]+Table1[[#This Row],[Meat Spending]]+Table1[[#This Row],[Fruits Spending]]+Table1[[#This Row],[Wine Spending ]])</f>
        <v>101</v>
      </c>
      <c r="Q1897">
        <v>2</v>
      </c>
      <c r="R1897">
        <v>2</v>
      </c>
      <c r="S1897">
        <v>2</v>
      </c>
      <c r="T1897">
        <v>2</v>
      </c>
      <c r="U1897">
        <f>SUM(Table1[[#This Row],[Store_Purchases]]+Table1[[#This Row],[Catalog_Purchases]]+Table1[[#This Row],[Web_Purchases]]+Table1[[#This Row],[Deal_Purchases]])</f>
        <v>8</v>
      </c>
      <c r="V1897">
        <v>7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f>SUM(Table1[[#This Row],[Accepted_Campaign_2]]+Table1[[#This Row],[Accepted_Campaign_1]]+Table1[[#This Row],[Accepted_Campaign_5]]+Table1[[#This Row],[Accepted_Campaign_4]]+Table1[[#This Row],[Accepted_Campaign_3]])</f>
        <v>0</v>
      </c>
      <c r="AC1897">
        <v>0</v>
      </c>
      <c r="AD1897">
        <v>0</v>
      </c>
    </row>
    <row r="1898" spans="1:30" x14ac:dyDescent="0.25">
      <c r="A1898">
        <v>41695</v>
      </c>
      <c r="B1898">
        <v>3152</v>
      </c>
      <c r="C1898">
        <v>1957</v>
      </c>
      <c r="D1898" t="s">
        <v>17</v>
      </c>
      <c r="E1898" t="s">
        <v>6</v>
      </c>
      <c r="F1898" t="s">
        <v>12</v>
      </c>
      <c r="G1898">
        <v>26091</v>
      </c>
      <c r="H1898">
        <v>2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f>SUM(Table1[[#This Row],[Gold Spending]]+Table1[[#This Row],[Sweet Spending]]+Table1[[#This Row],[Fish Spending]]+Table1[[#This Row],[Meat Spending]]+Table1[[#This Row],[Fruits Spending]]+Table1[[#This Row],[Wine Spending ]])</f>
        <v>89</v>
      </c>
      <c r="Q1898">
        <v>3</v>
      </c>
      <c r="R1898">
        <v>2</v>
      </c>
      <c r="S1898">
        <v>1</v>
      </c>
      <c r="T1898">
        <v>3</v>
      </c>
      <c r="U1898">
        <f>SUM(Table1[[#This Row],[Store_Purchases]]+Table1[[#This Row],[Catalog_Purchases]]+Table1[[#This Row],[Web_Purchases]]+Table1[[#This Row],[Deal_Purchases]])</f>
        <v>9</v>
      </c>
      <c r="V1898">
        <v>5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f>SUM(Table1[[#This Row],[Accepted_Campaign_2]]+Table1[[#This Row],[Accepted_Campaign_1]]+Table1[[#This Row],[Accepted_Campaign_5]]+Table1[[#This Row],[Accepted_Campaign_4]]+Table1[[#This Row],[Accepted_Campaign_3]])</f>
        <v>0</v>
      </c>
      <c r="AC1898">
        <v>0</v>
      </c>
      <c r="AD1898">
        <v>0</v>
      </c>
    </row>
    <row r="1899" spans="1:30" x14ac:dyDescent="0.25">
      <c r="A1899">
        <v>41695</v>
      </c>
      <c r="B1899">
        <v>11188</v>
      </c>
      <c r="C1899">
        <v>1957</v>
      </c>
      <c r="D1899" t="s">
        <v>8</v>
      </c>
      <c r="E1899" t="s">
        <v>6</v>
      </c>
      <c r="F1899" t="s">
        <v>12</v>
      </c>
      <c r="G1899">
        <v>26091</v>
      </c>
      <c r="H1899">
        <v>2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f>SUM(Table1[[#This Row],[Gold Spending]]+Table1[[#This Row],[Sweet Spending]]+Table1[[#This Row],[Fish Spending]]+Table1[[#This Row],[Meat Spending]]+Table1[[#This Row],[Fruits Spending]]+Table1[[#This Row],[Wine Spending ]])</f>
        <v>89</v>
      </c>
      <c r="Q1899">
        <v>3</v>
      </c>
      <c r="R1899">
        <v>2</v>
      </c>
      <c r="S1899">
        <v>1</v>
      </c>
      <c r="T1899">
        <v>3</v>
      </c>
      <c r="U1899">
        <f>SUM(Table1[[#This Row],[Store_Purchases]]+Table1[[#This Row],[Catalog_Purchases]]+Table1[[#This Row],[Web_Purchases]]+Table1[[#This Row],[Deal_Purchases]])</f>
        <v>9</v>
      </c>
      <c r="V1899">
        <v>5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f>SUM(Table1[[#This Row],[Accepted_Campaign_2]]+Table1[[#This Row],[Accepted_Campaign_1]]+Table1[[#This Row],[Accepted_Campaign_5]]+Table1[[#This Row],[Accepted_Campaign_4]]+Table1[[#This Row],[Accepted_Campaign_3]])</f>
        <v>0</v>
      </c>
      <c r="AC1899">
        <v>0</v>
      </c>
      <c r="AD1899">
        <v>0</v>
      </c>
    </row>
    <row r="1900" spans="1:30" x14ac:dyDescent="0.25">
      <c r="A1900">
        <v>41688</v>
      </c>
      <c r="B1900">
        <v>361</v>
      </c>
      <c r="C1900">
        <v>1969</v>
      </c>
      <c r="D1900" t="s">
        <v>13</v>
      </c>
      <c r="E1900" t="s">
        <v>18</v>
      </c>
      <c r="F1900" t="s">
        <v>11</v>
      </c>
      <c r="G1900">
        <v>43142</v>
      </c>
      <c r="H1900">
        <v>2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f>SUM(Table1[[#This Row],[Gold Spending]]+Table1[[#This Row],[Sweet Spending]]+Table1[[#This Row],[Fish Spending]]+Table1[[#This Row],[Meat Spending]]+Table1[[#This Row],[Fruits Spending]]+Table1[[#This Row],[Wine Spending ]])</f>
        <v>20</v>
      </c>
      <c r="Q1900">
        <v>1</v>
      </c>
      <c r="R1900">
        <v>1</v>
      </c>
      <c r="S1900">
        <v>0</v>
      </c>
      <c r="T1900">
        <v>2</v>
      </c>
      <c r="U1900">
        <f>SUM(Table1[[#This Row],[Store_Purchases]]+Table1[[#This Row],[Catalog_Purchases]]+Table1[[#This Row],[Web_Purchases]]+Table1[[#This Row],[Deal_Purchases]])</f>
        <v>4</v>
      </c>
      <c r="V1900">
        <v>7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f>SUM(Table1[[#This Row],[Accepted_Campaign_2]]+Table1[[#This Row],[Accepted_Campaign_1]]+Table1[[#This Row],[Accepted_Campaign_5]]+Table1[[#This Row],[Accepted_Campaign_4]]+Table1[[#This Row],[Accepted_Campaign_3]])</f>
        <v>0</v>
      </c>
      <c r="AC1900">
        <v>0</v>
      </c>
      <c r="AD1900">
        <v>0</v>
      </c>
    </row>
    <row r="1901" spans="1:30" x14ac:dyDescent="0.25">
      <c r="A1901">
        <v>41656</v>
      </c>
      <c r="B1901">
        <v>5939</v>
      </c>
      <c r="C1901">
        <v>1971</v>
      </c>
      <c r="D1901" t="s">
        <v>8</v>
      </c>
      <c r="E1901" t="s">
        <v>6</v>
      </c>
      <c r="F1901" t="s">
        <v>12</v>
      </c>
      <c r="G1901">
        <v>38232</v>
      </c>
      <c r="H1901">
        <v>2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f>SUM(Table1[[#This Row],[Gold Spending]]+Table1[[#This Row],[Sweet Spending]]+Table1[[#This Row],[Fish Spending]]+Table1[[#This Row],[Meat Spending]]+Table1[[#This Row],[Fruits Spending]]+Table1[[#This Row],[Wine Spending ]])</f>
        <v>122</v>
      </c>
      <c r="Q1901">
        <v>4</v>
      </c>
      <c r="R1901">
        <v>3</v>
      </c>
      <c r="S1901">
        <v>1</v>
      </c>
      <c r="T1901">
        <v>3</v>
      </c>
      <c r="U1901">
        <f>SUM(Table1[[#This Row],[Store_Purchases]]+Table1[[#This Row],[Catalog_Purchases]]+Table1[[#This Row],[Web_Purchases]]+Table1[[#This Row],[Deal_Purchases]])</f>
        <v>11</v>
      </c>
      <c r="V1901">
        <v>5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f>SUM(Table1[[#This Row],[Accepted_Campaign_2]]+Table1[[#This Row],[Accepted_Campaign_1]]+Table1[[#This Row],[Accepted_Campaign_5]]+Table1[[#This Row],[Accepted_Campaign_4]]+Table1[[#This Row],[Accepted_Campaign_3]])</f>
        <v>0</v>
      </c>
      <c r="AC1901">
        <v>0</v>
      </c>
      <c r="AD1901">
        <v>0</v>
      </c>
    </row>
    <row r="1902" spans="1:30" x14ac:dyDescent="0.25">
      <c r="A1902">
        <v>41627</v>
      </c>
      <c r="B1902">
        <v>9349</v>
      </c>
      <c r="C1902">
        <v>1985</v>
      </c>
      <c r="D1902" t="s">
        <v>16</v>
      </c>
      <c r="E1902" t="s">
        <v>6</v>
      </c>
      <c r="F1902" t="s">
        <v>11</v>
      </c>
      <c r="G1902">
        <v>92533</v>
      </c>
      <c r="H1902">
        <v>0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f>SUM(Table1[[#This Row],[Gold Spending]]+Table1[[#This Row],[Sweet Spending]]+Table1[[#This Row],[Fish Spending]]+Table1[[#This Row],[Meat Spending]]+Table1[[#This Row],[Fruits Spending]]+Table1[[#This Row],[Wine Spending ]])</f>
        <v>1131</v>
      </c>
      <c r="Q1902">
        <v>1</v>
      </c>
      <c r="R1902">
        <v>6</v>
      </c>
      <c r="S1902">
        <v>5</v>
      </c>
      <c r="T1902">
        <v>11</v>
      </c>
      <c r="U1902">
        <f>SUM(Table1[[#This Row],[Store_Purchases]]+Table1[[#This Row],[Catalog_Purchases]]+Table1[[#This Row],[Web_Purchases]]+Table1[[#This Row],[Deal_Purchases]])</f>
        <v>23</v>
      </c>
      <c r="V1902">
        <v>2</v>
      </c>
      <c r="W1902">
        <v>0</v>
      </c>
      <c r="X1902">
        <v>0</v>
      </c>
      <c r="Y1902">
        <v>1</v>
      </c>
      <c r="Z1902">
        <v>1</v>
      </c>
      <c r="AA1902">
        <v>0</v>
      </c>
      <c r="AB1902">
        <f>SUM(Table1[[#This Row],[Accepted_Campaign_2]]+Table1[[#This Row],[Accepted_Campaign_1]]+Table1[[#This Row],[Accepted_Campaign_5]]+Table1[[#This Row],[Accepted_Campaign_4]]+Table1[[#This Row],[Accepted_Campaign_3]])</f>
        <v>2</v>
      </c>
      <c r="AC1902">
        <v>0</v>
      </c>
      <c r="AD1902">
        <v>0</v>
      </c>
    </row>
    <row r="1903" spans="1:30" x14ac:dyDescent="0.25">
      <c r="A1903">
        <v>41583</v>
      </c>
      <c r="B1903">
        <v>819</v>
      </c>
      <c r="C1903">
        <v>1945</v>
      </c>
      <c r="D1903" t="s">
        <v>8</v>
      </c>
      <c r="E1903" t="s">
        <v>6</v>
      </c>
      <c r="F1903" t="s">
        <v>19</v>
      </c>
      <c r="G1903">
        <v>63285</v>
      </c>
      <c r="H1903">
        <v>0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f>SUM(Table1[[#This Row],[Gold Spending]]+Table1[[#This Row],[Sweet Spending]]+Table1[[#This Row],[Fish Spending]]+Table1[[#This Row],[Meat Spending]]+Table1[[#This Row],[Fruits Spending]]+Table1[[#This Row],[Wine Spending ]])</f>
        <v>1103</v>
      </c>
      <c r="Q1903">
        <v>1</v>
      </c>
      <c r="R1903">
        <v>6</v>
      </c>
      <c r="S1903">
        <v>5</v>
      </c>
      <c r="T1903">
        <v>13</v>
      </c>
      <c r="U1903">
        <f>SUM(Table1[[#This Row],[Store_Purchases]]+Table1[[#This Row],[Catalog_Purchases]]+Table1[[#This Row],[Web_Purchases]]+Table1[[#This Row],[Deal_Purchases]])</f>
        <v>25</v>
      </c>
      <c r="V1903">
        <v>3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f>SUM(Table1[[#This Row],[Accepted_Campaign_2]]+Table1[[#This Row],[Accepted_Campaign_1]]+Table1[[#This Row],[Accepted_Campaign_5]]+Table1[[#This Row],[Accepted_Campaign_4]]+Table1[[#This Row],[Accepted_Campaign_3]])</f>
        <v>0</v>
      </c>
      <c r="AC1903">
        <v>0</v>
      </c>
      <c r="AD1903">
        <v>0</v>
      </c>
    </row>
    <row r="1904" spans="1:30" x14ac:dyDescent="0.25">
      <c r="A1904">
        <v>41571</v>
      </c>
      <c r="B1904">
        <v>10120</v>
      </c>
      <c r="C1904">
        <v>1955</v>
      </c>
      <c r="D1904" t="s">
        <v>63</v>
      </c>
      <c r="E1904" t="s">
        <v>6</v>
      </c>
      <c r="F1904" t="s">
        <v>12</v>
      </c>
      <c r="G1904">
        <v>38946</v>
      </c>
      <c r="H1904">
        <v>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f>SUM(Table1[[#This Row],[Gold Spending]]+Table1[[#This Row],[Sweet Spending]]+Table1[[#This Row],[Fish Spending]]+Table1[[#This Row],[Meat Spending]]+Table1[[#This Row],[Fruits Spending]]+Table1[[#This Row],[Wine Spending ]])</f>
        <v>257</v>
      </c>
      <c r="Q1904">
        <v>2</v>
      </c>
      <c r="R1904">
        <v>3</v>
      </c>
      <c r="S1904">
        <v>1</v>
      </c>
      <c r="T1904">
        <v>6</v>
      </c>
      <c r="U1904">
        <f>SUM(Table1[[#This Row],[Store_Purchases]]+Table1[[#This Row],[Catalog_Purchases]]+Table1[[#This Row],[Web_Purchases]]+Table1[[#This Row],[Deal_Purchases]])</f>
        <v>12</v>
      </c>
      <c r="V1904">
        <v>5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f>SUM(Table1[[#This Row],[Accepted_Campaign_2]]+Table1[[#This Row],[Accepted_Campaign_1]]+Table1[[#This Row],[Accepted_Campaign_5]]+Table1[[#This Row],[Accepted_Campaign_4]]+Table1[[#This Row],[Accepted_Campaign_3]])</f>
        <v>0</v>
      </c>
      <c r="AC1904">
        <v>0</v>
      </c>
      <c r="AD1904">
        <v>0</v>
      </c>
    </row>
    <row r="1905" spans="1:30" x14ac:dyDescent="0.25">
      <c r="A1905">
        <v>41571</v>
      </c>
      <c r="B1905">
        <v>4541</v>
      </c>
      <c r="C1905">
        <v>1955</v>
      </c>
      <c r="D1905" t="s">
        <v>10</v>
      </c>
      <c r="E1905" t="s">
        <v>6</v>
      </c>
      <c r="F1905" t="s">
        <v>12</v>
      </c>
      <c r="G1905">
        <v>38946</v>
      </c>
      <c r="H1905">
        <v>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f>SUM(Table1[[#This Row],[Gold Spending]]+Table1[[#This Row],[Sweet Spending]]+Table1[[#This Row],[Fish Spending]]+Table1[[#This Row],[Meat Spending]]+Table1[[#This Row],[Fruits Spending]]+Table1[[#This Row],[Wine Spending ]])</f>
        <v>257</v>
      </c>
      <c r="Q1905">
        <v>2</v>
      </c>
      <c r="R1905">
        <v>3</v>
      </c>
      <c r="S1905">
        <v>1</v>
      </c>
      <c r="T1905">
        <v>6</v>
      </c>
      <c r="U1905">
        <f>SUM(Table1[[#This Row],[Store_Purchases]]+Table1[[#This Row],[Catalog_Purchases]]+Table1[[#This Row],[Web_Purchases]]+Table1[[#This Row],[Deal_Purchases]])</f>
        <v>12</v>
      </c>
      <c r="V1905">
        <v>5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f>SUM(Table1[[#This Row],[Accepted_Campaign_2]]+Table1[[#This Row],[Accepted_Campaign_1]]+Table1[[#This Row],[Accepted_Campaign_5]]+Table1[[#This Row],[Accepted_Campaign_4]]+Table1[[#This Row],[Accepted_Campaign_3]])</f>
        <v>0</v>
      </c>
      <c r="AC1905">
        <v>0</v>
      </c>
      <c r="AD1905">
        <v>0</v>
      </c>
    </row>
    <row r="1906" spans="1:30" x14ac:dyDescent="0.25">
      <c r="A1906">
        <v>41561</v>
      </c>
      <c r="B1906">
        <v>2456</v>
      </c>
      <c r="C1906">
        <v>1975</v>
      </c>
      <c r="D1906" t="s">
        <v>20</v>
      </c>
      <c r="E1906" t="s">
        <v>14</v>
      </c>
      <c r="F1906" t="s">
        <v>11</v>
      </c>
      <c r="G1906">
        <v>40233</v>
      </c>
      <c r="H1906">
        <v>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f>SUM(Table1[[#This Row],[Gold Spending]]+Table1[[#This Row],[Sweet Spending]]+Table1[[#This Row],[Fish Spending]]+Table1[[#This Row],[Meat Spending]]+Table1[[#This Row],[Fruits Spending]]+Table1[[#This Row],[Wine Spending ]])</f>
        <v>149</v>
      </c>
      <c r="Q1906">
        <v>5</v>
      </c>
      <c r="R1906">
        <v>2</v>
      </c>
      <c r="S1906">
        <v>1</v>
      </c>
      <c r="T1906">
        <v>5</v>
      </c>
      <c r="U1906">
        <f>SUM(Table1[[#This Row],[Store_Purchases]]+Table1[[#This Row],[Catalog_Purchases]]+Table1[[#This Row],[Web_Purchases]]+Table1[[#This Row],[Deal_Purchases]])</f>
        <v>13</v>
      </c>
      <c r="V1906">
        <v>6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f>SUM(Table1[[#This Row],[Accepted_Campaign_2]]+Table1[[#This Row],[Accepted_Campaign_1]]+Table1[[#This Row],[Accepted_Campaign_5]]+Table1[[#This Row],[Accepted_Campaign_4]]+Table1[[#This Row],[Accepted_Campaign_3]])</f>
        <v>0</v>
      </c>
      <c r="AC1906">
        <v>0</v>
      </c>
      <c r="AD1906">
        <v>0</v>
      </c>
    </row>
    <row r="1907" spans="1:30" x14ac:dyDescent="0.25">
      <c r="A1907">
        <v>41433</v>
      </c>
      <c r="B1907">
        <v>2516</v>
      </c>
      <c r="C1907">
        <v>1969</v>
      </c>
      <c r="D1907" t="s">
        <v>8</v>
      </c>
      <c r="E1907" t="s">
        <v>15</v>
      </c>
      <c r="F1907" t="s">
        <v>11</v>
      </c>
      <c r="G1907">
        <v>46831</v>
      </c>
      <c r="H1907">
        <v>2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f>SUM(Table1[[#This Row],[Gold Spending]]+Table1[[#This Row],[Sweet Spending]]+Table1[[#This Row],[Fish Spending]]+Table1[[#This Row],[Meat Spending]]+Table1[[#This Row],[Fruits Spending]]+Table1[[#This Row],[Wine Spending ]])</f>
        <v>78</v>
      </c>
      <c r="Q1907">
        <v>2</v>
      </c>
      <c r="R1907">
        <v>1</v>
      </c>
      <c r="S1907">
        <v>2</v>
      </c>
      <c r="T1907">
        <v>2</v>
      </c>
      <c r="U1907">
        <f>SUM(Table1[[#This Row],[Store_Purchases]]+Table1[[#This Row],[Catalog_Purchases]]+Table1[[#This Row],[Web_Purchases]]+Table1[[#This Row],[Deal_Purchases]])</f>
        <v>7</v>
      </c>
      <c r="V1907">
        <v>4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f>SUM(Table1[[#This Row],[Accepted_Campaign_2]]+Table1[[#This Row],[Accepted_Campaign_1]]+Table1[[#This Row],[Accepted_Campaign_5]]+Table1[[#This Row],[Accepted_Campaign_4]]+Table1[[#This Row],[Accepted_Campaign_3]])</f>
        <v>0</v>
      </c>
      <c r="AC1907">
        <v>0</v>
      </c>
      <c r="AD1907">
        <v>0</v>
      </c>
    </row>
    <row r="1908" spans="1:30" x14ac:dyDescent="0.25">
      <c r="A1908">
        <v>41364</v>
      </c>
      <c r="B1908">
        <v>11013</v>
      </c>
      <c r="C1908">
        <v>1987</v>
      </c>
      <c r="D1908" t="s">
        <v>8</v>
      </c>
      <c r="E1908" t="s">
        <v>6</v>
      </c>
      <c r="F1908" t="s">
        <v>12</v>
      </c>
      <c r="G1908">
        <v>67605</v>
      </c>
      <c r="H1908">
        <v>0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f>SUM(Table1[[#This Row],[Gold Spending]]+Table1[[#This Row],[Sweet Spending]]+Table1[[#This Row],[Fish Spending]]+Table1[[#This Row],[Meat Spending]]+Table1[[#This Row],[Fruits Spending]]+Table1[[#This Row],[Wine Spending ]])</f>
        <v>938</v>
      </c>
      <c r="Q1908">
        <v>1</v>
      </c>
      <c r="R1908">
        <v>2</v>
      </c>
      <c r="S1908">
        <v>8</v>
      </c>
      <c r="T1908">
        <v>6</v>
      </c>
      <c r="U1908">
        <f>SUM(Table1[[#This Row],[Store_Purchases]]+Table1[[#This Row],[Catalog_Purchases]]+Table1[[#This Row],[Web_Purchases]]+Table1[[#This Row],[Deal_Purchases]])</f>
        <v>17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f>SUM(Table1[[#This Row],[Accepted_Campaign_2]]+Table1[[#This Row],[Accepted_Campaign_1]]+Table1[[#This Row],[Accepted_Campaign_5]]+Table1[[#This Row],[Accepted_Campaign_4]]+Table1[[#This Row],[Accepted_Campaign_3]])</f>
        <v>0</v>
      </c>
      <c r="AC1908">
        <v>0</v>
      </c>
      <c r="AD1908">
        <v>0</v>
      </c>
    </row>
    <row r="1909" spans="1:30" x14ac:dyDescent="0.25">
      <c r="A1909">
        <v>41336</v>
      </c>
      <c r="B1909">
        <v>9988</v>
      </c>
      <c r="C1909">
        <v>1976</v>
      </c>
      <c r="D1909" t="s">
        <v>10</v>
      </c>
      <c r="E1909" t="s">
        <v>18</v>
      </c>
      <c r="F1909" t="s">
        <v>9</v>
      </c>
      <c r="G1909">
        <v>70379</v>
      </c>
      <c r="H1909">
        <v>1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f>SUM(Table1[[#This Row],[Gold Spending]]+Table1[[#This Row],[Sweet Spending]]+Table1[[#This Row],[Fish Spending]]+Table1[[#This Row],[Meat Spending]]+Table1[[#This Row],[Fruits Spending]]+Table1[[#This Row],[Wine Spending ]])</f>
        <v>860</v>
      </c>
      <c r="Q1909">
        <v>3</v>
      </c>
      <c r="R1909">
        <v>6</v>
      </c>
      <c r="S1909">
        <v>3</v>
      </c>
      <c r="T1909">
        <v>13</v>
      </c>
      <c r="U1909">
        <f>SUM(Table1[[#This Row],[Store_Purchases]]+Table1[[#This Row],[Catalog_Purchases]]+Table1[[#This Row],[Web_Purchases]]+Table1[[#This Row],[Deal_Purchases]])</f>
        <v>25</v>
      </c>
      <c r="V1909">
        <v>4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f>SUM(Table1[[#This Row],[Accepted_Campaign_2]]+Table1[[#This Row],[Accepted_Campaign_1]]+Table1[[#This Row],[Accepted_Campaign_5]]+Table1[[#This Row],[Accepted_Campaign_4]]+Table1[[#This Row],[Accepted_Campaign_3]])</f>
        <v>0</v>
      </c>
      <c r="AC1909">
        <v>0</v>
      </c>
      <c r="AD1909">
        <v>0</v>
      </c>
    </row>
    <row r="1910" spans="1:30" x14ac:dyDescent="0.25">
      <c r="A1910">
        <v>41300</v>
      </c>
      <c r="B1910">
        <v>1627</v>
      </c>
      <c r="C1910">
        <v>1957</v>
      </c>
      <c r="D1910" t="s">
        <v>8</v>
      </c>
      <c r="E1910" t="s">
        <v>15</v>
      </c>
      <c r="F1910" t="s">
        <v>7</v>
      </c>
      <c r="G1910">
        <v>77297</v>
      </c>
      <c r="H1910">
        <v>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f>SUM(Table1[[#This Row],[Gold Spending]]+Table1[[#This Row],[Sweet Spending]]+Table1[[#This Row],[Fish Spending]]+Table1[[#This Row],[Meat Spending]]+Table1[[#This Row],[Fruits Spending]]+Table1[[#This Row],[Wine Spending ]])</f>
        <v>789</v>
      </c>
      <c r="Q1910">
        <v>1</v>
      </c>
      <c r="R1910">
        <v>5</v>
      </c>
      <c r="S1910">
        <v>7</v>
      </c>
      <c r="T1910">
        <v>9</v>
      </c>
      <c r="U1910">
        <f>SUM(Table1[[#This Row],[Store_Purchases]]+Table1[[#This Row],[Catalog_Purchases]]+Table1[[#This Row],[Web_Purchases]]+Table1[[#This Row],[Deal_Purchases]])</f>
        <v>22</v>
      </c>
      <c r="V1910">
        <v>4</v>
      </c>
      <c r="W1910">
        <v>0</v>
      </c>
      <c r="X1910">
        <v>0</v>
      </c>
      <c r="Y1910">
        <v>0</v>
      </c>
      <c r="Z1910">
        <v>1</v>
      </c>
      <c r="AA1910">
        <v>0</v>
      </c>
      <c r="AB1910">
        <f>SUM(Table1[[#This Row],[Accepted_Campaign_2]]+Table1[[#This Row],[Accepted_Campaign_1]]+Table1[[#This Row],[Accepted_Campaign_5]]+Table1[[#This Row],[Accepted_Campaign_4]]+Table1[[#This Row],[Accepted_Campaign_3]])</f>
        <v>1</v>
      </c>
      <c r="AC1910">
        <v>0</v>
      </c>
      <c r="AD1910">
        <v>0</v>
      </c>
    </row>
    <row r="1911" spans="1:30" x14ac:dyDescent="0.25">
      <c r="A1911">
        <v>41241</v>
      </c>
      <c r="B1911">
        <v>1490</v>
      </c>
      <c r="C1911">
        <v>1962</v>
      </c>
      <c r="D1911" t="s">
        <v>10</v>
      </c>
      <c r="E1911" t="s">
        <v>6</v>
      </c>
      <c r="F1911" t="s">
        <v>11</v>
      </c>
      <c r="G1911">
        <v>55759</v>
      </c>
      <c r="H1911">
        <v>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f>SUM(Table1[[#This Row],[Gold Spending]]+Table1[[#This Row],[Sweet Spending]]+Table1[[#This Row],[Fish Spending]]+Table1[[#This Row],[Meat Spending]]+Table1[[#This Row],[Fruits Spending]]+Table1[[#This Row],[Wine Spending ]])</f>
        <v>854</v>
      </c>
      <c r="Q1911">
        <v>5</v>
      </c>
      <c r="R1911">
        <v>10</v>
      </c>
      <c r="S1911">
        <v>3</v>
      </c>
      <c r="T1911">
        <v>8</v>
      </c>
      <c r="U1911">
        <f>SUM(Table1[[#This Row],[Store_Purchases]]+Table1[[#This Row],[Catalog_Purchases]]+Table1[[#This Row],[Web_Purchases]]+Table1[[#This Row],[Deal_Purchases]])</f>
        <v>26</v>
      </c>
      <c r="V1911">
        <v>8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f>SUM(Table1[[#This Row],[Accepted_Campaign_2]]+Table1[[#This Row],[Accepted_Campaign_1]]+Table1[[#This Row],[Accepted_Campaign_5]]+Table1[[#This Row],[Accepted_Campaign_4]]+Table1[[#This Row],[Accepted_Campaign_3]])</f>
        <v>0</v>
      </c>
      <c r="AC1911">
        <v>0</v>
      </c>
      <c r="AD1911">
        <v>0</v>
      </c>
    </row>
    <row r="1912" spans="1:30" x14ac:dyDescent="0.25">
      <c r="A1912">
        <v>41230</v>
      </c>
      <c r="B1912">
        <v>6710</v>
      </c>
      <c r="C1912">
        <v>1951</v>
      </c>
      <c r="D1912" t="s">
        <v>8</v>
      </c>
      <c r="E1912" t="s">
        <v>18</v>
      </c>
      <c r="F1912" t="s">
        <v>9</v>
      </c>
      <c r="G1912">
        <v>58217</v>
      </c>
      <c r="H1912">
        <v>3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f>SUM(Table1[[#This Row],[Gold Spending]]+Table1[[#This Row],[Sweet Spending]]+Table1[[#This Row],[Fish Spending]]+Table1[[#This Row],[Meat Spending]]+Table1[[#This Row],[Fruits Spending]]+Table1[[#This Row],[Wine Spending ]])</f>
        <v>103</v>
      </c>
      <c r="Q1912">
        <v>1</v>
      </c>
      <c r="R1912">
        <v>2</v>
      </c>
      <c r="S1912">
        <v>0</v>
      </c>
      <c r="T1912">
        <v>4</v>
      </c>
      <c r="U1912">
        <f>SUM(Table1[[#This Row],[Store_Purchases]]+Table1[[#This Row],[Catalog_Purchases]]+Table1[[#This Row],[Web_Purchases]]+Table1[[#This Row],[Deal_Purchases]])</f>
        <v>7</v>
      </c>
      <c r="V1912">
        <v>6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f>SUM(Table1[[#This Row],[Accepted_Campaign_2]]+Table1[[#This Row],[Accepted_Campaign_1]]+Table1[[#This Row],[Accepted_Campaign_5]]+Table1[[#This Row],[Accepted_Campaign_4]]+Table1[[#This Row],[Accepted_Campaign_3]])</f>
        <v>0</v>
      </c>
      <c r="AC1912">
        <v>0</v>
      </c>
      <c r="AD1912">
        <v>0</v>
      </c>
    </row>
    <row r="1913" spans="1:30" x14ac:dyDescent="0.25">
      <c r="A1913">
        <v>41207</v>
      </c>
      <c r="B1913">
        <v>7375</v>
      </c>
      <c r="C1913">
        <v>1976</v>
      </c>
      <c r="D1913" t="s">
        <v>20</v>
      </c>
      <c r="E1913" t="s">
        <v>6</v>
      </c>
      <c r="F1913" t="s">
        <v>12</v>
      </c>
      <c r="G1913">
        <v>51369</v>
      </c>
      <c r="H1913">
        <v>1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f>SUM(Table1[[#This Row],[Gold Spending]]+Table1[[#This Row],[Sweet Spending]]+Table1[[#This Row],[Fish Spending]]+Table1[[#This Row],[Meat Spending]]+Table1[[#This Row],[Fruits Spending]]+Table1[[#This Row],[Wine Spending ]])</f>
        <v>576</v>
      </c>
      <c r="Q1913">
        <v>2</v>
      </c>
      <c r="R1913">
        <v>8</v>
      </c>
      <c r="S1913">
        <v>2</v>
      </c>
      <c r="T1913">
        <v>4</v>
      </c>
      <c r="U1913">
        <f>SUM(Table1[[#This Row],[Store_Purchases]]+Table1[[#This Row],[Catalog_Purchases]]+Table1[[#This Row],[Web_Purchases]]+Table1[[#This Row],[Deal_Purchases]])</f>
        <v>16</v>
      </c>
      <c r="V1913">
        <v>8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f>SUM(Table1[[#This Row],[Accepted_Campaign_2]]+Table1[[#This Row],[Accepted_Campaign_1]]+Table1[[#This Row],[Accepted_Campaign_5]]+Table1[[#This Row],[Accepted_Campaign_4]]+Table1[[#This Row],[Accepted_Campaign_3]])</f>
        <v>0</v>
      </c>
      <c r="AC1913">
        <v>0</v>
      </c>
      <c r="AD1913">
        <v>0</v>
      </c>
    </row>
    <row r="1914" spans="1:30" x14ac:dyDescent="0.25">
      <c r="A1914">
        <v>41207</v>
      </c>
      <c r="B1914">
        <v>10144</v>
      </c>
      <c r="C1914">
        <v>1976</v>
      </c>
      <c r="D1914" t="s">
        <v>20</v>
      </c>
      <c r="E1914" t="s">
        <v>6</v>
      </c>
      <c r="F1914" t="s">
        <v>12</v>
      </c>
      <c r="G1914">
        <v>51369</v>
      </c>
      <c r="H1914">
        <v>1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f>SUM(Table1[[#This Row],[Gold Spending]]+Table1[[#This Row],[Sweet Spending]]+Table1[[#This Row],[Fish Spending]]+Table1[[#This Row],[Meat Spending]]+Table1[[#This Row],[Fruits Spending]]+Table1[[#This Row],[Wine Spending ]])</f>
        <v>576</v>
      </c>
      <c r="Q1914">
        <v>2</v>
      </c>
      <c r="R1914">
        <v>8</v>
      </c>
      <c r="S1914">
        <v>2</v>
      </c>
      <c r="T1914">
        <v>4</v>
      </c>
      <c r="U1914">
        <f>SUM(Table1[[#This Row],[Store_Purchases]]+Table1[[#This Row],[Catalog_Purchases]]+Table1[[#This Row],[Web_Purchases]]+Table1[[#This Row],[Deal_Purchases]])</f>
        <v>16</v>
      </c>
      <c r="V1914">
        <v>8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f>SUM(Table1[[#This Row],[Accepted_Campaign_2]]+Table1[[#This Row],[Accepted_Campaign_1]]+Table1[[#This Row],[Accepted_Campaign_5]]+Table1[[#This Row],[Accepted_Campaign_4]]+Table1[[#This Row],[Accepted_Campaign_3]])</f>
        <v>0</v>
      </c>
      <c r="AC1914">
        <v>0</v>
      </c>
      <c r="AD1914">
        <v>0</v>
      </c>
    </row>
    <row r="1915" spans="1:30" x14ac:dyDescent="0.25">
      <c r="A1915">
        <v>41202</v>
      </c>
      <c r="B1915">
        <v>3138</v>
      </c>
      <c r="C1915">
        <v>1956</v>
      </c>
      <c r="D1915" t="s">
        <v>8</v>
      </c>
      <c r="E1915" t="s">
        <v>6</v>
      </c>
      <c r="F1915" t="s">
        <v>9</v>
      </c>
      <c r="G1915">
        <v>91249</v>
      </c>
      <c r="H1915">
        <v>0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f>SUM(Table1[[#This Row],[Gold Spending]]+Table1[[#This Row],[Sweet Spending]]+Table1[[#This Row],[Fish Spending]]+Table1[[#This Row],[Meat Spending]]+Table1[[#This Row],[Fruits Spending]]+Table1[[#This Row],[Wine Spending ]])</f>
        <v>1676</v>
      </c>
      <c r="Q1915">
        <v>0</v>
      </c>
      <c r="R1915">
        <v>7</v>
      </c>
      <c r="S1915">
        <v>9</v>
      </c>
      <c r="T1915">
        <v>6</v>
      </c>
      <c r="U1915">
        <f>SUM(Table1[[#This Row],[Store_Purchases]]+Table1[[#This Row],[Catalog_Purchases]]+Table1[[#This Row],[Web_Purchases]]+Table1[[#This Row],[Deal_Purchases]])</f>
        <v>22</v>
      </c>
      <c r="V1915">
        <v>4</v>
      </c>
      <c r="W1915">
        <v>0</v>
      </c>
      <c r="X1915">
        <v>1</v>
      </c>
      <c r="Y1915">
        <v>1</v>
      </c>
      <c r="Z1915">
        <v>1</v>
      </c>
      <c r="AA1915">
        <v>1</v>
      </c>
      <c r="AB1915">
        <f>SUM(Table1[[#This Row],[Accepted_Campaign_2]]+Table1[[#This Row],[Accepted_Campaign_1]]+Table1[[#This Row],[Accepted_Campaign_5]]+Table1[[#This Row],[Accepted_Campaign_4]]+Table1[[#This Row],[Accepted_Campaign_3]])</f>
        <v>4</v>
      </c>
      <c r="AC1915">
        <v>1</v>
      </c>
      <c r="AD1915">
        <v>0</v>
      </c>
    </row>
    <row r="1916" spans="1:30" x14ac:dyDescent="0.25">
      <c r="A1916">
        <v>41156</v>
      </c>
      <c r="B1916">
        <v>1440</v>
      </c>
      <c r="C1916">
        <v>1978</v>
      </c>
      <c r="D1916" t="s">
        <v>8</v>
      </c>
      <c r="E1916" t="s">
        <v>15</v>
      </c>
      <c r="F1916" t="s">
        <v>12</v>
      </c>
      <c r="G1916">
        <v>52513</v>
      </c>
      <c r="H1916">
        <v>0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f>SUM(Table1[[#This Row],[Gold Spending]]+Table1[[#This Row],[Sweet Spending]]+Table1[[#This Row],[Fish Spending]]+Table1[[#This Row],[Meat Spending]]+Table1[[#This Row],[Fruits Spending]]+Table1[[#This Row],[Wine Spending ]])</f>
        <v>1149</v>
      </c>
      <c r="Q1916">
        <v>2</v>
      </c>
      <c r="R1916">
        <v>9</v>
      </c>
      <c r="S1916">
        <v>5</v>
      </c>
      <c r="T1916">
        <v>9</v>
      </c>
      <c r="U1916">
        <f>SUM(Table1[[#This Row],[Store_Purchases]]+Table1[[#This Row],[Catalog_Purchases]]+Table1[[#This Row],[Web_Purchases]]+Table1[[#This Row],[Deal_Purchases]])</f>
        <v>25</v>
      </c>
      <c r="V1916">
        <v>7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f>SUM(Table1[[#This Row],[Accepted_Campaign_2]]+Table1[[#This Row],[Accepted_Campaign_1]]+Table1[[#This Row],[Accepted_Campaign_5]]+Table1[[#This Row],[Accepted_Campaign_4]]+Table1[[#This Row],[Accepted_Campaign_3]])</f>
        <v>0</v>
      </c>
      <c r="AC1916">
        <v>0</v>
      </c>
      <c r="AD1916">
        <v>0</v>
      </c>
    </row>
    <row r="1917" spans="1:30" x14ac:dyDescent="0.25">
      <c r="A1917">
        <v>41807</v>
      </c>
      <c r="B1917">
        <v>4200</v>
      </c>
      <c r="C1917">
        <v>1970</v>
      </c>
      <c r="D1917" t="s">
        <v>20</v>
      </c>
      <c r="E1917" t="s">
        <v>18</v>
      </c>
      <c r="F1917" t="s">
        <v>11</v>
      </c>
      <c r="G1917">
        <v>44159</v>
      </c>
      <c r="H1917">
        <v>1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f>SUM(Table1[[#This Row],[Gold Spending]]+Table1[[#This Row],[Sweet Spending]]+Table1[[#This Row],[Fish Spending]]+Table1[[#This Row],[Meat Spending]]+Table1[[#This Row],[Fruits Spending]]+Table1[[#This Row],[Wine Spending ]])</f>
        <v>275</v>
      </c>
      <c r="Q1917">
        <v>4</v>
      </c>
      <c r="R1917">
        <v>4</v>
      </c>
      <c r="S1917">
        <v>1</v>
      </c>
      <c r="T1917">
        <v>6</v>
      </c>
      <c r="U1917">
        <f>SUM(Table1[[#This Row],[Store_Purchases]]+Table1[[#This Row],[Catalog_Purchases]]+Table1[[#This Row],[Web_Purchases]]+Table1[[#This Row],[Deal_Purchases]])</f>
        <v>15</v>
      </c>
      <c r="V1917">
        <v>5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f>SUM(Table1[[#This Row],[Accepted_Campaign_2]]+Table1[[#This Row],[Accepted_Campaign_1]]+Table1[[#This Row],[Accepted_Campaign_5]]+Table1[[#This Row],[Accepted_Campaign_4]]+Table1[[#This Row],[Accepted_Campaign_3]])</f>
        <v>0</v>
      </c>
      <c r="AC1917">
        <v>0</v>
      </c>
      <c r="AD1917">
        <v>0</v>
      </c>
    </row>
    <row r="1918" spans="1:30" x14ac:dyDescent="0.25">
      <c r="A1918">
        <v>41782</v>
      </c>
      <c r="B1918">
        <v>4998</v>
      </c>
      <c r="C1918">
        <v>1962</v>
      </c>
      <c r="D1918" t="s">
        <v>8</v>
      </c>
      <c r="E1918" t="s">
        <v>6</v>
      </c>
      <c r="F1918" t="s">
        <v>12</v>
      </c>
      <c r="G1918">
        <v>76081</v>
      </c>
      <c r="H1918">
        <v>0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f>SUM(Table1[[#This Row],[Gold Spending]]+Table1[[#This Row],[Sweet Spending]]+Table1[[#This Row],[Fish Spending]]+Table1[[#This Row],[Meat Spending]]+Table1[[#This Row],[Fruits Spending]]+Table1[[#This Row],[Wine Spending ]])</f>
        <v>1033</v>
      </c>
      <c r="Q1918">
        <v>1</v>
      </c>
      <c r="R1918">
        <v>4</v>
      </c>
      <c r="S1918">
        <v>5</v>
      </c>
      <c r="T1918">
        <v>4</v>
      </c>
      <c r="U1918">
        <f>SUM(Table1[[#This Row],[Store_Purchases]]+Table1[[#This Row],[Catalog_Purchases]]+Table1[[#This Row],[Web_Purchases]]+Table1[[#This Row],[Deal_Purchases]])</f>
        <v>14</v>
      </c>
      <c r="V1918">
        <v>2</v>
      </c>
      <c r="W1918">
        <v>0</v>
      </c>
      <c r="X1918">
        <v>0</v>
      </c>
      <c r="Y1918">
        <v>0</v>
      </c>
      <c r="Z1918">
        <v>1</v>
      </c>
      <c r="AA1918">
        <v>0</v>
      </c>
      <c r="AB1918">
        <f>SUM(Table1[[#This Row],[Accepted_Campaign_2]]+Table1[[#This Row],[Accepted_Campaign_1]]+Table1[[#This Row],[Accepted_Campaign_5]]+Table1[[#This Row],[Accepted_Campaign_4]]+Table1[[#This Row],[Accepted_Campaign_3]])</f>
        <v>1</v>
      </c>
      <c r="AC1918">
        <v>0</v>
      </c>
      <c r="AD1918">
        <v>0</v>
      </c>
    </row>
    <row r="1919" spans="1:30" x14ac:dyDescent="0.25">
      <c r="A1919">
        <v>41782</v>
      </c>
      <c r="B1919">
        <v>7321</v>
      </c>
      <c r="C1919">
        <v>1962</v>
      </c>
      <c r="D1919" t="s">
        <v>17</v>
      </c>
      <c r="E1919" t="s">
        <v>6</v>
      </c>
      <c r="F1919" t="s">
        <v>12</v>
      </c>
      <c r="G1919">
        <v>76081</v>
      </c>
      <c r="H1919">
        <v>0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f>SUM(Table1[[#This Row],[Gold Spending]]+Table1[[#This Row],[Sweet Spending]]+Table1[[#This Row],[Fish Spending]]+Table1[[#This Row],[Meat Spending]]+Table1[[#This Row],[Fruits Spending]]+Table1[[#This Row],[Wine Spending ]])</f>
        <v>1033</v>
      </c>
      <c r="Q1919">
        <v>1</v>
      </c>
      <c r="R1919">
        <v>4</v>
      </c>
      <c r="S1919">
        <v>5</v>
      </c>
      <c r="T1919">
        <v>4</v>
      </c>
      <c r="U1919">
        <f>SUM(Table1[[#This Row],[Store_Purchases]]+Table1[[#This Row],[Catalog_Purchases]]+Table1[[#This Row],[Web_Purchases]]+Table1[[#This Row],[Deal_Purchases]])</f>
        <v>14</v>
      </c>
      <c r="V1919">
        <v>2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f>SUM(Table1[[#This Row],[Accepted_Campaign_2]]+Table1[[#This Row],[Accepted_Campaign_1]]+Table1[[#This Row],[Accepted_Campaign_5]]+Table1[[#This Row],[Accepted_Campaign_4]]+Table1[[#This Row],[Accepted_Campaign_3]])</f>
        <v>1</v>
      </c>
      <c r="AC1919">
        <v>0</v>
      </c>
      <c r="AD1919">
        <v>0</v>
      </c>
    </row>
    <row r="1920" spans="1:30" x14ac:dyDescent="0.25">
      <c r="A1920">
        <v>41781</v>
      </c>
      <c r="B1920">
        <v>8663</v>
      </c>
      <c r="C1920">
        <v>1974</v>
      </c>
      <c r="D1920" t="s">
        <v>13</v>
      </c>
      <c r="E1920" t="s">
        <v>6</v>
      </c>
      <c r="F1920" t="s">
        <v>7</v>
      </c>
      <c r="G1920">
        <v>39996</v>
      </c>
      <c r="H1920">
        <v>2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f>SUM(Table1[[#This Row],[Gold Spending]]+Table1[[#This Row],[Sweet Spending]]+Table1[[#This Row],[Fish Spending]]+Table1[[#This Row],[Meat Spending]]+Table1[[#This Row],[Fruits Spending]]+Table1[[#This Row],[Wine Spending ]])</f>
        <v>15</v>
      </c>
      <c r="Q1920">
        <v>1</v>
      </c>
      <c r="R1920">
        <v>1</v>
      </c>
      <c r="S1920">
        <v>0</v>
      </c>
      <c r="T1920">
        <v>2</v>
      </c>
      <c r="U1920">
        <f>SUM(Table1[[#This Row],[Store_Purchases]]+Table1[[#This Row],[Catalog_Purchases]]+Table1[[#This Row],[Web_Purchases]]+Table1[[#This Row],[Deal_Purchases]])</f>
        <v>4</v>
      </c>
      <c r="V1920">
        <v>6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f>SUM(Table1[[#This Row],[Accepted_Campaign_2]]+Table1[[#This Row],[Accepted_Campaign_1]]+Table1[[#This Row],[Accepted_Campaign_5]]+Table1[[#This Row],[Accepted_Campaign_4]]+Table1[[#This Row],[Accepted_Campaign_3]])</f>
        <v>0</v>
      </c>
      <c r="AC1920">
        <v>0</v>
      </c>
      <c r="AD1920">
        <v>0</v>
      </c>
    </row>
    <row r="1921" spans="1:30" x14ac:dyDescent="0.25">
      <c r="A1921">
        <v>41719</v>
      </c>
      <c r="B1921">
        <v>1958</v>
      </c>
      <c r="C1921">
        <v>1973</v>
      </c>
      <c r="D1921" t="s">
        <v>8</v>
      </c>
      <c r="E1921" t="s">
        <v>14</v>
      </c>
      <c r="F1921" t="s">
        <v>12</v>
      </c>
      <c r="G1921">
        <v>55012</v>
      </c>
      <c r="H1921">
        <v>1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f>SUM(Table1[[#This Row],[Gold Spending]]+Table1[[#This Row],[Sweet Spending]]+Table1[[#This Row],[Fish Spending]]+Table1[[#This Row],[Meat Spending]]+Table1[[#This Row],[Fruits Spending]]+Table1[[#This Row],[Wine Spending ]])</f>
        <v>660</v>
      </c>
      <c r="Q1921">
        <v>6</v>
      </c>
      <c r="R1921">
        <v>8</v>
      </c>
      <c r="S1921">
        <v>2</v>
      </c>
      <c r="T1921">
        <v>9</v>
      </c>
      <c r="U1921">
        <f>SUM(Table1[[#This Row],[Store_Purchases]]+Table1[[#This Row],[Catalog_Purchases]]+Table1[[#This Row],[Web_Purchases]]+Table1[[#This Row],[Deal_Purchases]])</f>
        <v>25</v>
      </c>
      <c r="V1921">
        <v>5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f>SUM(Table1[[#This Row],[Accepted_Campaign_2]]+Table1[[#This Row],[Accepted_Campaign_1]]+Table1[[#This Row],[Accepted_Campaign_5]]+Table1[[#This Row],[Accepted_Campaign_4]]+Table1[[#This Row],[Accepted_Campaign_3]])</f>
        <v>0</v>
      </c>
      <c r="AC1921">
        <v>0</v>
      </c>
      <c r="AD1921">
        <v>0</v>
      </c>
    </row>
    <row r="1922" spans="1:30" x14ac:dyDescent="0.25">
      <c r="A1922">
        <v>41703</v>
      </c>
      <c r="B1922">
        <v>6963</v>
      </c>
      <c r="C1922">
        <v>1947</v>
      </c>
      <c r="D1922" t="s">
        <v>20</v>
      </c>
      <c r="E1922" t="s">
        <v>6</v>
      </c>
      <c r="F1922" t="s">
        <v>9</v>
      </c>
      <c r="G1922">
        <v>77457</v>
      </c>
      <c r="H1922">
        <v>0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f>SUM(Table1[[#This Row],[Gold Spending]]+Table1[[#This Row],[Sweet Spending]]+Table1[[#This Row],[Fish Spending]]+Table1[[#This Row],[Meat Spending]]+Table1[[#This Row],[Fruits Spending]]+Table1[[#This Row],[Wine Spending ]])</f>
        <v>1157</v>
      </c>
      <c r="Q1922">
        <v>1</v>
      </c>
      <c r="R1922">
        <v>2</v>
      </c>
      <c r="S1922">
        <v>5</v>
      </c>
      <c r="T1922">
        <v>10</v>
      </c>
      <c r="U1922">
        <f>SUM(Table1[[#This Row],[Store_Purchases]]+Table1[[#This Row],[Catalog_Purchases]]+Table1[[#This Row],[Web_Purchases]]+Table1[[#This Row],[Deal_Purchases]])</f>
        <v>18</v>
      </c>
      <c r="V1922">
        <v>1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f>SUM(Table1[[#This Row],[Accepted_Campaign_2]]+Table1[[#This Row],[Accepted_Campaign_1]]+Table1[[#This Row],[Accepted_Campaign_5]]+Table1[[#This Row],[Accepted_Campaign_4]]+Table1[[#This Row],[Accepted_Campaign_3]])</f>
        <v>1</v>
      </c>
      <c r="AC1922">
        <v>0</v>
      </c>
      <c r="AD1922">
        <v>0</v>
      </c>
    </row>
    <row r="1923" spans="1:30" x14ac:dyDescent="0.25">
      <c r="A1923">
        <v>41637</v>
      </c>
      <c r="B1923">
        <v>1065</v>
      </c>
      <c r="C1923">
        <v>1963</v>
      </c>
      <c r="D1923" t="s">
        <v>63</v>
      </c>
      <c r="E1923" t="s">
        <v>6</v>
      </c>
      <c r="F1923" t="s">
        <v>9</v>
      </c>
      <c r="G1923">
        <v>80695</v>
      </c>
      <c r="H1923">
        <v>0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f>SUM(Table1[[#This Row],[Gold Spending]]+Table1[[#This Row],[Sweet Spending]]+Table1[[#This Row],[Fish Spending]]+Table1[[#This Row],[Meat Spending]]+Table1[[#This Row],[Fruits Spending]]+Table1[[#This Row],[Wine Spending ]])</f>
        <v>1918</v>
      </c>
      <c r="Q1923">
        <v>1</v>
      </c>
      <c r="R1923">
        <v>5</v>
      </c>
      <c r="S1923">
        <v>8</v>
      </c>
      <c r="T1923">
        <v>5</v>
      </c>
      <c r="U1923">
        <f>SUM(Table1[[#This Row],[Store_Purchases]]+Table1[[#This Row],[Catalog_Purchases]]+Table1[[#This Row],[Web_Purchases]]+Table1[[#This Row],[Deal_Purchases]])</f>
        <v>19</v>
      </c>
      <c r="V1923">
        <v>2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f>SUM(Table1[[#This Row],[Accepted_Campaign_2]]+Table1[[#This Row],[Accepted_Campaign_1]]+Table1[[#This Row],[Accepted_Campaign_5]]+Table1[[#This Row],[Accepted_Campaign_4]]+Table1[[#This Row],[Accepted_Campaign_3]])</f>
        <v>0</v>
      </c>
      <c r="AC1923">
        <v>0</v>
      </c>
      <c r="AD1923">
        <v>0</v>
      </c>
    </row>
    <row r="1924" spans="1:30" x14ac:dyDescent="0.25">
      <c r="A1924">
        <v>41633</v>
      </c>
      <c r="B1924">
        <v>2712</v>
      </c>
      <c r="C1924">
        <v>1956</v>
      </c>
      <c r="D1924" t="s">
        <v>13</v>
      </c>
      <c r="E1924" t="s">
        <v>6</v>
      </c>
      <c r="F1924" t="s">
        <v>11</v>
      </c>
      <c r="G1924">
        <v>71866</v>
      </c>
      <c r="H1924">
        <v>1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f>SUM(Table1[[#This Row],[Gold Spending]]+Table1[[#This Row],[Sweet Spending]]+Table1[[#This Row],[Fish Spending]]+Table1[[#This Row],[Meat Spending]]+Table1[[#This Row],[Fruits Spending]]+Table1[[#This Row],[Wine Spending ]])</f>
        <v>715</v>
      </c>
      <c r="Q1924">
        <v>1</v>
      </c>
      <c r="R1924">
        <v>6</v>
      </c>
      <c r="S1924">
        <v>3</v>
      </c>
      <c r="T1924">
        <v>10</v>
      </c>
      <c r="U1924">
        <f>SUM(Table1[[#This Row],[Store_Purchases]]+Table1[[#This Row],[Catalog_Purchases]]+Table1[[#This Row],[Web_Purchases]]+Table1[[#This Row],[Deal_Purchases]])</f>
        <v>20</v>
      </c>
      <c r="V1924">
        <v>3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f>SUM(Table1[[#This Row],[Accepted_Campaign_2]]+Table1[[#This Row],[Accepted_Campaign_1]]+Table1[[#This Row],[Accepted_Campaign_5]]+Table1[[#This Row],[Accepted_Campaign_4]]+Table1[[#This Row],[Accepted_Campaign_3]])</f>
        <v>0</v>
      </c>
      <c r="AC1924">
        <v>0</v>
      </c>
      <c r="AD1924">
        <v>0</v>
      </c>
    </row>
    <row r="1925" spans="1:30" x14ac:dyDescent="0.25">
      <c r="A1925">
        <v>41613</v>
      </c>
      <c r="B1925">
        <v>6049</v>
      </c>
      <c r="C1925">
        <v>1982</v>
      </c>
      <c r="D1925" t="s">
        <v>8</v>
      </c>
      <c r="E1925" t="s">
        <v>18</v>
      </c>
      <c r="F1925" t="s">
        <v>12</v>
      </c>
      <c r="G1925">
        <v>73450</v>
      </c>
      <c r="H1925">
        <v>0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f>SUM(Table1[[#This Row],[Gold Spending]]+Table1[[#This Row],[Sweet Spending]]+Table1[[#This Row],[Fish Spending]]+Table1[[#This Row],[Meat Spending]]+Table1[[#This Row],[Fruits Spending]]+Table1[[#This Row],[Wine Spending ]])</f>
        <v>1804</v>
      </c>
      <c r="Q1925">
        <v>1</v>
      </c>
      <c r="R1925">
        <v>7</v>
      </c>
      <c r="S1925">
        <v>8</v>
      </c>
      <c r="T1925">
        <v>11</v>
      </c>
      <c r="U1925">
        <f>SUM(Table1[[#This Row],[Store_Purchases]]+Table1[[#This Row],[Catalog_Purchases]]+Table1[[#This Row],[Web_Purchases]]+Table1[[#This Row],[Deal_Purchases]])</f>
        <v>27</v>
      </c>
      <c r="V1925">
        <v>3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f>SUM(Table1[[#This Row],[Accepted_Campaign_2]]+Table1[[#This Row],[Accepted_Campaign_1]]+Table1[[#This Row],[Accepted_Campaign_5]]+Table1[[#This Row],[Accepted_Campaign_4]]+Table1[[#This Row],[Accepted_Campaign_3]])</f>
        <v>2</v>
      </c>
      <c r="AC1925">
        <v>0</v>
      </c>
      <c r="AD1925">
        <v>0</v>
      </c>
    </row>
    <row r="1926" spans="1:30" x14ac:dyDescent="0.25">
      <c r="A1926">
        <v>41605</v>
      </c>
      <c r="B1926">
        <v>6605</v>
      </c>
      <c r="C1926">
        <v>1944</v>
      </c>
      <c r="D1926" t="s">
        <v>8</v>
      </c>
      <c r="E1926" t="s">
        <v>14</v>
      </c>
      <c r="F1926" t="s">
        <v>7</v>
      </c>
      <c r="G1926">
        <v>55614</v>
      </c>
      <c r="H1926">
        <v>0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f>SUM(Table1[[#This Row],[Gold Spending]]+Table1[[#This Row],[Sweet Spending]]+Table1[[#This Row],[Fish Spending]]+Table1[[#This Row],[Meat Spending]]+Table1[[#This Row],[Fruits Spending]]+Table1[[#This Row],[Wine Spending ]])</f>
        <v>682</v>
      </c>
      <c r="Q1926">
        <v>1</v>
      </c>
      <c r="R1926">
        <v>9</v>
      </c>
      <c r="S1926">
        <v>4</v>
      </c>
      <c r="T1926">
        <v>6</v>
      </c>
      <c r="U1926">
        <f>SUM(Table1[[#This Row],[Store_Purchases]]+Table1[[#This Row],[Catalog_Purchases]]+Table1[[#This Row],[Web_Purchases]]+Table1[[#This Row],[Deal_Purchases]])</f>
        <v>20</v>
      </c>
      <c r="V1926">
        <v>7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f>SUM(Table1[[#This Row],[Accepted_Campaign_2]]+Table1[[#This Row],[Accepted_Campaign_1]]+Table1[[#This Row],[Accepted_Campaign_5]]+Table1[[#This Row],[Accepted_Campaign_4]]+Table1[[#This Row],[Accepted_Campaign_3]])</f>
        <v>1</v>
      </c>
      <c r="AC1926">
        <v>0</v>
      </c>
      <c r="AD1926">
        <v>0</v>
      </c>
    </row>
    <row r="1927" spans="1:30" x14ac:dyDescent="0.25">
      <c r="A1927">
        <v>41515</v>
      </c>
      <c r="B1927">
        <v>11181</v>
      </c>
      <c r="C1927">
        <v>1949</v>
      </c>
      <c r="D1927" t="s">
        <v>10</v>
      </c>
      <c r="E1927" t="s">
        <v>14</v>
      </c>
      <c r="F1927" t="s">
        <v>11</v>
      </c>
      <c r="G1927">
        <v>156924</v>
      </c>
      <c r="H1927">
        <v>0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f>SUM(Table1[[#This Row],[Gold Spending]]+Table1[[#This Row],[Sweet Spending]]+Table1[[#This Row],[Fish Spending]]+Table1[[#This Row],[Meat Spending]]+Table1[[#This Row],[Fruits Spending]]+Table1[[#This Row],[Wine Spending ]])</f>
        <v>8</v>
      </c>
      <c r="Q1927">
        <v>0</v>
      </c>
      <c r="R1927">
        <v>0</v>
      </c>
      <c r="S1927">
        <v>0</v>
      </c>
      <c r="T1927">
        <v>0</v>
      </c>
      <c r="U1927">
        <f>SUM(Table1[[#This Row],[Store_Purchases]]+Table1[[#This Row],[Catalog_Purchases]]+Table1[[#This Row],[Web_Purchases]]+Table1[[#This Row],[Deal_Purchases]])</f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f>SUM(Table1[[#This Row],[Accepted_Campaign_2]]+Table1[[#This Row],[Accepted_Campaign_1]]+Table1[[#This Row],[Accepted_Campaign_5]]+Table1[[#This Row],[Accepted_Campaign_4]]+Table1[[#This Row],[Accepted_Campaign_3]])</f>
        <v>0</v>
      </c>
      <c r="AC1927">
        <v>0</v>
      </c>
      <c r="AD1927">
        <v>0</v>
      </c>
    </row>
    <row r="1928" spans="1:30" x14ac:dyDescent="0.25">
      <c r="A1928">
        <v>41466</v>
      </c>
      <c r="B1928">
        <v>5234</v>
      </c>
      <c r="C1928">
        <v>1967</v>
      </c>
      <c r="D1928" t="s">
        <v>10</v>
      </c>
      <c r="E1928" t="s">
        <v>15</v>
      </c>
      <c r="F1928" t="s">
        <v>12</v>
      </c>
      <c r="G1928">
        <v>30753</v>
      </c>
      <c r="H1928">
        <v>2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f>SUM(Table1[[#This Row],[Gold Spending]]+Table1[[#This Row],[Sweet Spending]]+Table1[[#This Row],[Fish Spending]]+Table1[[#This Row],[Meat Spending]]+Table1[[#This Row],[Fruits Spending]]+Table1[[#This Row],[Wine Spending ]])</f>
        <v>81</v>
      </c>
      <c r="Q1928">
        <v>2</v>
      </c>
      <c r="R1928">
        <v>1</v>
      </c>
      <c r="S1928">
        <v>1</v>
      </c>
      <c r="T1928">
        <v>3</v>
      </c>
      <c r="U1928">
        <f>SUM(Table1[[#This Row],[Store_Purchases]]+Table1[[#This Row],[Catalog_Purchases]]+Table1[[#This Row],[Web_Purchases]]+Table1[[#This Row],[Deal_Purchases]])</f>
        <v>7</v>
      </c>
      <c r="V1928">
        <v>5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f>SUM(Table1[[#This Row],[Accepted_Campaign_2]]+Table1[[#This Row],[Accepted_Campaign_1]]+Table1[[#This Row],[Accepted_Campaign_5]]+Table1[[#This Row],[Accepted_Campaign_4]]+Table1[[#This Row],[Accepted_Campaign_3]])</f>
        <v>0</v>
      </c>
      <c r="AC1928">
        <v>0</v>
      </c>
      <c r="AD1928">
        <v>0</v>
      </c>
    </row>
    <row r="1929" spans="1:30" x14ac:dyDescent="0.25">
      <c r="A1929">
        <v>41464</v>
      </c>
      <c r="B1929">
        <v>5253</v>
      </c>
      <c r="C1929">
        <v>1956</v>
      </c>
      <c r="D1929" t="s">
        <v>8</v>
      </c>
      <c r="E1929" t="s">
        <v>18</v>
      </c>
      <c r="F1929" t="s">
        <v>12</v>
      </c>
      <c r="G1929">
        <v>54603</v>
      </c>
      <c r="H1929">
        <v>2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f>SUM(Table1[[#This Row],[Gold Spending]]+Table1[[#This Row],[Sweet Spending]]+Table1[[#This Row],[Fish Spending]]+Table1[[#This Row],[Meat Spending]]+Table1[[#This Row],[Fruits Spending]]+Table1[[#This Row],[Wine Spending ]])</f>
        <v>227</v>
      </c>
      <c r="Q1929">
        <v>6</v>
      </c>
      <c r="R1929">
        <v>4</v>
      </c>
      <c r="S1929">
        <v>2</v>
      </c>
      <c r="T1929">
        <v>4</v>
      </c>
      <c r="U1929">
        <f>SUM(Table1[[#This Row],[Store_Purchases]]+Table1[[#This Row],[Catalog_Purchases]]+Table1[[#This Row],[Web_Purchases]]+Table1[[#This Row],[Deal_Purchases]])</f>
        <v>16</v>
      </c>
      <c r="V1929">
        <v>7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f>SUM(Table1[[#This Row],[Accepted_Campaign_2]]+Table1[[#This Row],[Accepted_Campaign_1]]+Table1[[#This Row],[Accepted_Campaign_5]]+Table1[[#This Row],[Accepted_Campaign_4]]+Table1[[#This Row],[Accepted_Campaign_3]])</f>
        <v>0</v>
      </c>
      <c r="AC1929">
        <v>0</v>
      </c>
      <c r="AD1929">
        <v>0</v>
      </c>
    </row>
    <row r="1930" spans="1:30" x14ac:dyDescent="0.25">
      <c r="A1930">
        <v>41413</v>
      </c>
      <c r="B1930">
        <v>11148</v>
      </c>
      <c r="C1930">
        <v>1975</v>
      </c>
      <c r="D1930" t="s">
        <v>8</v>
      </c>
      <c r="E1930" t="s">
        <v>6</v>
      </c>
      <c r="F1930" t="s">
        <v>12</v>
      </c>
      <c r="G1930">
        <v>22280</v>
      </c>
      <c r="H1930">
        <v>1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f>SUM(Table1[[#This Row],[Gold Spending]]+Table1[[#This Row],[Sweet Spending]]+Table1[[#This Row],[Fish Spending]]+Table1[[#This Row],[Meat Spending]]+Table1[[#This Row],[Fruits Spending]]+Table1[[#This Row],[Wine Spending ]])</f>
        <v>13</v>
      </c>
      <c r="Q1930">
        <v>1</v>
      </c>
      <c r="R1930">
        <v>1</v>
      </c>
      <c r="S1930">
        <v>0</v>
      </c>
      <c r="T1930">
        <v>2</v>
      </c>
      <c r="U1930">
        <f>SUM(Table1[[#This Row],[Store_Purchases]]+Table1[[#This Row],[Catalog_Purchases]]+Table1[[#This Row],[Web_Purchases]]+Table1[[#This Row],[Deal_Purchases]])</f>
        <v>4</v>
      </c>
      <c r="V1930">
        <v>8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f>SUM(Table1[[#This Row],[Accepted_Campaign_2]]+Table1[[#This Row],[Accepted_Campaign_1]]+Table1[[#This Row],[Accepted_Campaign_5]]+Table1[[#This Row],[Accepted_Campaign_4]]+Table1[[#This Row],[Accepted_Campaign_3]])</f>
        <v>0</v>
      </c>
      <c r="AC1930">
        <v>0</v>
      </c>
      <c r="AD1930">
        <v>0</v>
      </c>
    </row>
    <row r="1931" spans="1:30" x14ac:dyDescent="0.25">
      <c r="A1931">
        <v>41392</v>
      </c>
      <c r="B1931">
        <v>6289</v>
      </c>
      <c r="C1931">
        <v>1951</v>
      </c>
      <c r="D1931" t="s">
        <v>8</v>
      </c>
      <c r="E1931" t="s">
        <v>18</v>
      </c>
      <c r="F1931" t="s">
        <v>12</v>
      </c>
      <c r="G1931">
        <v>59385</v>
      </c>
      <c r="H1931">
        <v>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f>SUM(Table1[[#This Row],[Gold Spending]]+Table1[[#This Row],[Sweet Spending]]+Table1[[#This Row],[Fish Spending]]+Table1[[#This Row],[Meat Spending]]+Table1[[#This Row],[Fruits Spending]]+Table1[[#This Row],[Wine Spending ]])</f>
        <v>185</v>
      </c>
      <c r="Q1931">
        <v>2</v>
      </c>
      <c r="R1931">
        <v>3</v>
      </c>
      <c r="S1931">
        <v>1</v>
      </c>
      <c r="T1931">
        <v>4</v>
      </c>
      <c r="U1931">
        <f>SUM(Table1[[#This Row],[Store_Purchases]]+Table1[[#This Row],[Catalog_Purchases]]+Table1[[#This Row],[Web_Purchases]]+Table1[[#This Row],[Deal_Purchases]])</f>
        <v>10</v>
      </c>
      <c r="V1931">
        <v>5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f>SUM(Table1[[#This Row],[Accepted_Campaign_2]]+Table1[[#This Row],[Accepted_Campaign_1]]+Table1[[#This Row],[Accepted_Campaign_5]]+Table1[[#This Row],[Accepted_Campaign_4]]+Table1[[#This Row],[Accepted_Campaign_3]])</f>
        <v>0</v>
      </c>
      <c r="AC1931">
        <v>0</v>
      </c>
      <c r="AD1931">
        <v>0</v>
      </c>
    </row>
    <row r="1932" spans="1:30" x14ac:dyDescent="0.25">
      <c r="A1932">
        <v>41285</v>
      </c>
      <c r="B1932">
        <v>9743</v>
      </c>
      <c r="C1932">
        <v>1955</v>
      </c>
      <c r="D1932" t="s">
        <v>10</v>
      </c>
      <c r="E1932" t="s">
        <v>6</v>
      </c>
      <c r="F1932" t="s">
        <v>11</v>
      </c>
      <c r="G1932">
        <v>76998</v>
      </c>
      <c r="H1932">
        <v>1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f>SUM(Table1[[#This Row],[Gold Spending]]+Table1[[#This Row],[Sweet Spending]]+Table1[[#This Row],[Fish Spending]]+Table1[[#This Row],[Meat Spending]]+Table1[[#This Row],[Fruits Spending]]+Table1[[#This Row],[Wine Spending ]])</f>
        <v>1910</v>
      </c>
      <c r="Q1932">
        <v>2</v>
      </c>
      <c r="R1932">
        <v>11</v>
      </c>
      <c r="S1932">
        <v>8</v>
      </c>
      <c r="T1932">
        <v>8</v>
      </c>
      <c r="U1932">
        <f>SUM(Table1[[#This Row],[Store_Purchases]]+Table1[[#This Row],[Catalog_Purchases]]+Table1[[#This Row],[Web_Purchases]]+Table1[[#This Row],[Deal_Purchases]])</f>
        <v>29</v>
      </c>
      <c r="V1932">
        <v>6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f>SUM(Table1[[#This Row],[Accepted_Campaign_2]]+Table1[[#This Row],[Accepted_Campaign_1]]+Table1[[#This Row],[Accepted_Campaign_5]]+Table1[[#This Row],[Accepted_Campaign_4]]+Table1[[#This Row],[Accepted_Campaign_3]])</f>
        <v>1</v>
      </c>
      <c r="AC1932">
        <v>0</v>
      </c>
      <c r="AD1932">
        <v>0</v>
      </c>
    </row>
    <row r="1933" spans="1:30" x14ac:dyDescent="0.25">
      <c r="A1933">
        <v>41196</v>
      </c>
      <c r="B1933">
        <v>9209</v>
      </c>
      <c r="C1933">
        <v>1971</v>
      </c>
      <c r="D1933" t="s">
        <v>20</v>
      </c>
      <c r="E1933" t="s">
        <v>18</v>
      </c>
      <c r="F1933" t="s">
        <v>12</v>
      </c>
      <c r="G1933">
        <v>80573</v>
      </c>
      <c r="H1933">
        <v>0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f>SUM(Table1[[#This Row],[Gold Spending]]+Table1[[#This Row],[Sweet Spending]]+Table1[[#This Row],[Fish Spending]]+Table1[[#This Row],[Meat Spending]]+Table1[[#This Row],[Fruits Spending]]+Table1[[#This Row],[Wine Spending ]])</f>
        <v>1564</v>
      </c>
      <c r="Q1933">
        <v>1</v>
      </c>
      <c r="R1933">
        <v>4</v>
      </c>
      <c r="S1933">
        <v>6</v>
      </c>
      <c r="T1933">
        <v>13</v>
      </c>
      <c r="U1933">
        <f>SUM(Table1[[#This Row],[Store_Purchases]]+Table1[[#This Row],[Catalog_Purchases]]+Table1[[#This Row],[Web_Purchases]]+Table1[[#This Row],[Deal_Purchases]])</f>
        <v>24</v>
      </c>
      <c r="V1933">
        <v>2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f>SUM(Table1[[#This Row],[Accepted_Campaign_2]]+Table1[[#This Row],[Accepted_Campaign_1]]+Table1[[#This Row],[Accepted_Campaign_5]]+Table1[[#This Row],[Accepted_Campaign_4]]+Table1[[#This Row],[Accepted_Campaign_3]])</f>
        <v>0</v>
      </c>
      <c r="AC1933">
        <v>0</v>
      </c>
      <c r="AD1933">
        <v>0</v>
      </c>
    </row>
    <row r="1934" spans="1:30" x14ac:dyDescent="0.25">
      <c r="A1934">
        <v>41196</v>
      </c>
      <c r="B1934">
        <v>6417</v>
      </c>
      <c r="C1934">
        <v>1971</v>
      </c>
      <c r="D1934" t="s">
        <v>8</v>
      </c>
      <c r="E1934" t="s">
        <v>18</v>
      </c>
      <c r="F1934" t="s">
        <v>12</v>
      </c>
      <c r="G1934">
        <v>80573</v>
      </c>
      <c r="H1934">
        <v>0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f>SUM(Table1[[#This Row],[Gold Spending]]+Table1[[#This Row],[Sweet Spending]]+Table1[[#This Row],[Fish Spending]]+Table1[[#This Row],[Meat Spending]]+Table1[[#This Row],[Fruits Spending]]+Table1[[#This Row],[Wine Spending ]])</f>
        <v>1564</v>
      </c>
      <c r="Q1934">
        <v>1</v>
      </c>
      <c r="R1934">
        <v>4</v>
      </c>
      <c r="S1934">
        <v>6</v>
      </c>
      <c r="T1934">
        <v>13</v>
      </c>
      <c r="U1934">
        <f>SUM(Table1[[#This Row],[Store_Purchases]]+Table1[[#This Row],[Catalog_Purchases]]+Table1[[#This Row],[Web_Purchases]]+Table1[[#This Row],[Deal_Purchases]])</f>
        <v>24</v>
      </c>
      <c r="V1934">
        <v>2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f>SUM(Table1[[#This Row],[Accepted_Campaign_2]]+Table1[[#This Row],[Accepted_Campaign_1]]+Table1[[#This Row],[Accepted_Campaign_5]]+Table1[[#This Row],[Accepted_Campaign_4]]+Table1[[#This Row],[Accepted_Campaign_3]])</f>
        <v>0</v>
      </c>
      <c r="AC1934">
        <v>0</v>
      </c>
      <c r="AD1934">
        <v>0</v>
      </c>
    </row>
    <row r="1935" spans="1:30" x14ac:dyDescent="0.25">
      <c r="A1935">
        <v>41747</v>
      </c>
      <c r="B1935">
        <v>7937</v>
      </c>
      <c r="C1935">
        <v>1982</v>
      </c>
      <c r="D1935" t="s">
        <v>8</v>
      </c>
      <c r="E1935" t="s">
        <v>6</v>
      </c>
      <c r="F1935" t="s">
        <v>11</v>
      </c>
      <c r="G1935">
        <v>24711</v>
      </c>
      <c r="H1935">
        <v>0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f>SUM(Table1[[#This Row],[Gold Spending]]+Table1[[#This Row],[Sweet Spending]]+Table1[[#This Row],[Fish Spending]]+Table1[[#This Row],[Meat Spending]]+Table1[[#This Row],[Fruits Spending]]+Table1[[#This Row],[Wine Spending ]])</f>
        <v>58</v>
      </c>
      <c r="Q1935">
        <v>1</v>
      </c>
      <c r="R1935">
        <v>3</v>
      </c>
      <c r="S1935">
        <v>0</v>
      </c>
      <c r="T1935">
        <v>3</v>
      </c>
      <c r="U1935">
        <f>SUM(Table1[[#This Row],[Store_Purchases]]+Table1[[#This Row],[Catalog_Purchases]]+Table1[[#This Row],[Web_Purchases]]+Table1[[#This Row],[Deal_Purchases]])</f>
        <v>7</v>
      </c>
      <c r="V1935">
        <v>7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f>SUM(Table1[[#This Row],[Accepted_Campaign_2]]+Table1[[#This Row],[Accepted_Campaign_1]]+Table1[[#This Row],[Accepted_Campaign_5]]+Table1[[#This Row],[Accepted_Campaign_4]]+Table1[[#This Row],[Accepted_Campaign_3]])</f>
        <v>0</v>
      </c>
      <c r="AC1935">
        <v>0</v>
      </c>
      <c r="AD1935">
        <v>0</v>
      </c>
    </row>
    <row r="1936" spans="1:30" x14ac:dyDescent="0.25">
      <c r="A1936">
        <v>41735</v>
      </c>
      <c r="B1936">
        <v>6488</v>
      </c>
      <c r="C1936">
        <v>1959</v>
      </c>
      <c r="D1936" t="s">
        <v>16</v>
      </c>
      <c r="E1936" t="s">
        <v>14</v>
      </c>
      <c r="F1936" t="s">
        <v>11</v>
      </c>
      <c r="G1936">
        <v>38829</v>
      </c>
      <c r="H1936">
        <v>1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f>SUM(Table1[[#This Row],[Gold Spending]]+Table1[[#This Row],[Sweet Spending]]+Table1[[#This Row],[Fish Spending]]+Table1[[#This Row],[Meat Spending]]+Table1[[#This Row],[Fruits Spending]]+Table1[[#This Row],[Wine Spending ]])</f>
        <v>99</v>
      </c>
      <c r="Q1936">
        <v>1</v>
      </c>
      <c r="R1936">
        <v>3</v>
      </c>
      <c r="S1936">
        <v>2</v>
      </c>
      <c r="T1936">
        <v>2</v>
      </c>
      <c r="U1936">
        <f>SUM(Table1[[#This Row],[Store_Purchases]]+Table1[[#This Row],[Catalog_Purchases]]+Table1[[#This Row],[Web_Purchases]]+Table1[[#This Row],[Deal_Purchases]])</f>
        <v>8</v>
      </c>
      <c r="V1936">
        <v>5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f>SUM(Table1[[#This Row],[Accepted_Campaign_2]]+Table1[[#This Row],[Accepted_Campaign_1]]+Table1[[#This Row],[Accepted_Campaign_5]]+Table1[[#This Row],[Accepted_Campaign_4]]+Table1[[#This Row],[Accepted_Campaign_3]])</f>
        <v>0</v>
      </c>
      <c r="AC1936">
        <v>0</v>
      </c>
      <c r="AD1936">
        <v>0</v>
      </c>
    </row>
    <row r="1937" spans="1:30" x14ac:dyDescent="0.25">
      <c r="A1937">
        <v>41734</v>
      </c>
      <c r="B1937">
        <v>3194</v>
      </c>
      <c r="C1937">
        <v>1974</v>
      </c>
      <c r="D1937" t="s">
        <v>10</v>
      </c>
      <c r="E1937" t="s">
        <v>14</v>
      </c>
      <c r="F1937" t="s">
        <v>9</v>
      </c>
      <c r="G1937">
        <v>71466</v>
      </c>
      <c r="H1937">
        <v>0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f>SUM(Table1[[#This Row],[Gold Spending]]+Table1[[#This Row],[Sweet Spending]]+Table1[[#This Row],[Fish Spending]]+Table1[[#This Row],[Meat Spending]]+Table1[[#This Row],[Fruits Spending]]+Table1[[#This Row],[Wine Spending ]])</f>
        <v>1230</v>
      </c>
      <c r="Q1937">
        <v>1</v>
      </c>
      <c r="R1937">
        <v>4</v>
      </c>
      <c r="S1937">
        <v>4</v>
      </c>
      <c r="T1937">
        <v>10</v>
      </c>
      <c r="U1937">
        <f>SUM(Table1[[#This Row],[Store_Purchases]]+Table1[[#This Row],[Catalog_Purchases]]+Table1[[#This Row],[Web_Purchases]]+Table1[[#This Row],[Deal_Purchases]])</f>
        <v>19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f>SUM(Table1[[#This Row],[Accepted_Campaign_2]]+Table1[[#This Row],[Accepted_Campaign_1]]+Table1[[#This Row],[Accepted_Campaign_5]]+Table1[[#This Row],[Accepted_Campaign_4]]+Table1[[#This Row],[Accepted_Campaign_3]])</f>
        <v>0</v>
      </c>
      <c r="AC1937">
        <v>0</v>
      </c>
      <c r="AD1937">
        <v>0</v>
      </c>
    </row>
    <row r="1938" spans="1:30" x14ac:dyDescent="0.25">
      <c r="A1938">
        <v>41709</v>
      </c>
      <c r="B1938">
        <v>231</v>
      </c>
      <c r="C1938">
        <v>1956</v>
      </c>
      <c r="D1938" t="s">
        <v>8</v>
      </c>
      <c r="E1938" t="s">
        <v>18</v>
      </c>
      <c r="F1938" t="s">
        <v>12</v>
      </c>
      <c r="G1938">
        <v>28839</v>
      </c>
      <c r="H1938">
        <v>2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f>SUM(Table1[[#This Row],[Gold Spending]]+Table1[[#This Row],[Sweet Spending]]+Table1[[#This Row],[Fish Spending]]+Table1[[#This Row],[Meat Spending]]+Table1[[#This Row],[Fruits Spending]]+Table1[[#This Row],[Wine Spending ]])</f>
        <v>32</v>
      </c>
      <c r="Q1938">
        <v>2</v>
      </c>
      <c r="R1938">
        <v>2</v>
      </c>
      <c r="S1938">
        <v>0</v>
      </c>
      <c r="T1938">
        <v>3</v>
      </c>
      <c r="U1938">
        <f>SUM(Table1[[#This Row],[Store_Purchases]]+Table1[[#This Row],[Catalog_Purchases]]+Table1[[#This Row],[Web_Purchases]]+Table1[[#This Row],[Deal_Purchases]])</f>
        <v>7</v>
      </c>
      <c r="V1938">
        <v>5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f>SUM(Table1[[#This Row],[Accepted_Campaign_2]]+Table1[[#This Row],[Accepted_Campaign_1]]+Table1[[#This Row],[Accepted_Campaign_5]]+Table1[[#This Row],[Accepted_Campaign_4]]+Table1[[#This Row],[Accepted_Campaign_3]])</f>
        <v>0</v>
      </c>
      <c r="AC1938">
        <v>0</v>
      </c>
      <c r="AD1938">
        <v>0</v>
      </c>
    </row>
    <row r="1939" spans="1:30" x14ac:dyDescent="0.25">
      <c r="A1939">
        <v>41704</v>
      </c>
      <c r="B1939">
        <v>9697</v>
      </c>
      <c r="C1939">
        <v>1951</v>
      </c>
      <c r="D1939" t="s">
        <v>8</v>
      </c>
      <c r="E1939" t="s">
        <v>6</v>
      </c>
      <c r="F1939" t="s">
        <v>11</v>
      </c>
      <c r="G1939">
        <v>53790</v>
      </c>
      <c r="H1939">
        <v>2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f>SUM(Table1[[#This Row],[Gold Spending]]+Table1[[#This Row],[Sweet Spending]]+Table1[[#This Row],[Fish Spending]]+Table1[[#This Row],[Meat Spending]]+Table1[[#This Row],[Fruits Spending]]+Table1[[#This Row],[Wine Spending ]])</f>
        <v>542</v>
      </c>
      <c r="Q1939">
        <v>3</v>
      </c>
      <c r="R1939">
        <v>7</v>
      </c>
      <c r="S1939">
        <v>2</v>
      </c>
      <c r="T1939">
        <v>8</v>
      </c>
      <c r="U1939">
        <f>SUM(Table1[[#This Row],[Store_Purchases]]+Table1[[#This Row],[Catalog_Purchases]]+Table1[[#This Row],[Web_Purchases]]+Table1[[#This Row],[Deal_Purchases]])</f>
        <v>20</v>
      </c>
      <c r="V1939">
        <v>6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f>SUM(Table1[[#This Row],[Accepted_Campaign_2]]+Table1[[#This Row],[Accepted_Campaign_1]]+Table1[[#This Row],[Accepted_Campaign_5]]+Table1[[#This Row],[Accepted_Campaign_4]]+Table1[[#This Row],[Accepted_Campaign_3]])</f>
        <v>0</v>
      </c>
      <c r="AC1939">
        <v>0</v>
      </c>
      <c r="AD1939">
        <v>0</v>
      </c>
    </row>
    <row r="1940" spans="1:30" x14ac:dyDescent="0.25">
      <c r="A1940">
        <v>41703</v>
      </c>
      <c r="B1940">
        <v>4676</v>
      </c>
      <c r="C1940">
        <v>1951</v>
      </c>
      <c r="D1940" t="s">
        <v>8</v>
      </c>
      <c r="E1940" t="s">
        <v>18</v>
      </c>
      <c r="F1940" t="s">
        <v>19</v>
      </c>
      <c r="G1940">
        <v>73705</v>
      </c>
      <c r="H1940">
        <v>2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f>SUM(Table1[[#This Row],[Gold Spending]]+Table1[[#This Row],[Sweet Spending]]+Table1[[#This Row],[Fish Spending]]+Table1[[#This Row],[Meat Spending]]+Table1[[#This Row],[Fruits Spending]]+Table1[[#This Row],[Wine Spending ]])</f>
        <v>1695</v>
      </c>
      <c r="Q1940">
        <v>2</v>
      </c>
      <c r="R1940">
        <v>9</v>
      </c>
      <c r="S1940">
        <v>6</v>
      </c>
      <c r="T1940">
        <v>8</v>
      </c>
      <c r="U1940">
        <f>SUM(Table1[[#This Row],[Store_Purchases]]+Table1[[#This Row],[Catalog_Purchases]]+Table1[[#This Row],[Web_Purchases]]+Table1[[#This Row],[Deal_Purchases]])</f>
        <v>25</v>
      </c>
      <c r="V1940">
        <v>5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f>SUM(Table1[[#This Row],[Accepted_Campaign_2]]+Table1[[#This Row],[Accepted_Campaign_1]]+Table1[[#This Row],[Accepted_Campaign_5]]+Table1[[#This Row],[Accepted_Campaign_4]]+Table1[[#This Row],[Accepted_Campaign_3]])</f>
        <v>0</v>
      </c>
      <c r="AC1940">
        <v>0</v>
      </c>
      <c r="AD1940">
        <v>0</v>
      </c>
    </row>
    <row r="1941" spans="1:30" x14ac:dyDescent="0.25">
      <c r="A1941">
        <v>41696</v>
      </c>
      <c r="B1941">
        <v>8079</v>
      </c>
      <c r="C1941">
        <v>1982</v>
      </c>
      <c r="D1941" t="s">
        <v>20</v>
      </c>
      <c r="E1941" t="s">
        <v>6</v>
      </c>
      <c r="F1941" t="s">
        <v>11</v>
      </c>
      <c r="G1941">
        <v>22448</v>
      </c>
      <c r="H1941">
        <v>1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1941">
        <v>3</v>
      </c>
      <c r="R1941">
        <v>2</v>
      </c>
      <c r="S1941">
        <v>1</v>
      </c>
      <c r="T1941">
        <v>3</v>
      </c>
      <c r="U1941">
        <f>SUM(Table1[[#This Row],[Store_Purchases]]+Table1[[#This Row],[Catalog_Purchases]]+Table1[[#This Row],[Web_Purchases]]+Table1[[#This Row],[Deal_Purchases]])</f>
        <v>9</v>
      </c>
      <c r="V1941">
        <v>3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f>SUM(Table1[[#This Row],[Accepted_Campaign_2]]+Table1[[#This Row],[Accepted_Campaign_1]]+Table1[[#This Row],[Accepted_Campaign_5]]+Table1[[#This Row],[Accepted_Campaign_4]]+Table1[[#This Row],[Accepted_Campaign_3]])</f>
        <v>0</v>
      </c>
      <c r="AC1941">
        <v>0</v>
      </c>
      <c r="AD1941">
        <v>0</v>
      </c>
    </row>
    <row r="1942" spans="1:30" x14ac:dyDescent="0.25">
      <c r="A1942">
        <v>41657</v>
      </c>
      <c r="B1942">
        <v>10032</v>
      </c>
      <c r="C1942">
        <v>1976</v>
      </c>
      <c r="D1942" t="s">
        <v>20</v>
      </c>
      <c r="E1942" t="s">
        <v>6</v>
      </c>
      <c r="F1942" t="s">
        <v>7</v>
      </c>
      <c r="G1942">
        <v>12571</v>
      </c>
      <c r="H1942">
        <v>1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f>SUM(Table1[[#This Row],[Gold Spending]]+Table1[[#This Row],[Sweet Spending]]+Table1[[#This Row],[Fish Spending]]+Table1[[#This Row],[Meat Spending]]+Table1[[#This Row],[Fruits Spending]]+Table1[[#This Row],[Wine Spending ]])</f>
        <v>53</v>
      </c>
      <c r="Q1942">
        <v>4</v>
      </c>
      <c r="R1942">
        <v>3</v>
      </c>
      <c r="S1942">
        <v>1</v>
      </c>
      <c r="T1942">
        <v>3</v>
      </c>
      <c r="U1942">
        <f>SUM(Table1[[#This Row],[Store_Purchases]]+Table1[[#This Row],[Catalog_Purchases]]+Table1[[#This Row],[Web_Purchases]]+Table1[[#This Row],[Deal_Purchases]])</f>
        <v>11</v>
      </c>
      <c r="V1942">
        <v>6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f>SUM(Table1[[#This Row],[Accepted_Campaign_2]]+Table1[[#This Row],[Accepted_Campaign_1]]+Table1[[#This Row],[Accepted_Campaign_5]]+Table1[[#This Row],[Accepted_Campaign_4]]+Table1[[#This Row],[Accepted_Campaign_3]])</f>
        <v>0</v>
      </c>
      <c r="AC1942">
        <v>0</v>
      </c>
      <c r="AD1942">
        <v>0</v>
      </c>
    </row>
    <row r="1943" spans="1:30" x14ac:dyDescent="0.25">
      <c r="A1943">
        <v>41634</v>
      </c>
      <c r="B1943">
        <v>10505</v>
      </c>
      <c r="C1943">
        <v>1960</v>
      </c>
      <c r="D1943" t="s">
        <v>20</v>
      </c>
      <c r="E1943" t="s">
        <v>18</v>
      </c>
      <c r="F1943" t="s">
        <v>12</v>
      </c>
      <c r="G1943">
        <v>73113</v>
      </c>
      <c r="H1943">
        <v>0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f>SUM(Table1[[#This Row],[Gold Spending]]+Table1[[#This Row],[Sweet Spending]]+Table1[[#This Row],[Fish Spending]]+Table1[[#This Row],[Meat Spending]]+Table1[[#This Row],[Fruits Spending]]+Table1[[#This Row],[Wine Spending ]])</f>
        <v>1001</v>
      </c>
      <c r="Q1943">
        <v>1</v>
      </c>
      <c r="R1943">
        <v>3</v>
      </c>
      <c r="S1943">
        <v>4</v>
      </c>
      <c r="T1943">
        <v>7</v>
      </c>
      <c r="U1943">
        <f>SUM(Table1[[#This Row],[Store_Purchases]]+Table1[[#This Row],[Catalog_Purchases]]+Table1[[#This Row],[Web_Purchases]]+Table1[[#This Row],[Deal_Purchases]])</f>
        <v>15</v>
      </c>
      <c r="V1943">
        <v>2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f>SUM(Table1[[#This Row],[Accepted_Campaign_2]]+Table1[[#This Row],[Accepted_Campaign_1]]+Table1[[#This Row],[Accepted_Campaign_5]]+Table1[[#This Row],[Accepted_Campaign_4]]+Table1[[#This Row],[Accepted_Campaign_3]])</f>
        <v>0</v>
      </c>
      <c r="AC1943">
        <v>0</v>
      </c>
      <c r="AD1943">
        <v>0</v>
      </c>
    </row>
    <row r="1944" spans="1:30" x14ac:dyDescent="0.25">
      <c r="A1944">
        <v>41619</v>
      </c>
      <c r="B1944">
        <v>2005</v>
      </c>
      <c r="C1944">
        <v>1990</v>
      </c>
      <c r="D1944" t="s">
        <v>10</v>
      </c>
      <c r="E1944" t="s">
        <v>6</v>
      </c>
      <c r="F1944" t="s">
        <v>11</v>
      </c>
      <c r="G1944">
        <v>35765</v>
      </c>
      <c r="H1944">
        <v>1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f>SUM(Table1[[#This Row],[Gold Spending]]+Table1[[#This Row],[Sweet Spending]]+Table1[[#This Row],[Fish Spending]]+Table1[[#This Row],[Meat Spending]]+Table1[[#This Row],[Fruits Spending]]+Table1[[#This Row],[Wine Spending ]])</f>
        <v>75</v>
      </c>
      <c r="Q1944">
        <v>2</v>
      </c>
      <c r="R1944">
        <v>2</v>
      </c>
      <c r="S1944">
        <v>0</v>
      </c>
      <c r="T1944">
        <v>4</v>
      </c>
      <c r="U1944">
        <f>SUM(Table1[[#This Row],[Store_Purchases]]+Table1[[#This Row],[Catalog_Purchases]]+Table1[[#This Row],[Web_Purchases]]+Table1[[#This Row],[Deal_Purchases]])</f>
        <v>8</v>
      </c>
      <c r="V1944">
        <v>6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f>SUM(Table1[[#This Row],[Accepted_Campaign_2]]+Table1[[#This Row],[Accepted_Campaign_1]]+Table1[[#This Row],[Accepted_Campaign_5]]+Table1[[#This Row],[Accepted_Campaign_4]]+Table1[[#This Row],[Accepted_Campaign_3]])</f>
        <v>0</v>
      </c>
      <c r="AC1944">
        <v>0</v>
      </c>
      <c r="AD1944">
        <v>0</v>
      </c>
    </row>
    <row r="1945" spans="1:30" x14ac:dyDescent="0.25">
      <c r="A1945">
        <v>41568</v>
      </c>
      <c r="B1945">
        <v>6940</v>
      </c>
      <c r="C1945">
        <v>1966</v>
      </c>
      <c r="D1945" t="s">
        <v>8</v>
      </c>
      <c r="E1945" t="s">
        <v>14</v>
      </c>
      <c r="F1945" t="s">
        <v>9</v>
      </c>
      <c r="G1945">
        <v>46734</v>
      </c>
      <c r="H1945">
        <v>3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f>SUM(Table1[[#This Row],[Gold Spending]]+Table1[[#This Row],[Sweet Spending]]+Table1[[#This Row],[Fish Spending]]+Table1[[#This Row],[Meat Spending]]+Table1[[#This Row],[Fruits Spending]]+Table1[[#This Row],[Wine Spending ]])</f>
        <v>223</v>
      </c>
      <c r="Q1945">
        <v>4</v>
      </c>
      <c r="R1945">
        <v>3</v>
      </c>
      <c r="S1945">
        <v>2</v>
      </c>
      <c r="T1945">
        <v>3</v>
      </c>
      <c r="U1945">
        <f>SUM(Table1[[#This Row],[Store_Purchases]]+Table1[[#This Row],[Catalog_Purchases]]+Table1[[#This Row],[Web_Purchases]]+Table1[[#This Row],[Deal_Purchases]])</f>
        <v>12</v>
      </c>
      <c r="V1945">
        <v>6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f>SUM(Table1[[#This Row],[Accepted_Campaign_2]]+Table1[[#This Row],[Accepted_Campaign_1]]+Table1[[#This Row],[Accepted_Campaign_5]]+Table1[[#This Row],[Accepted_Campaign_4]]+Table1[[#This Row],[Accepted_Campaign_3]])</f>
        <v>1</v>
      </c>
      <c r="AC1945">
        <v>0</v>
      </c>
      <c r="AD1945">
        <v>0</v>
      </c>
    </row>
    <row r="1946" spans="1:30" x14ac:dyDescent="0.25">
      <c r="A1946">
        <v>41533</v>
      </c>
      <c r="B1946">
        <v>2304</v>
      </c>
      <c r="C1946">
        <v>1963</v>
      </c>
      <c r="D1946" t="s">
        <v>20</v>
      </c>
      <c r="E1946" t="s">
        <v>14</v>
      </c>
      <c r="F1946" t="s">
        <v>12</v>
      </c>
      <c r="G1946">
        <v>66313</v>
      </c>
      <c r="H1946">
        <v>1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f>SUM(Table1[[#This Row],[Gold Spending]]+Table1[[#This Row],[Sweet Spending]]+Table1[[#This Row],[Fish Spending]]+Table1[[#This Row],[Meat Spending]]+Table1[[#This Row],[Fruits Spending]]+Table1[[#This Row],[Wine Spending ]])</f>
        <v>770</v>
      </c>
      <c r="Q1946">
        <v>2</v>
      </c>
      <c r="R1946">
        <v>6</v>
      </c>
      <c r="S1946">
        <v>3</v>
      </c>
      <c r="T1946">
        <v>12</v>
      </c>
      <c r="U1946">
        <f>SUM(Table1[[#This Row],[Store_Purchases]]+Table1[[#This Row],[Catalog_Purchases]]+Table1[[#This Row],[Web_Purchases]]+Table1[[#This Row],[Deal_Purchases]])</f>
        <v>23</v>
      </c>
      <c r="V1946">
        <v>4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f>SUM(Table1[[#This Row],[Accepted_Campaign_2]]+Table1[[#This Row],[Accepted_Campaign_1]]+Table1[[#This Row],[Accepted_Campaign_5]]+Table1[[#This Row],[Accepted_Campaign_4]]+Table1[[#This Row],[Accepted_Campaign_3]])</f>
        <v>0</v>
      </c>
      <c r="AC1946">
        <v>0</v>
      </c>
      <c r="AD1946">
        <v>0</v>
      </c>
    </row>
    <row r="1947" spans="1:30" x14ac:dyDescent="0.25">
      <c r="A1947">
        <v>41517</v>
      </c>
      <c r="B1947">
        <v>3170</v>
      </c>
      <c r="C1947">
        <v>1957</v>
      </c>
      <c r="D1947" t="s">
        <v>8</v>
      </c>
      <c r="E1947" t="s">
        <v>18</v>
      </c>
      <c r="F1947" t="s">
        <v>12</v>
      </c>
      <c r="G1947">
        <v>68148</v>
      </c>
      <c r="H1947">
        <v>0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f>SUM(Table1[[#This Row],[Gold Spending]]+Table1[[#This Row],[Sweet Spending]]+Table1[[#This Row],[Fish Spending]]+Table1[[#This Row],[Meat Spending]]+Table1[[#This Row],[Fruits Spending]]+Table1[[#This Row],[Wine Spending ]])</f>
        <v>1042</v>
      </c>
      <c r="Q1947">
        <v>1</v>
      </c>
      <c r="R1947">
        <v>4</v>
      </c>
      <c r="S1947">
        <v>4</v>
      </c>
      <c r="T1947">
        <v>6</v>
      </c>
      <c r="U1947">
        <f>SUM(Table1[[#This Row],[Store_Purchases]]+Table1[[#This Row],[Catalog_Purchases]]+Table1[[#This Row],[Web_Purchases]]+Table1[[#This Row],[Deal_Purchases]])</f>
        <v>15</v>
      </c>
      <c r="V1947">
        <v>2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f>SUM(Table1[[#This Row],[Accepted_Campaign_2]]+Table1[[#This Row],[Accepted_Campaign_1]]+Table1[[#This Row],[Accepted_Campaign_5]]+Table1[[#This Row],[Accepted_Campaign_4]]+Table1[[#This Row],[Accepted_Campaign_3]])</f>
        <v>0</v>
      </c>
      <c r="AC1947">
        <v>0</v>
      </c>
      <c r="AD1947">
        <v>0</v>
      </c>
    </row>
    <row r="1948" spans="1:30" x14ac:dyDescent="0.25">
      <c r="A1948">
        <v>41508</v>
      </c>
      <c r="B1948">
        <v>10466</v>
      </c>
      <c r="C1948">
        <v>1965</v>
      </c>
      <c r="D1948" t="s">
        <v>8</v>
      </c>
      <c r="E1948" t="s">
        <v>6</v>
      </c>
      <c r="F1948" t="s">
        <v>11</v>
      </c>
      <c r="G1948">
        <v>44393</v>
      </c>
      <c r="H1948">
        <v>2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f>SUM(Table1[[#This Row],[Gold Spending]]+Table1[[#This Row],[Sweet Spending]]+Table1[[#This Row],[Fish Spending]]+Table1[[#This Row],[Meat Spending]]+Table1[[#This Row],[Fruits Spending]]+Table1[[#This Row],[Wine Spending ]])</f>
        <v>60</v>
      </c>
      <c r="Q1948">
        <v>2</v>
      </c>
      <c r="R1948">
        <v>1</v>
      </c>
      <c r="S1948">
        <v>0</v>
      </c>
      <c r="T1948">
        <v>4</v>
      </c>
      <c r="U1948">
        <f>SUM(Table1[[#This Row],[Store_Purchases]]+Table1[[#This Row],[Catalog_Purchases]]+Table1[[#This Row],[Web_Purchases]]+Table1[[#This Row],[Deal_Purchases]])</f>
        <v>7</v>
      </c>
      <c r="V1948">
        <v>4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f>SUM(Table1[[#This Row],[Accepted_Campaign_2]]+Table1[[#This Row],[Accepted_Campaign_1]]+Table1[[#This Row],[Accepted_Campaign_5]]+Table1[[#This Row],[Accepted_Campaign_4]]+Table1[[#This Row],[Accepted_Campaign_3]])</f>
        <v>0</v>
      </c>
      <c r="AC1948">
        <v>0</v>
      </c>
      <c r="AD1948">
        <v>0</v>
      </c>
    </row>
    <row r="1949" spans="1:30" x14ac:dyDescent="0.25">
      <c r="A1949">
        <v>41454</v>
      </c>
      <c r="B1949">
        <v>7325</v>
      </c>
      <c r="C1949">
        <v>1986</v>
      </c>
      <c r="D1949" t="s">
        <v>8</v>
      </c>
      <c r="E1949" t="s">
        <v>14</v>
      </c>
      <c r="F1949" t="s">
        <v>12</v>
      </c>
      <c r="G1949">
        <v>38197</v>
      </c>
      <c r="H1949">
        <v>1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f>SUM(Table1[[#This Row],[Gold Spending]]+Table1[[#This Row],[Sweet Spending]]+Table1[[#This Row],[Fish Spending]]+Table1[[#This Row],[Meat Spending]]+Table1[[#This Row],[Fruits Spending]]+Table1[[#This Row],[Wine Spending ]])</f>
        <v>40</v>
      </c>
      <c r="Q1949">
        <v>1</v>
      </c>
      <c r="R1949">
        <v>1</v>
      </c>
      <c r="S1949">
        <v>0</v>
      </c>
      <c r="T1949">
        <v>3</v>
      </c>
      <c r="U1949">
        <f>SUM(Table1[[#This Row],[Store_Purchases]]+Table1[[#This Row],[Catalog_Purchases]]+Table1[[#This Row],[Web_Purchases]]+Table1[[#This Row],[Deal_Purchases]])</f>
        <v>5</v>
      </c>
      <c r="V1949">
        <v>5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f>SUM(Table1[[#This Row],[Accepted_Campaign_2]]+Table1[[#This Row],[Accepted_Campaign_1]]+Table1[[#This Row],[Accepted_Campaign_5]]+Table1[[#This Row],[Accepted_Campaign_4]]+Table1[[#This Row],[Accepted_Campaign_3]])</f>
        <v>0</v>
      </c>
      <c r="AC1949">
        <v>0</v>
      </c>
      <c r="AD1949">
        <v>0</v>
      </c>
    </row>
    <row r="1950" spans="1:30" x14ac:dyDescent="0.25">
      <c r="A1950">
        <v>41382</v>
      </c>
      <c r="B1950">
        <v>455</v>
      </c>
      <c r="C1950">
        <v>1946</v>
      </c>
      <c r="D1950" t="s">
        <v>8</v>
      </c>
      <c r="E1950" t="s">
        <v>14</v>
      </c>
      <c r="F1950" t="s">
        <v>11</v>
      </c>
      <c r="G1950">
        <v>51012</v>
      </c>
      <c r="H1950">
        <v>0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f>SUM(Table1[[#This Row],[Gold Spending]]+Table1[[#This Row],[Sweet Spending]]+Table1[[#This Row],[Fish Spending]]+Table1[[#This Row],[Meat Spending]]+Table1[[#This Row],[Fruits Spending]]+Table1[[#This Row],[Wine Spending ]])</f>
        <v>209</v>
      </c>
      <c r="Q1950">
        <v>1</v>
      </c>
      <c r="R1950">
        <v>4</v>
      </c>
      <c r="S1950">
        <v>1</v>
      </c>
      <c r="T1950">
        <v>4</v>
      </c>
      <c r="U1950">
        <f>SUM(Table1[[#This Row],[Store_Purchases]]+Table1[[#This Row],[Catalog_Purchases]]+Table1[[#This Row],[Web_Purchases]]+Table1[[#This Row],[Deal_Purchases]])</f>
        <v>10</v>
      </c>
      <c r="V1950">
        <v>6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f>SUM(Table1[[#This Row],[Accepted_Campaign_2]]+Table1[[#This Row],[Accepted_Campaign_1]]+Table1[[#This Row],[Accepted_Campaign_5]]+Table1[[#This Row],[Accepted_Campaign_4]]+Table1[[#This Row],[Accepted_Campaign_3]])</f>
        <v>0</v>
      </c>
      <c r="AC1950">
        <v>0</v>
      </c>
      <c r="AD1950">
        <v>0</v>
      </c>
    </row>
    <row r="1951" spans="1:30" x14ac:dyDescent="0.25">
      <c r="A1951">
        <v>41382</v>
      </c>
      <c r="B1951">
        <v>7592</v>
      </c>
      <c r="C1951">
        <v>1946</v>
      </c>
      <c r="D1951" t="s">
        <v>8</v>
      </c>
      <c r="E1951" t="s">
        <v>14</v>
      </c>
      <c r="F1951" t="s">
        <v>11</v>
      </c>
      <c r="G1951">
        <v>51012</v>
      </c>
      <c r="H1951">
        <v>0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f>SUM(Table1[[#This Row],[Gold Spending]]+Table1[[#This Row],[Sweet Spending]]+Table1[[#This Row],[Fish Spending]]+Table1[[#This Row],[Meat Spending]]+Table1[[#This Row],[Fruits Spending]]+Table1[[#This Row],[Wine Spending ]])</f>
        <v>209</v>
      </c>
      <c r="Q1951">
        <v>1</v>
      </c>
      <c r="R1951">
        <v>4</v>
      </c>
      <c r="S1951">
        <v>1</v>
      </c>
      <c r="T1951">
        <v>4</v>
      </c>
      <c r="U1951">
        <f>SUM(Table1[[#This Row],[Store_Purchases]]+Table1[[#This Row],[Catalog_Purchases]]+Table1[[#This Row],[Web_Purchases]]+Table1[[#This Row],[Deal_Purchases]])</f>
        <v>10</v>
      </c>
      <c r="V1951">
        <v>6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f>SUM(Table1[[#This Row],[Accepted_Campaign_2]]+Table1[[#This Row],[Accepted_Campaign_1]]+Table1[[#This Row],[Accepted_Campaign_5]]+Table1[[#This Row],[Accepted_Campaign_4]]+Table1[[#This Row],[Accepted_Campaign_3]])</f>
        <v>0</v>
      </c>
      <c r="AC1951">
        <v>0</v>
      </c>
      <c r="AD1951">
        <v>0</v>
      </c>
    </row>
    <row r="1952" spans="1:30" x14ac:dyDescent="0.25">
      <c r="A1952">
        <v>41381</v>
      </c>
      <c r="B1952">
        <v>4547</v>
      </c>
      <c r="C1952">
        <v>1960</v>
      </c>
      <c r="D1952" t="s">
        <v>8</v>
      </c>
      <c r="E1952" t="s">
        <v>6</v>
      </c>
      <c r="F1952" t="s">
        <v>12</v>
      </c>
      <c r="G1952">
        <v>13672</v>
      </c>
      <c r="H1952">
        <v>2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f>SUM(Table1[[#This Row],[Gold Spending]]+Table1[[#This Row],[Sweet Spending]]+Table1[[#This Row],[Fish Spending]]+Table1[[#This Row],[Meat Spending]]+Table1[[#This Row],[Fruits Spending]]+Table1[[#This Row],[Wine Spending ]])</f>
        <v>25</v>
      </c>
      <c r="Q1952">
        <v>2</v>
      </c>
      <c r="R1952">
        <v>1</v>
      </c>
      <c r="S1952">
        <v>0</v>
      </c>
      <c r="T1952">
        <v>3</v>
      </c>
      <c r="U1952">
        <f>SUM(Table1[[#This Row],[Store_Purchases]]+Table1[[#This Row],[Catalog_Purchases]]+Table1[[#This Row],[Web_Purchases]]+Table1[[#This Row],[Deal_Purchases]])</f>
        <v>6</v>
      </c>
      <c r="V1952">
        <v>8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f>SUM(Table1[[#This Row],[Accepted_Campaign_2]]+Table1[[#This Row],[Accepted_Campaign_1]]+Table1[[#This Row],[Accepted_Campaign_5]]+Table1[[#This Row],[Accepted_Campaign_4]]+Table1[[#This Row],[Accepted_Campaign_3]])</f>
        <v>0</v>
      </c>
      <c r="AC1952">
        <v>0</v>
      </c>
      <c r="AD1952">
        <v>0</v>
      </c>
    </row>
    <row r="1953" spans="1:30" x14ac:dyDescent="0.25">
      <c r="A1953">
        <v>41339</v>
      </c>
      <c r="B1953">
        <v>6825</v>
      </c>
      <c r="C1953">
        <v>1953</v>
      </c>
      <c r="D1953" t="s">
        <v>10</v>
      </c>
      <c r="E1953" t="s">
        <v>6</v>
      </c>
      <c r="F1953" t="s">
        <v>12</v>
      </c>
      <c r="G1953">
        <v>41452</v>
      </c>
      <c r="H1953">
        <v>2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f>SUM(Table1[[#This Row],[Gold Spending]]+Table1[[#This Row],[Sweet Spending]]+Table1[[#This Row],[Fish Spending]]+Table1[[#This Row],[Meat Spending]]+Table1[[#This Row],[Fruits Spending]]+Table1[[#This Row],[Wine Spending ]])</f>
        <v>16</v>
      </c>
      <c r="Q1953">
        <v>1</v>
      </c>
      <c r="R1953">
        <v>1</v>
      </c>
      <c r="S1953">
        <v>0</v>
      </c>
      <c r="T1953">
        <v>2</v>
      </c>
      <c r="U1953">
        <f>SUM(Table1[[#This Row],[Store_Purchases]]+Table1[[#This Row],[Catalog_Purchases]]+Table1[[#This Row],[Web_Purchases]]+Table1[[#This Row],[Deal_Purchases]])</f>
        <v>4</v>
      </c>
      <c r="V1953">
        <v>7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f>SUM(Table1[[#This Row],[Accepted_Campaign_2]]+Table1[[#This Row],[Accepted_Campaign_1]]+Table1[[#This Row],[Accepted_Campaign_5]]+Table1[[#This Row],[Accepted_Campaign_4]]+Table1[[#This Row],[Accepted_Campaign_3]])</f>
        <v>0</v>
      </c>
      <c r="AC1953">
        <v>0</v>
      </c>
      <c r="AD1953">
        <v>0</v>
      </c>
    </row>
    <row r="1954" spans="1:30" x14ac:dyDescent="0.25">
      <c r="A1954">
        <v>41331</v>
      </c>
      <c r="B1954">
        <v>2961</v>
      </c>
      <c r="C1954">
        <v>1982</v>
      </c>
      <c r="D1954" t="s">
        <v>8</v>
      </c>
      <c r="E1954" t="s">
        <v>6</v>
      </c>
      <c r="F1954" t="s">
        <v>11</v>
      </c>
      <c r="G1954">
        <v>42081</v>
      </c>
      <c r="H1954">
        <v>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f>SUM(Table1[[#This Row],[Gold Spending]]+Table1[[#This Row],[Sweet Spending]]+Table1[[#This Row],[Fish Spending]]+Table1[[#This Row],[Meat Spending]]+Table1[[#This Row],[Fruits Spending]]+Table1[[#This Row],[Wine Spending ]])</f>
        <v>382</v>
      </c>
      <c r="Q1954">
        <v>2</v>
      </c>
      <c r="R1954">
        <v>6</v>
      </c>
      <c r="S1954">
        <v>3</v>
      </c>
      <c r="T1954">
        <v>4</v>
      </c>
      <c r="U1954">
        <f>SUM(Table1[[#This Row],[Store_Purchases]]+Table1[[#This Row],[Catalog_Purchases]]+Table1[[#This Row],[Web_Purchases]]+Table1[[#This Row],[Deal_Purchases]])</f>
        <v>15</v>
      </c>
      <c r="V1954">
        <v>6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f>SUM(Table1[[#This Row],[Accepted_Campaign_2]]+Table1[[#This Row],[Accepted_Campaign_1]]+Table1[[#This Row],[Accepted_Campaign_5]]+Table1[[#This Row],[Accepted_Campaign_4]]+Table1[[#This Row],[Accepted_Campaign_3]])</f>
        <v>1</v>
      </c>
      <c r="AC1954">
        <v>0</v>
      </c>
      <c r="AD1954">
        <v>0</v>
      </c>
    </row>
    <row r="1955" spans="1:30" x14ac:dyDescent="0.25">
      <c r="A1955">
        <v>41265</v>
      </c>
      <c r="B1955">
        <v>8700</v>
      </c>
      <c r="C1955">
        <v>1986</v>
      </c>
      <c r="D1955" t="s">
        <v>20</v>
      </c>
      <c r="E1955" t="s">
        <v>21</v>
      </c>
      <c r="F1955" t="s">
        <v>9</v>
      </c>
      <c r="G1955">
        <v>14906</v>
      </c>
      <c r="H1955">
        <v>0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f>SUM(Table1[[#This Row],[Gold Spending]]+Table1[[#This Row],[Sweet Spending]]+Table1[[#This Row],[Fish Spending]]+Table1[[#This Row],[Meat Spending]]+Table1[[#This Row],[Fruits Spending]]+Table1[[#This Row],[Wine Spending ]])</f>
        <v>66</v>
      </c>
      <c r="Q1955">
        <v>3</v>
      </c>
      <c r="R1955">
        <v>2</v>
      </c>
      <c r="S1955">
        <v>1</v>
      </c>
      <c r="T1955">
        <v>3</v>
      </c>
      <c r="U1955">
        <f>SUM(Table1[[#This Row],[Store_Purchases]]+Table1[[#This Row],[Catalog_Purchases]]+Table1[[#This Row],[Web_Purchases]]+Table1[[#This Row],[Deal_Purchases]])</f>
        <v>9</v>
      </c>
      <c r="V1955">
        <v>7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f>SUM(Table1[[#This Row],[Accepted_Campaign_2]]+Table1[[#This Row],[Accepted_Campaign_1]]+Table1[[#This Row],[Accepted_Campaign_5]]+Table1[[#This Row],[Accepted_Campaign_4]]+Table1[[#This Row],[Accepted_Campaign_3]])</f>
        <v>0</v>
      </c>
      <c r="AC1955">
        <v>0</v>
      </c>
      <c r="AD1955">
        <v>0</v>
      </c>
    </row>
    <row r="1956" spans="1:30" x14ac:dyDescent="0.25">
      <c r="A1956">
        <v>41216</v>
      </c>
      <c r="B1956">
        <v>2278</v>
      </c>
      <c r="C1956">
        <v>1985</v>
      </c>
      <c r="D1956" t="s">
        <v>63</v>
      </c>
      <c r="E1956" t="s">
        <v>15</v>
      </c>
      <c r="F1956" t="s">
        <v>9</v>
      </c>
      <c r="G1956">
        <v>33812</v>
      </c>
      <c r="H1956">
        <v>1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f>SUM(Table1[[#This Row],[Gold Spending]]+Table1[[#This Row],[Sweet Spending]]+Table1[[#This Row],[Fish Spending]]+Table1[[#This Row],[Meat Spending]]+Table1[[#This Row],[Fruits Spending]]+Table1[[#This Row],[Wine Spending ]])</f>
        <v>133</v>
      </c>
      <c r="Q1956">
        <v>2</v>
      </c>
      <c r="R1956">
        <v>2</v>
      </c>
      <c r="S1956">
        <v>1</v>
      </c>
      <c r="T1956">
        <v>3</v>
      </c>
      <c r="U1956">
        <f>SUM(Table1[[#This Row],[Store_Purchases]]+Table1[[#This Row],[Catalog_Purchases]]+Table1[[#This Row],[Web_Purchases]]+Table1[[#This Row],[Deal_Purchases]])</f>
        <v>8</v>
      </c>
      <c r="V1956">
        <v>6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f>SUM(Table1[[#This Row],[Accepted_Campaign_2]]+Table1[[#This Row],[Accepted_Campaign_1]]+Table1[[#This Row],[Accepted_Campaign_5]]+Table1[[#This Row],[Accepted_Campaign_4]]+Table1[[#This Row],[Accepted_Campaign_3]])</f>
        <v>0</v>
      </c>
      <c r="AC1956">
        <v>0</v>
      </c>
      <c r="AD1956">
        <v>0</v>
      </c>
    </row>
    <row r="1957" spans="1:30" x14ac:dyDescent="0.25">
      <c r="A1957">
        <v>41139</v>
      </c>
      <c r="B1957">
        <v>10703</v>
      </c>
      <c r="C1957">
        <v>1975</v>
      </c>
      <c r="D1957" t="s">
        <v>8</v>
      </c>
      <c r="E1957" t="s">
        <v>18</v>
      </c>
      <c r="F1957" t="s">
        <v>9</v>
      </c>
      <c r="G1957">
        <v>46098</v>
      </c>
      <c r="H1957">
        <v>2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f>SUM(Table1[[#This Row],[Gold Spending]]+Table1[[#This Row],[Sweet Spending]]+Table1[[#This Row],[Fish Spending]]+Table1[[#This Row],[Meat Spending]]+Table1[[#This Row],[Fruits Spending]]+Table1[[#This Row],[Wine Spending ]])</f>
        <v>120</v>
      </c>
      <c r="Q1957">
        <v>4</v>
      </c>
      <c r="R1957">
        <v>3</v>
      </c>
      <c r="S1957">
        <v>2</v>
      </c>
      <c r="T1957">
        <v>2</v>
      </c>
      <c r="U1957">
        <f>SUM(Table1[[#This Row],[Store_Purchases]]+Table1[[#This Row],[Catalog_Purchases]]+Table1[[#This Row],[Web_Purchases]]+Table1[[#This Row],[Deal_Purchases]])</f>
        <v>11</v>
      </c>
      <c r="V1957">
        <v>8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f>SUM(Table1[[#This Row],[Accepted_Campaign_2]]+Table1[[#This Row],[Accepted_Campaign_1]]+Table1[[#This Row],[Accepted_Campaign_5]]+Table1[[#This Row],[Accepted_Campaign_4]]+Table1[[#This Row],[Accepted_Campaign_3]])</f>
        <v>0</v>
      </c>
      <c r="AC1957">
        <v>0</v>
      </c>
      <c r="AD1957">
        <v>0</v>
      </c>
    </row>
    <row r="1958" spans="1:30" x14ac:dyDescent="0.25">
      <c r="A1958">
        <v>41139</v>
      </c>
      <c r="B1958">
        <v>9</v>
      </c>
      <c r="C1958">
        <v>1975</v>
      </c>
      <c r="D1958" t="s">
        <v>10</v>
      </c>
      <c r="E1958" t="s">
        <v>18</v>
      </c>
      <c r="F1958" t="s">
        <v>9</v>
      </c>
      <c r="G1958">
        <v>46098</v>
      </c>
      <c r="H1958">
        <v>2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f>SUM(Table1[[#This Row],[Gold Spending]]+Table1[[#This Row],[Sweet Spending]]+Table1[[#This Row],[Fish Spending]]+Table1[[#This Row],[Meat Spending]]+Table1[[#This Row],[Fruits Spending]]+Table1[[#This Row],[Wine Spending ]])</f>
        <v>120</v>
      </c>
      <c r="Q1958">
        <v>4</v>
      </c>
      <c r="R1958">
        <v>3</v>
      </c>
      <c r="S1958">
        <v>2</v>
      </c>
      <c r="T1958">
        <v>2</v>
      </c>
      <c r="U1958">
        <f>SUM(Table1[[#This Row],[Store_Purchases]]+Table1[[#This Row],[Catalog_Purchases]]+Table1[[#This Row],[Web_Purchases]]+Table1[[#This Row],[Deal_Purchases]])</f>
        <v>11</v>
      </c>
      <c r="V1958">
        <v>8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f>SUM(Table1[[#This Row],[Accepted_Campaign_2]]+Table1[[#This Row],[Accepted_Campaign_1]]+Table1[[#This Row],[Accepted_Campaign_5]]+Table1[[#This Row],[Accepted_Campaign_4]]+Table1[[#This Row],[Accepted_Campaign_3]])</f>
        <v>0</v>
      </c>
      <c r="AC1958">
        <v>0</v>
      </c>
      <c r="AD1958">
        <v>0</v>
      </c>
    </row>
    <row r="1959" spans="1:30" x14ac:dyDescent="0.25">
      <c r="A1959">
        <v>41139</v>
      </c>
      <c r="B1959">
        <v>2804</v>
      </c>
      <c r="C1959">
        <v>1975</v>
      </c>
      <c r="D1959" t="s">
        <v>17</v>
      </c>
      <c r="E1959" t="s">
        <v>18</v>
      </c>
      <c r="F1959" t="s">
        <v>9</v>
      </c>
      <c r="G1959">
        <v>46098</v>
      </c>
      <c r="H1959">
        <v>2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f>SUM(Table1[[#This Row],[Gold Spending]]+Table1[[#This Row],[Sweet Spending]]+Table1[[#This Row],[Fish Spending]]+Table1[[#This Row],[Meat Spending]]+Table1[[#This Row],[Fruits Spending]]+Table1[[#This Row],[Wine Spending ]])</f>
        <v>120</v>
      </c>
      <c r="Q1959">
        <v>4</v>
      </c>
      <c r="R1959">
        <v>3</v>
      </c>
      <c r="S1959">
        <v>2</v>
      </c>
      <c r="T1959">
        <v>2</v>
      </c>
      <c r="U1959">
        <f>SUM(Table1[[#This Row],[Store_Purchases]]+Table1[[#This Row],[Catalog_Purchases]]+Table1[[#This Row],[Web_Purchases]]+Table1[[#This Row],[Deal_Purchases]])</f>
        <v>11</v>
      </c>
      <c r="V1959">
        <v>8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f>SUM(Table1[[#This Row],[Accepted_Campaign_2]]+Table1[[#This Row],[Accepted_Campaign_1]]+Table1[[#This Row],[Accepted_Campaign_5]]+Table1[[#This Row],[Accepted_Campaign_4]]+Table1[[#This Row],[Accepted_Campaign_3]])</f>
        <v>0</v>
      </c>
      <c r="AC1959">
        <v>1</v>
      </c>
      <c r="AD1959">
        <v>0</v>
      </c>
    </row>
    <row r="1960" spans="1:30" x14ac:dyDescent="0.25">
      <c r="A1960">
        <v>41124</v>
      </c>
      <c r="B1960">
        <v>4915</v>
      </c>
      <c r="C1960">
        <v>1956</v>
      </c>
      <c r="D1960" t="s">
        <v>16</v>
      </c>
      <c r="E1960" t="s">
        <v>15</v>
      </c>
      <c r="F1960" t="s">
        <v>11</v>
      </c>
      <c r="G1960">
        <v>53230</v>
      </c>
      <c r="H1960">
        <v>1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f>SUM(Table1[[#This Row],[Gold Spending]]+Table1[[#This Row],[Sweet Spending]]+Table1[[#This Row],[Fish Spending]]+Table1[[#This Row],[Meat Spending]]+Table1[[#This Row],[Fruits Spending]]+Table1[[#This Row],[Wine Spending ]])</f>
        <v>732</v>
      </c>
      <c r="Q1960">
        <v>4</v>
      </c>
      <c r="R1960">
        <v>5</v>
      </c>
      <c r="S1960">
        <v>2</v>
      </c>
      <c r="T1960">
        <v>12</v>
      </c>
      <c r="U1960">
        <f>SUM(Table1[[#This Row],[Store_Purchases]]+Table1[[#This Row],[Catalog_Purchases]]+Table1[[#This Row],[Web_Purchases]]+Table1[[#This Row],[Deal_Purchases]])</f>
        <v>23</v>
      </c>
      <c r="V1960">
        <v>5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f>SUM(Table1[[#This Row],[Accepted_Campaign_2]]+Table1[[#This Row],[Accepted_Campaign_1]]+Table1[[#This Row],[Accepted_Campaign_5]]+Table1[[#This Row],[Accepted_Campaign_4]]+Table1[[#This Row],[Accepted_Campaign_3]])</f>
        <v>0</v>
      </c>
      <c r="AC1960">
        <v>0</v>
      </c>
      <c r="AD1960">
        <v>0</v>
      </c>
    </row>
    <row r="1961" spans="1:30" x14ac:dyDescent="0.25">
      <c r="A1961">
        <v>41761</v>
      </c>
      <c r="B1961">
        <v>3010</v>
      </c>
      <c r="C1961">
        <v>1989</v>
      </c>
      <c r="D1961" t="s">
        <v>8</v>
      </c>
      <c r="E1961" t="s">
        <v>18</v>
      </c>
      <c r="F1961" t="s">
        <v>12</v>
      </c>
      <c r="G1961">
        <v>88420</v>
      </c>
      <c r="H1961">
        <v>0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f>SUM(Table1[[#This Row],[Gold Spending]]+Table1[[#This Row],[Sweet Spending]]+Table1[[#This Row],[Fish Spending]]+Table1[[#This Row],[Meat Spending]]+Table1[[#This Row],[Fruits Spending]]+Table1[[#This Row],[Wine Spending ]])</f>
        <v>2069</v>
      </c>
      <c r="Q1961">
        <v>1</v>
      </c>
      <c r="R1961">
        <v>4</v>
      </c>
      <c r="S1961">
        <v>7</v>
      </c>
      <c r="T1961">
        <v>8</v>
      </c>
      <c r="U1961">
        <f>SUM(Table1[[#This Row],[Store_Purchases]]+Table1[[#This Row],[Catalog_Purchases]]+Table1[[#This Row],[Web_Purchases]]+Table1[[#This Row],[Deal_Purchases]])</f>
        <v>20</v>
      </c>
      <c r="V1961">
        <v>1</v>
      </c>
      <c r="W1961">
        <v>1</v>
      </c>
      <c r="X1961">
        <v>0</v>
      </c>
      <c r="Y1961">
        <v>1</v>
      </c>
      <c r="Z1961">
        <v>1</v>
      </c>
      <c r="AA1961">
        <v>0</v>
      </c>
      <c r="AB1961">
        <f>SUM(Table1[[#This Row],[Accepted_Campaign_2]]+Table1[[#This Row],[Accepted_Campaign_1]]+Table1[[#This Row],[Accepted_Campaign_5]]+Table1[[#This Row],[Accepted_Campaign_4]]+Table1[[#This Row],[Accepted_Campaign_3]])</f>
        <v>3</v>
      </c>
      <c r="AC1961">
        <v>0</v>
      </c>
      <c r="AD1961">
        <v>0</v>
      </c>
    </row>
    <row r="1962" spans="1:30" x14ac:dyDescent="0.25">
      <c r="A1962">
        <v>41729</v>
      </c>
      <c r="B1962">
        <v>4279</v>
      </c>
      <c r="C1962">
        <v>1963</v>
      </c>
      <c r="D1962" t="s">
        <v>8</v>
      </c>
      <c r="E1962" t="s">
        <v>15</v>
      </c>
      <c r="F1962" t="s">
        <v>9</v>
      </c>
      <c r="G1962">
        <v>39548</v>
      </c>
      <c r="H1962">
        <v>2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f>SUM(Table1[[#This Row],[Gold Spending]]+Table1[[#This Row],[Sweet Spending]]+Table1[[#This Row],[Fish Spending]]+Table1[[#This Row],[Meat Spending]]+Table1[[#This Row],[Fruits Spending]]+Table1[[#This Row],[Wine Spending ]])</f>
        <v>54</v>
      </c>
      <c r="Q1962">
        <v>2</v>
      </c>
      <c r="R1962">
        <v>1</v>
      </c>
      <c r="S1962">
        <v>1</v>
      </c>
      <c r="T1962">
        <v>3</v>
      </c>
      <c r="U1962">
        <f>SUM(Table1[[#This Row],[Store_Purchases]]+Table1[[#This Row],[Catalog_Purchases]]+Table1[[#This Row],[Web_Purchases]]+Table1[[#This Row],[Deal_Purchases]])</f>
        <v>7</v>
      </c>
      <c r="V1962">
        <v>3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f>SUM(Table1[[#This Row],[Accepted_Campaign_2]]+Table1[[#This Row],[Accepted_Campaign_1]]+Table1[[#This Row],[Accepted_Campaign_5]]+Table1[[#This Row],[Accepted_Campaign_4]]+Table1[[#This Row],[Accepted_Campaign_3]])</f>
        <v>0</v>
      </c>
      <c r="AC1962">
        <v>0</v>
      </c>
      <c r="AD1962">
        <v>0</v>
      </c>
    </row>
    <row r="1963" spans="1:30" x14ac:dyDescent="0.25">
      <c r="A1963">
        <v>41643</v>
      </c>
      <c r="B1963">
        <v>2564</v>
      </c>
      <c r="C1963">
        <v>1953</v>
      </c>
      <c r="D1963" t="s">
        <v>8</v>
      </c>
      <c r="E1963" t="s">
        <v>6</v>
      </c>
      <c r="F1963" t="s">
        <v>12</v>
      </c>
      <c r="G1963">
        <v>61278</v>
      </c>
      <c r="H1963">
        <v>1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f>SUM(Table1[[#This Row],[Gold Spending]]+Table1[[#This Row],[Sweet Spending]]+Table1[[#This Row],[Fish Spending]]+Table1[[#This Row],[Meat Spending]]+Table1[[#This Row],[Fruits Spending]]+Table1[[#This Row],[Wine Spending ]])</f>
        <v>165</v>
      </c>
      <c r="Q1963">
        <v>2</v>
      </c>
      <c r="R1963">
        <v>3</v>
      </c>
      <c r="S1963">
        <v>1</v>
      </c>
      <c r="T1963">
        <v>4</v>
      </c>
      <c r="U1963">
        <f>SUM(Table1[[#This Row],[Store_Purchases]]+Table1[[#This Row],[Catalog_Purchases]]+Table1[[#This Row],[Web_Purchases]]+Table1[[#This Row],[Deal_Purchases]])</f>
        <v>10</v>
      </c>
      <c r="V1963">
        <v>6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f>SUM(Table1[[#This Row],[Accepted_Campaign_2]]+Table1[[#This Row],[Accepted_Campaign_1]]+Table1[[#This Row],[Accepted_Campaign_5]]+Table1[[#This Row],[Accepted_Campaign_4]]+Table1[[#This Row],[Accepted_Campaign_3]])</f>
        <v>0</v>
      </c>
      <c r="AC1963">
        <v>0</v>
      </c>
      <c r="AD1963">
        <v>0</v>
      </c>
    </row>
    <row r="1964" spans="1:30" x14ac:dyDescent="0.25">
      <c r="A1964">
        <v>41637</v>
      </c>
      <c r="B1964">
        <v>1137</v>
      </c>
      <c r="C1964">
        <v>1964</v>
      </c>
      <c r="D1964" t="s">
        <v>8</v>
      </c>
      <c r="E1964" t="s">
        <v>6</v>
      </c>
      <c r="F1964" t="s">
        <v>9</v>
      </c>
      <c r="G1964">
        <v>81246</v>
      </c>
      <c r="H1964">
        <v>0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f>SUM(Table1[[#This Row],[Gold Spending]]+Table1[[#This Row],[Sweet Spending]]+Table1[[#This Row],[Fish Spending]]+Table1[[#This Row],[Meat Spending]]+Table1[[#This Row],[Fruits Spending]]+Table1[[#This Row],[Wine Spending ]])</f>
        <v>1379</v>
      </c>
      <c r="Q1964">
        <v>1</v>
      </c>
      <c r="R1964">
        <v>4</v>
      </c>
      <c r="S1964">
        <v>5</v>
      </c>
      <c r="T1964">
        <v>7</v>
      </c>
      <c r="U1964">
        <f>SUM(Table1[[#This Row],[Store_Purchases]]+Table1[[#This Row],[Catalog_Purchases]]+Table1[[#This Row],[Web_Purchases]]+Table1[[#This Row],[Deal_Purchases]])</f>
        <v>17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f>SUM(Table1[[#This Row],[Accepted_Campaign_2]]+Table1[[#This Row],[Accepted_Campaign_1]]+Table1[[#This Row],[Accepted_Campaign_5]]+Table1[[#This Row],[Accepted_Campaign_4]]+Table1[[#This Row],[Accepted_Campaign_3]])</f>
        <v>2</v>
      </c>
      <c r="AC1964">
        <v>0</v>
      </c>
      <c r="AD1964">
        <v>0</v>
      </c>
    </row>
    <row r="1965" spans="1:30" x14ac:dyDescent="0.25">
      <c r="A1965">
        <v>41633</v>
      </c>
      <c r="B1965">
        <v>5084</v>
      </c>
      <c r="C1965">
        <v>1975</v>
      </c>
      <c r="D1965" t="s">
        <v>8</v>
      </c>
      <c r="E1965" t="s">
        <v>6</v>
      </c>
      <c r="F1965" t="s">
        <v>19</v>
      </c>
      <c r="G1965">
        <v>58330</v>
      </c>
      <c r="H1965">
        <v>1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f>SUM(Table1[[#This Row],[Gold Spending]]+Table1[[#This Row],[Sweet Spending]]+Table1[[#This Row],[Fish Spending]]+Table1[[#This Row],[Meat Spending]]+Table1[[#This Row],[Fruits Spending]]+Table1[[#This Row],[Wine Spending ]])</f>
        <v>1064</v>
      </c>
      <c r="Q1965">
        <v>1</v>
      </c>
      <c r="R1965">
        <v>6</v>
      </c>
      <c r="S1965">
        <v>4</v>
      </c>
      <c r="T1965">
        <v>13</v>
      </c>
      <c r="U1965">
        <f>SUM(Table1[[#This Row],[Store_Purchases]]+Table1[[#This Row],[Catalog_Purchases]]+Table1[[#This Row],[Web_Purchases]]+Table1[[#This Row],[Deal_Purchases]])</f>
        <v>24</v>
      </c>
      <c r="V1965">
        <v>4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f>SUM(Table1[[#This Row],[Accepted_Campaign_2]]+Table1[[#This Row],[Accepted_Campaign_1]]+Table1[[#This Row],[Accepted_Campaign_5]]+Table1[[#This Row],[Accepted_Campaign_4]]+Table1[[#This Row],[Accepted_Campaign_3]])</f>
        <v>0</v>
      </c>
      <c r="AC1965">
        <v>0</v>
      </c>
      <c r="AD1965">
        <v>0</v>
      </c>
    </row>
    <row r="1966" spans="1:30" x14ac:dyDescent="0.25">
      <c r="A1966">
        <v>41633</v>
      </c>
      <c r="B1966">
        <v>7094</v>
      </c>
      <c r="C1966">
        <v>1975</v>
      </c>
      <c r="D1966" t="s">
        <v>16</v>
      </c>
      <c r="E1966" t="s">
        <v>6</v>
      </c>
      <c r="F1966" t="s">
        <v>19</v>
      </c>
      <c r="G1966">
        <v>58330</v>
      </c>
      <c r="H1966">
        <v>1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f>SUM(Table1[[#This Row],[Gold Spending]]+Table1[[#This Row],[Sweet Spending]]+Table1[[#This Row],[Fish Spending]]+Table1[[#This Row],[Meat Spending]]+Table1[[#This Row],[Fruits Spending]]+Table1[[#This Row],[Wine Spending ]])</f>
        <v>1064</v>
      </c>
      <c r="Q1966">
        <v>1</v>
      </c>
      <c r="R1966">
        <v>6</v>
      </c>
      <c r="S1966">
        <v>4</v>
      </c>
      <c r="T1966">
        <v>13</v>
      </c>
      <c r="U1966">
        <f>SUM(Table1[[#This Row],[Store_Purchases]]+Table1[[#This Row],[Catalog_Purchases]]+Table1[[#This Row],[Web_Purchases]]+Table1[[#This Row],[Deal_Purchases]])</f>
        <v>24</v>
      </c>
      <c r="V1966">
        <v>4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f>SUM(Table1[[#This Row],[Accepted_Campaign_2]]+Table1[[#This Row],[Accepted_Campaign_1]]+Table1[[#This Row],[Accepted_Campaign_5]]+Table1[[#This Row],[Accepted_Campaign_4]]+Table1[[#This Row],[Accepted_Campaign_3]])</f>
        <v>0</v>
      </c>
      <c r="AC1966">
        <v>0</v>
      </c>
      <c r="AD1966">
        <v>0</v>
      </c>
    </row>
    <row r="1967" spans="1:30" x14ac:dyDescent="0.25">
      <c r="A1967">
        <v>41627</v>
      </c>
      <c r="B1967">
        <v>6327</v>
      </c>
      <c r="C1967">
        <v>1967</v>
      </c>
      <c r="D1967" t="s">
        <v>63</v>
      </c>
      <c r="E1967" t="s">
        <v>6</v>
      </c>
      <c r="F1967" t="s">
        <v>12</v>
      </c>
      <c r="G1967">
        <v>65777</v>
      </c>
      <c r="H1967">
        <v>0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f>SUM(Table1[[#This Row],[Gold Spending]]+Table1[[#This Row],[Sweet Spending]]+Table1[[#This Row],[Fish Spending]]+Table1[[#This Row],[Meat Spending]]+Table1[[#This Row],[Fruits Spending]]+Table1[[#This Row],[Wine Spending ]])</f>
        <v>1146</v>
      </c>
      <c r="Q1967">
        <v>1</v>
      </c>
      <c r="R1967">
        <v>2</v>
      </c>
      <c r="S1967">
        <v>8</v>
      </c>
      <c r="T1967">
        <v>6</v>
      </c>
      <c r="U1967">
        <f>SUM(Table1[[#This Row],[Store_Purchases]]+Table1[[#This Row],[Catalog_Purchases]]+Table1[[#This Row],[Web_Purchases]]+Table1[[#This Row],[Deal_Purchases]])</f>
        <v>17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f>SUM(Table1[[#This Row],[Accepted_Campaign_2]]+Table1[[#This Row],[Accepted_Campaign_1]]+Table1[[#This Row],[Accepted_Campaign_5]]+Table1[[#This Row],[Accepted_Campaign_4]]+Table1[[#This Row],[Accepted_Campaign_3]])</f>
        <v>0</v>
      </c>
      <c r="AC1967">
        <v>0</v>
      </c>
      <c r="AD1967">
        <v>0</v>
      </c>
    </row>
    <row r="1968" spans="1:30" x14ac:dyDescent="0.25">
      <c r="A1968">
        <v>41609</v>
      </c>
      <c r="B1968">
        <v>6131</v>
      </c>
      <c r="C1968">
        <v>1980</v>
      </c>
      <c r="D1968" t="s">
        <v>8</v>
      </c>
      <c r="E1968" t="s">
        <v>15</v>
      </c>
      <c r="F1968" t="s">
        <v>11</v>
      </c>
      <c r="G1968">
        <v>70829</v>
      </c>
      <c r="H1968">
        <v>2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f>SUM(Table1[[#This Row],[Gold Spending]]+Table1[[#This Row],[Sweet Spending]]+Table1[[#This Row],[Fish Spending]]+Table1[[#This Row],[Meat Spending]]+Table1[[#This Row],[Fruits Spending]]+Table1[[#This Row],[Wine Spending ]])</f>
        <v>431</v>
      </c>
      <c r="Q1968">
        <v>2</v>
      </c>
      <c r="R1968">
        <v>4</v>
      </c>
      <c r="S1968">
        <v>2</v>
      </c>
      <c r="T1968">
        <v>8</v>
      </c>
      <c r="U1968">
        <f>SUM(Table1[[#This Row],[Store_Purchases]]+Table1[[#This Row],[Catalog_Purchases]]+Table1[[#This Row],[Web_Purchases]]+Table1[[#This Row],[Deal_Purchases]])</f>
        <v>16</v>
      </c>
      <c r="V1968">
        <v>3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f>SUM(Table1[[#This Row],[Accepted_Campaign_2]]+Table1[[#This Row],[Accepted_Campaign_1]]+Table1[[#This Row],[Accepted_Campaign_5]]+Table1[[#This Row],[Accepted_Campaign_4]]+Table1[[#This Row],[Accepted_Campaign_3]])</f>
        <v>0</v>
      </c>
      <c r="AC1968">
        <v>0</v>
      </c>
      <c r="AD1968">
        <v>0</v>
      </c>
    </row>
    <row r="1969" spans="1:30" x14ac:dyDescent="0.25">
      <c r="A1969">
        <v>41601</v>
      </c>
      <c r="B1969">
        <v>5798</v>
      </c>
      <c r="C1969">
        <v>1973</v>
      </c>
      <c r="D1969" t="s">
        <v>16</v>
      </c>
      <c r="E1969" t="s">
        <v>18</v>
      </c>
      <c r="F1969" t="s">
        <v>12</v>
      </c>
      <c r="G1969">
        <v>53790.45</v>
      </c>
      <c r="H1969">
        <v>0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f>SUM(Table1[[#This Row],[Gold Spending]]+Table1[[#This Row],[Sweet Spending]]+Table1[[#This Row],[Fish Spending]]+Table1[[#This Row],[Meat Spending]]+Table1[[#This Row],[Fruits Spending]]+Table1[[#This Row],[Wine Spending ]])</f>
        <v>985</v>
      </c>
      <c r="Q1969">
        <v>1</v>
      </c>
      <c r="R1969">
        <v>2</v>
      </c>
      <c r="S1969">
        <v>4</v>
      </c>
      <c r="T1969">
        <v>8</v>
      </c>
      <c r="U1969">
        <f>SUM(Table1[[#This Row],[Store_Purchases]]+Table1[[#This Row],[Catalog_Purchases]]+Table1[[#This Row],[Web_Purchases]]+Table1[[#This Row],[Deal_Purchases]])</f>
        <v>15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f>SUM(Table1[[#This Row],[Accepted_Campaign_2]]+Table1[[#This Row],[Accepted_Campaign_1]]+Table1[[#This Row],[Accepted_Campaign_5]]+Table1[[#This Row],[Accepted_Campaign_4]]+Table1[[#This Row],[Accepted_Campaign_3]])</f>
        <v>0</v>
      </c>
      <c r="AC1969">
        <v>0</v>
      </c>
      <c r="AD1969">
        <v>0</v>
      </c>
    </row>
    <row r="1970" spans="1:30" x14ac:dyDescent="0.25">
      <c r="A1970">
        <v>41586</v>
      </c>
      <c r="B1970">
        <v>10379</v>
      </c>
      <c r="C1970">
        <v>1962</v>
      </c>
      <c r="D1970" t="s">
        <v>8</v>
      </c>
      <c r="E1970" t="s">
        <v>18</v>
      </c>
      <c r="F1970" t="s">
        <v>9</v>
      </c>
      <c r="G1970">
        <v>59247</v>
      </c>
      <c r="H1970">
        <v>2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f>SUM(Table1[[#This Row],[Gold Spending]]+Table1[[#This Row],[Sweet Spending]]+Table1[[#This Row],[Fish Spending]]+Table1[[#This Row],[Meat Spending]]+Table1[[#This Row],[Fruits Spending]]+Table1[[#This Row],[Wine Spending ]])</f>
        <v>574</v>
      </c>
      <c r="Q1970">
        <v>5</v>
      </c>
      <c r="R1970">
        <v>5</v>
      </c>
      <c r="S1970">
        <v>2</v>
      </c>
      <c r="T1970">
        <v>9</v>
      </c>
      <c r="U1970">
        <f>SUM(Table1[[#This Row],[Store_Purchases]]+Table1[[#This Row],[Catalog_Purchases]]+Table1[[#This Row],[Web_Purchases]]+Table1[[#This Row],[Deal_Purchases]])</f>
        <v>21</v>
      </c>
      <c r="V1970">
        <v>6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f>SUM(Table1[[#This Row],[Accepted_Campaign_2]]+Table1[[#This Row],[Accepted_Campaign_1]]+Table1[[#This Row],[Accepted_Campaign_5]]+Table1[[#This Row],[Accepted_Campaign_4]]+Table1[[#This Row],[Accepted_Campaign_3]])</f>
        <v>0</v>
      </c>
      <c r="AC1970">
        <v>0</v>
      </c>
      <c r="AD1970">
        <v>0</v>
      </c>
    </row>
    <row r="1971" spans="1:30" x14ac:dyDescent="0.25">
      <c r="A1971">
        <v>41557</v>
      </c>
      <c r="B1971">
        <v>606</v>
      </c>
      <c r="C1971">
        <v>1967</v>
      </c>
      <c r="D1971" t="s">
        <v>8</v>
      </c>
      <c r="E1971" t="s">
        <v>6</v>
      </c>
      <c r="F1971" t="s">
        <v>9</v>
      </c>
      <c r="G1971">
        <v>25930</v>
      </c>
      <c r="H1971">
        <v>2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f>SUM(Table1[[#This Row],[Gold Spending]]+Table1[[#This Row],[Sweet Spending]]+Table1[[#This Row],[Fish Spending]]+Table1[[#This Row],[Meat Spending]]+Table1[[#This Row],[Fruits Spending]]+Table1[[#This Row],[Wine Spending ]])</f>
        <v>15</v>
      </c>
      <c r="Q1971">
        <v>1</v>
      </c>
      <c r="R1971">
        <v>1</v>
      </c>
      <c r="S1971">
        <v>0</v>
      </c>
      <c r="T1971">
        <v>2</v>
      </c>
      <c r="U1971">
        <f>SUM(Table1[[#This Row],[Store_Purchases]]+Table1[[#This Row],[Catalog_Purchases]]+Table1[[#This Row],[Web_Purchases]]+Table1[[#This Row],[Deal_Purchases]])</f>
        <v>4</v>
      </c>
      <c r="V1971">
        <v>7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f>SUM(Table1[[#This Row],[Accepted_Campaign_2]]+Table1[[#This Row],[Accepted_Campaign_1]]+Table1[[#This Row],[Accepted_Campaign_5]]+Table1[[#This Row],[Accepted_Campaign_4]]+Table1[[#This Row],[Accepted_Campaign_3]])</f>
        <v>0</v>
      </c>
      <c r="AC1971">
        <v>0</v>
      </c>
      <c r="AD1971">
        <v>0</v>
      </c>
    </row>
    <row r="1972" spans="1:30" x14ac:dyDescent="0.25">
      <c r="A1972">
        <v>41529</v>
      </c>
      <c r="B1972">
        <v>7801</v>
      </c>
      <c r="C1972">
        <v>1959</v>
      </c>
      <c r="D1972" t="s">
        <v>20</v>
      </c>
      <c r="E1972" t="s">
        <v>6</v>
      </c>
      <c r="F1972" t="s">
        <v>12</v>
      </c>
      <c r="G1972">
        <v>54753</v>
      </c>
      <c r="H1972">
        <v>1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f>SUM(Table1[[#This Row],[Gold Spending]]+Table1[[#This Row],[Sweet Spending]]+Table1[[#This Row],[Fish Spending]]+Table1[[#This Row],[Meat Spending]]+Table1[[#This Row],[Fruits Spending]]+Table1[[#This Row],[Wine Spending ]])</f>
        <v>728</v>
      </c>
      <c r="Q1972">
        <v>3</v>
      </c>
      <c r="R1972">
        <v>5</v>
      </c>
      <c r="S1972">
        <v>2</v>
      </c>
      <c r="T1972">
        <v>11</v>
      </c>
      <c r="U1972">
        <f>SUM(Table1[[#This Row],[Store_Purchases]]+Table1[[#This Row],[Catalog_Purchases]]+Table1[[#This Row],[Web_Purchases]]+Table1[[#This Row],[Deal_Purchases]])</f>
        <v>21</v>
      </c>
      <c r="V1972">
        <v>4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f>SUM(Table1[[#This Row],[Accepted_Campaign_2]]+Table1[[#This Row],[Accepted_Campaign_1]]+Table1[[#This Row],[Accepted_Campaign_5]]+Table1[[#This Row],[Accepted_Campaign_4]]+Table1[[#This Row],[Accepted_Campaign_3]])</f>
        <v>0</v>
      </c>
      <c r="AC1972">
        <v>0</v>
      </c>
      <c r="AD1972">
        <v>0</v>
      </c>
    </row>
    <row r="1973" spans="1:30" x14ac:dyDescent="0.25">
      <c r="A1973">
        <v>41462</v>
      </c>
      <c r="B1973">
        <v>2445</v>
      </c>
      <c r="C1973">
        <v>1974</v>
      </c>
      <c r="D1973" t="s">
        <v>8</v>
      </c>
      <c r="E1973" t="s">
        <v>14</v>
      </c>
      <c r="F1973" t="s">
        <v>12</v>
      </c>
      <c r="G1973">
        <v>28440</v>
      </c>
      <c r="H1973">
        <v>1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f>SUM(Table1[[#This Row],[Gold Spending]]+Table1[[#This Row],[Sweet Spending]]+Table1[[#This Row],[Fish Spending]]+Table1[[#This Row],[Meat Spending]]+Table1[[#This Row],[Fruits Spending]]+Table1[[#This Row],[Wine Spending ]])</f>
        <v>63</v>
      </c>
      <c r="Q1973">
        <v>1</v>
      </c>
      <c r="R1973">
        <v>2</v>
      </c>
      <c r="S1973">
        <v>0</v>
      </c>
      <c r="T1973">
        <v>3</v>
      </c>
      <c r="U1973">
        <f>SUM(Table1[[#This Row],[Store_Purchases]]+Table1[[#This Row],[Catalog_Purchases]]+Table1[[#This Row],[Web_Purchases]]+Table1[[#This Row],[Deal_Purchases]])</f>
        <v>6</v>
      </c>
      <c r="V1973">
        <v>8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f>SUM(Table1[[#This Row],[Accepted_Campaign_2]]+Table1[[#This Row],[Accepted_Campaign_1]]+Table1[[#This Row],[Accepted_Campaign_5]]+Table1[[#This Row],[Accepted_Campaign_4]]+Table1[[#This Row],[Accepted_Campaign_3]])</f>
        <v>0</v>
      </c>
      <c r="AC1973">
        <v>0</v>
      </c>
      <c r="AD1973">
        <v>0</v>
      </c>
    </row>
    <row r="1974" spans="1:30" x14ac:dyDescent="0.25">
      <c r="A1974">
        <v>41458</v>
      </c>
      <c r="B1974">
        <v>5346</v>
      </c>
      <c r="C1974">
        <v>1973</v>
      </c>
      <c r="D1974" t="s">
        <v>16</v>
      </c>
      <c r="E1974" t="s">
        <v>15</v>
      </c>
      <c r="F1974" t="s">
        <v>11</v>
      </c>
      <c r="G1974">
        <v>23559</v>
      </c>
      <c r="H1974">
        <v>1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f>SUM(Table1[[#This Row],[Gold Spending]]+Table1[[#This Row],[Sweet Spending]]+Table1[[#This Row],[Fish Spending]]+Table1[[#This Row],[Meat Spending]]+Table1[[#This Row],[Fruits Spending]]+Table1[[#This Row],[Wine Spending ]])</f>
        <v>79</v>
      </c>
      <c r="Q1974">
        <v>3</v>
      </c>
      <c r="R1974">
        <v>3</v>
      </c>
      <c r="S1974">
        <v>0</v>
      </c>
      <c r="T1974">
        <v>3</v>
      </c>
      <c r="U1974">
        <f>SUM(Table1[[#This Row],[Store_Purchases]]+Table1[[#This Row],[Catalog_Purchases]]+Table1[[#This Row],[Web_Purchases]]+Table1[[#This Row],[Deal_Purchases]])</f>
        <v>9</v>
      </c>
      <c r="V1974">
        <v>7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f>SUM(Table1[[#This Row],[Accepted_Campaign_2]]+Table1[[#This Row],[Accepted_Campaign_1]]+Table1[[#This Row],[Accepted_Campaign_5]]+Table1[[#This Row],[Accepted_Campaign_4]]+Table1[[#This Row],[Accepted_Campaign_3]])</f>
        <v>0</v>
      </c>
      <c r="AC1974">
        <v>0</v>
      </c>
      <c r="AD1974">
        <v>0</v>
      </c>
    </row>
    <row r="1975" spans="1:30" x14ac:dyDescent="0.25">
      <c r="A1975">
        <v>41417</v>
      </c>
      <c r="B1975">
        <v>550</v>
      </c>
      <c r="C1975">
        <v>1952</v>
      </c>
      <c r="D1975" t="s">
        <v>8</v>
      </c>
      <c r="E1975" t="s">
        <v>6</v>
      </c>
      <c r="F1975" t="s">
        <v>7</v>
      </c>
      <c r="G1975">
        <v>62335</v>
      </c>
      <c r="H1975">
        <v>1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f>SUM(Table1[[#This Row],[Gold Spending]]+Table1[[#This Row],[Sweet Spending]]+Table1[[#This Row],[Fish Spending]]+Table1[[#This Row],[Meat Spending]]+Table1[[#This Row],[Fruits Spending]]+Table1[[#This Row],[Wine Spending ]])</f>
        <v>708</v>
      </c>
      <c r="Q1975">
        <v>2</v>
      </c>
      <c r="R1975">
        <v>3</v>
      </c>
      <c r="S1975">
        <v>3</v>
      </c>
      <c r="T1975">
        <v>13</v>
      </c>
      <c r="U1975">
        <f>SUM(Table1[[#This Row],[Store_Purchases]]+Table1[[#This Row],[Catalog_Purchases]]+Table1[[#This Row],[Web_Purchases]]+Table1[[#This Row],[Deal_Purchases]])</f>
        <v>21</v>
      </c>
      <c r="V1975">
        <v>2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f>SUM(Table1[[#This Row],[Accepted_Campaign_2]]+Table1[[#This Row],[Accepted_Campaign_1]]+Table1[[#This Row],[Accepted_Campaign_5]]+Table1[[#This Row],[Accepted_Campaign_4]]+Table1[[#This Row],[Accepted_Campaign_3]])</f>
        <v>0</v>
      </c>
      <c r="AC1975">
        <v>0</v>
      </c>
      <c r="AD1975">
        <v>0</v>
      </c>
    </row>
    <row r="1976" spans="1:30" x14ac:dyDescent="0.25">
      <c r="A1976">
        <v>41357</v>
      </c>
      <c r="B1976">
        <v>4478</v>
      </c>
      <c r="C1976">
        <v>1979</v>
      </c>
      <c r="D1976" t="s">
        <v>17</v>
      </c>
      <c r="E1976" t="s">
        <v>6</v>
      </c>
      <c r="F1976" t="s">
        <v>11</v>
      </c>
      <c r="G1976">
        <v>63777</v>
      </c>
      <c r="H1976">
        <v>2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f>SUM(Table1[[#This Row],[Gold Spending]]+Table1[[#This Row],[Sweet Spending]]+Table1[[#This Row],[Fish Spending]]+Table1[[#This Row],[Meat Spending]]+Table1[[#This Row],[Fruits Spending]]+Table1[[#This Row],[Wine Spending ]])</f>
        <v>653</v>
      </c>
      <c r="Q1976">
        <v>8</v>
      </c>
      <c r="R1976">
        <v>11</v>
      </c>
      <c r="S1976">
        <v>1</v>
      </c>
      <c r="T1976">
        <v>6</v>
      </c>
      <c r="U1976">
        <f>SUM(Table1[[#This Row],[Store_Purchases]]+Table1[[#This Row],[Catalog_Purchases]]+Table1[[#This Row],[Web_Purchases]]+Table1[[#This Row],[Deal_Purchases]])</f>
        <v>26</v>
      </c>
      <c r="V1976">
        <v>8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f>SUM(Table1[[#This Row],[Accepted_Campaign_2]]+Table1[[#This Row],[Accepted_Campaign_1]]+Table1[[#This Row],[Accepted_Campaign_5]]+Table1[[#This Row],[Accepted_Campaign_4]]+Table1[[#This Row],[Accepted_Campaign_3]])</f>
        <v>0</v>
      </c>
      <c r="AC1976">
        <v>0</v>
      </c>
      <c r="AD1976">
        <v>0</v>
      </c>
    </row>
    <row r="1977" spans="1:30" x14ac:dyDescent="0.25">
      <c r="A1977">
        <v>41355</v>
      </c>
      <c r="B1977">
        <v>2350</v>
      </c>
      <c r="C1977">
        <v>1972</v>
      </c>
      <c r="D1977" t="s">
        <v>10</v>
      </c>
      <c r="E1977" t="s">
        <v>6</v>
      </c>
      <c r="F1977" t="s">
        <v>11</v>
      </c>
      <c r="G1977">
        <v>59666</v>
      </c>
      <c r="H1977">
        <v>2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f>SUM(Table1[[#This Row],[Gold Spending]]+Table1[[#This Row],[Sweet Spending]]+Table1[[#This Row],[Fish Spending]]+Table1[[#This Row],[Meat Spending]]+Table1[[#This Row],[Fruits Spending]]+Table1[[#This Row],[Wine Spending ]])</f>
        <v>1027</v>
      </c>
      <c r="Q1977">
        <v>7</v>
      </c>
      <c r="R1977">
        <v>3</v>
      </c>
      <c r="S1977">
        <v>2</v>
      </c>
      <c r="T1977">
        <v>8</v>
      </c>
      <c r="U1977">
        <f>SUM(Table1[[#This Row],[Store_Purchases]]+Table1[[#This Row],[Catalog_Purchases]]+Table1[[#This Row],[Web_Purchases]]+Table1[[#This Row],[Deal_Purchases]])</f>
        <v>20</v>
      </c>
      <c r="V1977">
        <v>8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f>SUM(Table1[[#This Row],[Accepted_Campaign_2]]+Table1[[#This Row],[Accepted_Campaign_1]]+Table1[[#This Row],[Accepted_Campaign_5]]+Table1[[#This Row],[Accepted_Campaign_4]]+Table1[[#This Row],[Accepted_Campaign_3]])</f>
        <v>1</v>
      </c>
      <c r="AC1977">
        <v>0</v>
      </c>
      <c r="AD1977">
        <v>0</v>
      </c>
    </row>
    <row r="1978" spans="1:30" x14ac:dyDescent="0.25">
      <c r="A1978">
        <v>41325</v>
      </c>
      <c r="B1978">
        <v>1118</v>
      </c>
      <c r="C1978">
        <v>1956</v>
      </c>
      <c r="D1978" t="s">
        <v>8</v>
      </c>
      <c r="E1978" t="s">
        <v>18</v>
      </c>
      <c r="F1978" t="s">
        <v>11</v>
      </c>
      <c r="G1978">
        <v>50965</v>
      </c>
      <c r="H1978">
        <v>1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f>SUM(Table1[[#This Row],[Gold Spending]]+Table1[[#This Row],[Sweet Spending]]+Table1[[#This Row],[Fish Spending]]+Table1[[#This Row],[Meat Spending]]+Table1[[#This Row],[Fruits Spending]]+Table1[[#This Row],[Wine Spending ]])</f>
        <v>685</v>
      </c>
      <c r="Q1978">
        <v>3</v>
      </c>
      <c r="R1978">
        <v>10</v>
      </c>
      <c r="S1978">
        <v>4</v>
      </c>
      <c r="T1978">
        <v>5</v>
      </c>
      <c r="U1978">
        <f>SUM(Table1[[#This Row],[Store_Purchases]]+Table1[[#This Row],[Catalog_Purchases]]+Table1[[#This Row],[Web_Purchases]]+Table1[[#This Row],[Deal_Purchases]])</f>
        <v>22</v>
      </c>
      <c r="V1978">
        <v>8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f>SUM(Table1[[#This Row],[Accepted_Campaign_2]]+Table1[[#This Row],[Accepted_Campaign_1]]+Table1[[#This Row],[Accepted_Campaign_5]]+Table1[[#This Row],[Accepted_Campaign_4]]+Table1[[#This Row],[Accepted_Campaign_3]])</f>
        <v>1</v>
      </c>
      <c r="AC1978">
        <v>0</v>
      </c>
      <c r="AD1978">
        <v>0</v>
      </c>
    </row>
    <row r="1979" spans="1:30" x14ac:dyDescent="0.25">
      <c r="A1979">
        <v>41323</v>
      </c>
      <c r="B1979">
        <v>1491</v>
      </c>
      <c r="C1979">
        <v>1965</v>
      </c>
      <c r="D1979" t="s">
        <v>10</v>
      </c>
      <c r="E1979" t="s">
        <v>15</v>
      </c>
      <c r="F1979" t="s">
        <v>12</v>
      </c>
      <c r="G1979">
        <v>71488</v>
      </c>
      <c r="H1979">
        <v>0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f>SUM(Table1[[#This Row],[Gold Spending]]+Table1[[#This Row],[Sweet Spending]]+Table1[[#This Row],[Fish Spending]]+Table1[[#This Row],[Meat Spending]]+Table1[[#This Row],[Fruits Spending]]+Table1[[#This Row],[Wine Spending ]])</f>
        <v>559</v>
      </c>
      <c r="Q1979">
        <v>2</v>
      </c>
      <c r="R1979">
        <v>3</v>
      </c>
      <c r="S1979">
        <v>4</v>
      </c>
      <c r="T1979">
        <v>7</v>
      </c>
      <c r="U1979">
        <f>SUM(Table1[[#This Row],[Store_Purchases]]+Table1[[#This Row],[Catalog_Purchases]]+Table1[[#This Row],[Web_Purchases]]+Table1[[#This Row],[Deal_Purchases]])</f>
        <v>16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f>SUM(Table1[[#This Row],[Accepted_Campaign_2]]+Table1[[#This Row],[Accepted_Campaign_1]]+Table1[[#This Row],[Accepted_Campaign_5]]+Table1[[#This Row],[Accepted_Campaign_4]]+Table1[[#This Row],[Accepted_Campaign_3]])</f>
        <v>0</v>
      </c>
      <c r="AC1979">
        <v>0</v>
      </c>
      <c r="AD1979">
        <v>0</v>
      </c>
    </row>
    <row r="1980" spans="1:30" x14ac:dyDescent="0.25">
      <c r="A1980">
        <v>41240</v>
      </c>
      <c r="B1980">
        <v>4507</v>
      </c>
      <c r="C1980">
        <v>1952</v>
      </c>
      <c r="D1980" t="s">
        <v>8</v>
      </c>
      <c r="E1980" t="s">
        <v>6</v>
      </c>
      <c r="F1980" t="s">
        <v>9</v>
      </c>
      <c r="G1980">
        <v>72228</v>
      </c>
      <c r="H1980">
        <v>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f>SUM(Table1[[#This Row],[Gold Spending]]+Table1[[#This Row],[Sweet Spending]]+Table1[[#This Row],[Fish Spending]]+Table1[[#This Row],[Meat Spending]]+Table1[[#This Row],[Fruits Spending]]+Table1[[#This Row],[Wine Spending ]])</f>
        <v>1250</v>
      </c>
      <c r="Q1980">
        <v>1</v>
      </c>
      <c r="R1980">
        <v>6</v>
      </c>
      <c r="S1980">
        <v>7</v>
      </c>
      <c r="T1980">
        <v>8</v>
      </c>
      <c r="U1980">
        <f>SUM(Table1[[#This Row],[Store_Purchases]]+Table1[[#This Row],[Catalog_Purchases]]+Table1[[#This Row],[Web_Purchases]]+Table1[[#This Row],[Deal_Purchases]])</f>
        <v>22</v>
      </c>
      <c r="V1980">
        <v>3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f>SUM(Table1[[#This Row],[Accepted_Campaign_2]]+Table1[[#This Row],[Accepted_Campaign_1]]+Table1[[#This Row],[Accepted_Campaign_5]]+Table1[[#This Row],[Accepted_Campaign_4]]+Table1[[#This Row],[Accepted_Campaign_3]])</f>
        <v>0</v>
      </c>
      <c r="AC1980">
        <v>0</v>
      </c>
      <c r="AD1980">
        <v>0</v>
      </c>
    </row>
    <row r="1981" spans="1:30" x14ac:dyDescent="0.25">
      <c r="A1981">
        <v>41239</v>
      </c>
      <c r="B1981">
        <v>7023</v>
      </c>
      <c r="C1981">
        <v>1953</v>
      </c>
      <c r="D1981" t="s">
        <v>20</v>
      </c>
      <c r="E1981" t="s">
        <v>14</v>
      </c>
      <c r="F1981" t="s">
        <v>9</v>
      </c>
      <c r="G1981">
        <v>46231</v>
      </c>
      <c r="H1981">
        <v>3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f>SUM(Table1[[#This Row],[Gold Spending]]+Table1[[#This Row],[Sweet Spending]]+Table1[[#This Row],[Fish Spending]]+Table1[[#This Row],[Meat Spending]]+Table1[[#This Row],[Fruits Spending]]+Table1[[#This Row],[Wine Spending ]])</f>
        <v>263</v>
      </c>
      <c r="Q1981">
        <v>4</v>
      </c>
      <c r="R1981">
        <v>6</v>
      </c>
      <c r="S1981">
        <v>1</v>
      </c>
      <c r="T1981">
        <v>4</v>
      </c>
      <c r="U1981">
        <f>SUM(Table1[[#This Row],[Store_Purchases]]+Table1[[#This Row],[Catalog_Purchases]]+Table1[[#This Row],[Web_Purchases]]+Table1[[#This Row],[Deal_Purchases]])</f>
        <v>15</v>
      </c>
      <c r="V1981">
        <v>9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f>SUM(Table1[[#This Row],[Accepted_Campaign_2]]+Table1[[#This Row],[Accepted_Campaign_1]]+Table1[[#This Row],[Accepted_Campaign_5]]+Table1[[#This Row],[Accepted_Campaign_4]]+Table1[[#This Row],[Accepted_Campaign_3]])</f>
        <v>0</v>
      </c>
      <c r="AC1981">
        <v>0</v>
      </c>
      <c r="AD1981">
        <v>0</v>
      </c>
    </row>
    <row r="1982" spans="1:30" x14ac:dyDescent="0.25">
      <c r="A1982">
        <v>41196</v>
      </c>
      <c r="B1982">
        <v>6977</v>
      </c>
      <c r="C1982">
        <v>1974</v>
      </c>
      <c r="D1982" t="s">
        <v>8</v>
      </c>
      <c r="E1982" t="s">
        <v>6</v>
      </c>
      <c r="F1982" t="s">
        <v>12</v>
      </c>
      <c r="G1982">
        <v>75702</v>
      </c>
      <c r="H1982">
        <v>1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f>SUM(Table1[[#This Row],[Gold Spending]]+Table1[[#This Row],[Sweet Spending]]+Table1[[#This Row],[Fish Spending]]+Table1[[#This Row],[Meat Spending]]+Table1[[#This Row],[Fruits Spending]]+Table1[[#This Row],[Wine Spending ]])</f>
        <v>1921</v>
      </c>
      <c r="Q1982">
        <v>1</v>
      </c>
      <c r="R1982">
        <v>10</v>
      </c>
      <c r="S1982">
        <v>5</v>
      </c>
      <c r="T1982">
        <v>13</v>
      </c>
      <c r="U1982">
        <f>SUM(Table1[[#This Row],[Store_Purchases]]+Table1[[#This Row],[Catalog_Purchases]]+Table1[[#This Row],[Web_Purchases]]+Table1[[#This Row],[Deal_Purchases]])</f>
        <v>29</v>
      </c>
      <c r="V1982">
        <v>6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f>SUM(Table1[[#This Row],[Accepted_Campaign_2]]+Table1[[#This Row],[Accepted_Campaign_1]]+Table1[[#This Row],[Accepted_Campaign_5]]+Table1[[#This Row],[Accepted_Campaign_4]]+Table1[[#This Row],[Accepted_Campaign_3]])</f>
        <v>1</v>
      </c>
      <c r="AC1982">
        <v>0</v>
      </c>
      <c r="AD1982">
        <v>0</v>
      </c>
    </row>
    <row r="1983" spans="1:30" x14ac:dyDescent="0.25">
      <c r="A1983">
        <v>41195</v>
      </c>
      <c r="B1983">
        <v>4042</v>
      </c>
      <c r="C1983">
        <v>1971</v>
      </c>
      <c r="D1983" t="s">
        <v>10</v>
      </c>
      <c r="E1983" t="s">
        <v>6</v>
      </c>
      <c r="F1983" t="s">
        <v>7</v>
      </c>
      <c r="G1983">
        <v>43300</v>
      </c>
      <c r="H1983">
        <v>1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f>SUM(Table1[[#This Row],[Gold Spending]]+Table1[[#This Row],[Sweet Spending]]+Table1[[#This Row],[Fish Spending]]+Table1[[#This Row],[Meat Spending]]+Table1[[#This Row],[Fruits Spending]]+Table1[[#This Row],[Wine Spending ]])</f>
        <v>180</v>
      </c>
      <c r="Q1983">
        <v>3</v>
      </c>
      <c r="R1983">
        <v>4</v>
      </c>
      <c r="S1983">
        <v>0</v>
      </c>
      <c r="T1983">
        <v>4</v>
      </c>
      <c r="U1983">
        <f>SUM(Table1[[#This Row],[Store_Purchases]]+Table1[[#This Row],[Catalog_Purchases]]+Table1[[#This Row],[Web_Purchases]]+Table1[[#This Row],[Deal_Purchases]])</f>
        <v>11</v>
      </c>
      <c r="V1983">
        <v>8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f>SUM(Table1[[#This Row],[Accepted_Campaign_2]]+Table1[[#This Row],[Accepted_Campaign_1]]+Table1[[#This Row],[Accepted_Campaign_5]]+Table1[[#This Row],[Accepted_Campaign_4]]+Table1[[#This Row],[Accepted_Campaign_3]])</f>
        <v>0</v>
      </c>
      <c r="AC1983">
        <v>1</v>
      </c>
      <c r="AD1983">
        <v>0</v>
      </c>
    </row>
    <row r="1984" spans="1:30" x14ac:dyDescent="0.25">
      <c r="A1984">
        <v>41180</v>
      </c>
      <c r="B1984">
        <v>7274</v>
      </c>
      <c r="C1984">
        <v>1957</v>
      </c>
      <c r="D1984" t="s">
        <v>8</v>
      </c>
      <c r="E1984" t="s">
        <v>6</v>
      </c>
      <c r="F1984" t="s">
        <v>11</v>
      </c>
      <c r="G1984">
        <v>78618</v>
      </c>
      <c r="H1984">
        <v>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f>SUM(Table1[[#This Row],[Gold Spending]]+Table1[[#This Row],[Sweet Spending]]+Table1[[#This Row],[Fish Spending]]+Table1[[#This Row],[Meat Spending]]+Table1[[#This Row],[Fruits Spending]]+Table1[[#This Row],[Wine Spending ]])</f>
        <v>2153</v>
      </c>
      <c r="Q1984">
        <v>1</v>
      </c>
      <c r="R1984">
        <v>4</v>
      </c>
      <c r="S1984">
        <v>7</v>
      </c>
      <c r="T1984">
        <v>10</v>
      </c>
      <c r="U1984">
        <f>SUM(Table1[[#This Row],[Store_Purchases]]+Table1[[#This Row],[Catalog_Purchases]]+Table1[[#This Row],[Web_Purchases]]+Table1[[#This Row],[Deal_Purchases]])</f>
        <v>22</v>
      </c>
      <c r="V1984">
        <v>2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f>SUM(Table1[[#This Row],[Accepted_Campaign_2]]+Table1[[#This Row],[Accepted_Campaign_1]]+Table1[[#This Row],[Accepted_Campaign_5]]+Table1[[#This Row],[Accepted_Campaign_4]]+Table1[[#This Row],[Accepted_Campaign_3]])</f>
        <v>1</v>
      </c>
      <c r="AC1984">
        <v>0</v>
      </c>
      <c r="AD1984">
        <v>0</v>
      </c>
    </row>
    <row r="1985" spans="1:30" x14ac:dyDescent="0.25">
      <c r="A1985">
        <v>41155</v>
      </c>
      <c r="B1985">
        <v>2902</v>
      </c>
      <c r="C1985">
        <v>1958</v>
      </c>
      <c r="D1985" t="s">
        <v>13</v>
      </c>
      <c r="E1985" t="s">
        <v>6</v>
      </c>
      <c r="F1985" t="s">
        <v>12</v>
      </c>
      <c r="G1985">
        <v>53790.45</v>
      </c>
      <c r="H1985">
        <v>2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f>SUM(Table1[[#This Row],[Gold Spending]]+Table1[[#This Row],[Sweet Spending]]+Table1[[#This Row],[Fish Spending]]+Table1[[#This Row],[Meat Spending]]+Table1[[#This Row],[Fruits Spending]]+Table1[[#This Row],[Wine Spending ]])</f>
        <v>45</v>
      </c>
      <c r="Q1985">
        <v>1</v>
      </c>
      <c r="R1985">
        <v>1</v>
      </c>
      <c r="S1985">
        <v>0</v>
      </c>
      <c r="T1985">
        <v>3</v>
      </c>
      <c r="U1985">
        <f>SUM(Table1[[#This Row],[Store_Purchases]]+Table1[[#This Row],[Catalog_Purchases]]+Table1[[#This Row],[Web_Purchases]]+Table1[[#This Row],[Deal_Purchases]])</f>
        <v>5</v>
      </c>
      <c r="V1985">
        <v>5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f>SUM(Table1[[#This Row],[Accepted_Campaign_2]]+Table1[[#This Row],[Accepted_Campaign_1]]+Table1[[#This Row],[Accepted_Campaign_5]]+Table1[[#This Row],[Accepted_Campaign_4]]+Table1[[#This Row],[Accepted_Campaign_3]])</f>
        <v>0</v>
      </c>
      <c r="AC1985">
        <v>0</v>
      </c>
      <c r="AD1985">
        <v>0</v>
      </c>
    </row>
    <row r="1986" spans="1:30" x14ac:dyDescent="0.25">
      <c r="A1986">
        <v>41150</v>
      </c>
      <c r="B1986">
        <v>3332</v>
      </c>
      <c r="C1986">
        <v>1985</v>
      </c>
      <c r="D1986" t="s">
        <v>16</v>
      </c>
      <c r="E1986" t="s">
        <v>6</v>
      </c>
      <c r="F1986" t="s">
        <v>9</v>
      </c>
      <c r="G1986">
        <v>29760</v>
      </c>
      <c r="H1986">
        <v>1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f>SUM(Table1[[#This Row],[Gold Spending]]+Table1[[#This Row],[Sweet Spending]]+Table1[[#This Row],[Fish Spending]]+Table1[[#This Row],[Meat Spending]]+Table1[[#This Row],[Fruits Spending]]+Table1[[#This Row],[Wine Spending ]])</f>
        <v>165</v>
      </c>
      <c r="Q1986">
        <v>4</v>
      </c>
      <c r="R1986">
        <v>3</v>
      </c>
      <c r="S1986">
        <v>1</v>
      </c>
      <c r="T1986">
        <v>4</v>
      </c>
      <c r="U1986">
        <f>SUM(Table1[[#This Row],[Store_Purchases]]+Table1[[#This Row],[Catalog_Purchases]]+Table1[[#This Row],[Web_Purchases]]+Table1[[#This Row],[Deal_Purchases]])</f>
        <v>12</v>
      </c>
      <c r="V1986">
        <v>8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f>SUM(Table1[[#This Row],[Accepted_Campaign_2]]+Table1[[#This Row],[Accepted_Campaign_1]]+Table1[[#This Row],[Accepted_Campaign_5]]+Table1[[#This Row],[Accepted_Campaign_4]]+Table1[[#This Row],[Accepted_Campaign_3]])</f>
        <v>0</v>
      </c>
      <c r="AC1986">
        <v>0</v>
      </c>
      <c r="AD1986">
        <v>0</v>
      </c>
    </row>
    <row r="1987" spans="1:30" x14ac:dyDescent="0.25">
      <c r="A1987">
        <v>41150</v>
      </c>
      <c r="B1987">
        <v>7433</v>
      </c>
      <c r="C1987">
        <v>1985</v>
      </c>
      <c r="D1987" t="s">
        <v>8</v>
      </c>
      <c r="E1987" t="s">
        <v>6</v>
      </c>
      <c r="F1987" t="s">
        <v>9</v>
      </c>
      <c r="G1987">
        <v>29760</v>
      </c>
      <c r="H1987">
        <v>1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f>SUM(Table1[[#This Row],[Gold Spending]]+Table1[[#This Row],[Sweet Spending]]+Table1[[#This Row],[Fish Spending]]+Table1[[#This Row],[Meat Spending]]+Table1[[#This Row],[Fruits Spending]]+Table1[[#This Row],[Wine Spending ]])</f>
        <v>165</v>
      </c>
      <c r="Q1987">
        <v>4</v>
      </c>
      <c r="R1987">
        <v>3</v>
      </c>
      <c r="S1987">
        <v>1</v>
      </c>
      <c r="T1987">
        <v>4</v>
      </c>
      <c r="U1987">
        <f>SUM(Table1[[#This Row],[Store_Purchases]]+Table1[[#This Row],[Catalog_Purchases]]+Table1[[#This Row],[Web_Purchases]]+Table1[[#This Row],[Deal_Purchases]])</f>
        <v>12</v>
      </c>
      <c r="V1987">
        <v>8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f>SUM(Table1[[#This Row],[Accepted_Campaign_2]]+Table1[[#This Row],[Accepted_Campaign_1]]+Table1[[#This Row],[Accepted_Campaign_5]]+Table1[[#This Row],[Accepted_Campaign_4]]+Table1[[#This Row],[Accepted_Campaign_3]])</f>
        <v>0</v>
      </c>
      <c r="AC1987">
        <v>0</v>
      </c>
      <c r="AD1987">
        <v>0</v>
      </c>
    </row>
    <row r="1988" spans="1:30" x14ac:dyDescent="0.25">
      <c r="A1988">
        <v>41788</v>
      </c>
      <c r="B1988">
        <v>9386</v>
      </c>
      <c r="C1988">
        <v>1962</v>
      </c>
      <c r="D1988" t="s">
        <v>8</v>
      </c>
      <c r="E1988" t="s">
        <v>6</v>
      </c>
      <c r="F1988" t="s">
        <v>12</v>
      </c>
      <c r="G1988">
        <v>50127</v>
      </c>
      <c r="H1988">
        <v>1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f>SUM(Table1[[#This Row],[Gold Spending]]+Table1[[#This Row],[Sweet Spending]]+Table1[[#This Row],[Fish Spending]]+Table1[[#This Row],[Meat Spending]]+Table1[[#This Row],[Fruits Spending]]+Table1[[#This Row],[Wine Spending ]])</f>
        <v>320</v>
      </c>
      <c r="Q1988">
        <v>1</v>
      </c>
      <c r="R1988">
        <v>5</v>
      </c>
      <c r="S1988">
        <v>1</v>
      </c>
      <c r="T1988">
        <v>6</v>
      </c>
      <c r="U1988">
        <f>SUM(Table1[[#This Row],[Store_Purchases]]+Table1[[#This Row],[Catalog_Purchases]]+Table1[[#This Row],[Web_Purchases]]+Table1[[#This Row],[Deal_Purchases]])</f>
        <v>13</v>
      </c>
      <c r="V1988">
        <v>6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f>SUM(Table1[[#This Row],[Accepted_Campaign_2]]+Table1[[#This Row],[Accepted_Campaign_1]]+Table1[[#This Row],[Accepted_Campaign_5]]+Table1[[#This Row],[Accepted_Campaign_4]]+Table1[[#This Row],[Accepted_Campaign_3]])</f>
        <v>1</v>
      </c>
      <c r="AC1988">
        <v>0</v>
      </c>
      <c r="AD1988">
        <v>0</v>
      </c>
    </row>
    <row r="1989" spans="1:30" x14ac:dyDescent="0.25">
      <c r="A1989">
        <v>41616</v>
      </c>
      <c r="B1989">
        <v>5176</v>
      </c>
      <c r="C1989">
        <v>1988</v>
      </c>
      <c r="D1989" t="s">
        <v>20</v>
      </c>
      <c r="E1989" t="s">
        <v>6</v>
      </c>
      <c r="F1989" t="s">
        <v>12</v>
      </c>
      <c r="G1989">
        <v>29604</v>
      </c>
      <c r="H1989">
        <v>1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f>SUM(Table1[[#This Row],[Gold Spending]]+Table1[[#This Row],[Sweet Spending]]+Table1[[#This Row],[Fish Spending]]+Table1[[#This Row],[Meat Spending]]+Table1[[#This Row],[Fruits Spending]]+Table1[[#This Row],[Wine Spending ]])</f>
        <v>53</v>
      </c>
      <c r="Q1989">
        <v>1</v>
      </c>
      <c r="R1989">
        <v>1</v>
      </c>
      <c r="S1989">
        <v>0</v>
      </c>
      <c r="T1989">
        <v>3</v>
      </c>
      <c r="U1989">
        <f>SUM(Table1[[#This Row],[Store_Purchases]]+Table1[[#This Row],[Catalog_Purchases]]+Table1[[#This Row],[Web_Purchases]]+Table1[[#This Row],[Deal_Purchases]])</f>
        <v>5</v>
      </c>
      <c r="V1989">
        <v>9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f>SUM(Table1[[#This Row],[Accepted_Campaign_2]]+Table1[[#This Row],[Accepted_Campaign_1]]+Table1[[#This Row],[Accepted_Campaign_5]]+Table1[[#This Row],[Accepted_Campaign_4]]+Table1[[#This Row],[Accepted_Campaign_3]])</f>
        <v>1</v>
      </c>
      <c r="AC1989">
        <v>0</v>
      </c>
      <c r="AD1989">
        <v>0</v>
      </c>
    </row>
    <row r="1990" spans="1:30" x14ac:dyDescent="0.25">
      <c r="A1990">
        <v>41572</v>
      </c>
      <c r="B1990">
        <v>10323</v>
      </c>
      <c r="C1990">
        <v>1952</v>
      </c>
      <c r="D1990" t="s">
        <v>8</v>
      </c>
      <c r="E1990" t="s">
        <v>6</v>
      </c>
      <c r="F1990" t="s">
        <v>11</v>
      </c>
      <c r="G1990">
        <v>49413</v>
      </c>
      <c r="H1990">
        <v>1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f>SUM(Table1[[#This Row],[Gold Spending]]+Table1[[#This Row],[Sweet Spending]]+Table1[[#This Row],[Fish Spending]]+Table1[[#This Row],[Meat Spending]]+Table1[[#This Row],[Fruits Spending]]+Table1[[#This Row],[Wine Spending ]])</f>
        <v>304</v>
      </c>
      <c r="Q1990">
        <v>2</v>
      </c>
      <c r="R1990">
        <v>4</v>
      </c>
      <c r="S1990">
        <v>2</v>
      </c>
      <c r="T1990">
        <v>5</v>
      </c>
      <c r="U1990">
        <f>SUM(Table1[[#This Row],[Store_Purchases]]+Table1[[#This Row],[Catalog_Purchases]]+Table1[[#This Row],[Web_Purchases]]+Table1[[#This Row],[Deal_Purchases]])</f>
        <v>13</v>
      </c>
      <c r="V1990">
        <v>5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f>SUM(Table1[[#This Row],[Accepted_Campaign_2]]+Table1[[#This Row],[Accepted_Campaign_1]]+Table1[[#This Row],[Accepted_Campaign_5]]+Table1[[#This Row],[Accepted_Campaign_4]]+Table1[[#This Row],[Accepted_Campaign_3]])</f>
        <v>0</v>
      </c>
      <c r="AC1990">
        <v>0</v>
      </c>
      <c r="AD1990">
        <v>0</v>
      </c>
    </row>
    <row r="1991" spans="1:30" x14ac:dyDescent="0.25">
      <c r="A1991">
        <v>41562</v>
      </c>
      <c r="B1991">
        <v>4682</v>
      </c>
      <c r="C1991">
        <v>1958</v>
      </c>
      <c r="D1991" t="s">
        <v>16</v>
      </c>
      <c r="E1991" t="s">
        <v>6</v>
      </c>
      <c r="F1991" t="s">
        <v>11</v>
      </c>
      <c r="G1991">
        <v>51876</v>
      </c>
      <c r="H1991">
        <v>0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f>SUM(Table1[[#This Row],[Gold Spending]]+Table1[[#This Row],[Sweet Spending]]+Table1[[#This Row],[Fish Spending]]+Table1[[#This Row],[Meat Spending]]+Table1[[#This Row],[Fruits Spending]]+Table1[[#This Row],[Wine Spending ]])</f>
        <v>310</v>
      </c>
      <c r="Q1991">
        <v>1</v>
      </c>
      <c r="R1991">
        <v>2</v>
      </c>
      <c r="S1991">
        <v>2</v>
      </c>
      <c r="T1991">
        <v>8</v>
      </c>
      <c r="U1991">
        <f>SUM(Table1[[#This Row],[Store_Purchases]]+Table1[[#This Row],[Catalog_Purchases]]+Table1[[#This Row],[Web_Purchases]]+Table1[[#This Row],[Deal_Purchases]])</f>
        <v>13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f>SUM(Table1[[#This Row],[Accepted_Campaign_2]]+Table1[[#This Row],[Accepted_Campaign_1]]+Table1[[#This Row],[Accepted_Campaign_5]]+Table1[[#This Row],[Accepted_Campaign_4]]+Table1[[#This Row],[Accepted_Campaign_3]])</f>
        <v>0</v>
      </c>
      <c r="AC1991">
        <v>0</v>
      </c>
      <c r="AD1991">
        <v>0</v>
      </c>
    </row>
    <row r="1992" spans="1:30" x14ac:dyDescent="0.25">
      <c r="A1992">
        <v>41481</v>
      </c>
      <c r="B1992">
        <v>3083</v>
      </c>
      <c r="C1992">
        <v>1974</v>
      </c>
      <c r="D1992" t="s">
        <v>8</v>
      </c>
      <c r="E1992" t="s">
        <v>6</v>
      </c>
      <c r="F1992" t="s">
        <v>11</v>
      </c>
      <c r="G1992">
        <v>45837</v>
      </c>
      <c r="H1992">
        <v>2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f>SUM(Table1[[#This Row],[Gold Spending]]+Table1[[#This Row],[Sweet Spending]]+Table1[[#This Row],[Fish Spending]]+Table1[[#This Row],[Meat Spending]]+Table1[[#This Row],[Fruits Spending]]+Table1[[#This Row],[Wine Spending ]])</f>
        <v>373</v>
      </c>
      <c r="Q1992">
        <v>5</v>
      </c>
      <c r="R1992">
        <v>6</v>
      </c>
      <c r="S1992">
        <v>2</v>
      </c>
      <c r="T1992">
        <v>5</v>
      </c>
      <c r="U1992">
        <f>SUM(Table1[[#This Row],[Store_Purchases]]+Table1[[#This Row],[Catalog_Purchases]]+Table1[[#This Row],[Web_Purchases]]+Table1[[#This Row],[Deal_Purchases]])</f>
        <v>18</v>
      </c>
      <c r="V1992">
        <v>7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f>SUM(Table1[[#This Row],[Accepted_Campaign_2]]+Table1[[#This Row],[Accepted_Campaign_1]]+Table1[[#This Row],[Accepted_Campaign_5]]+Table1[[#This Row],[Accepted_Campaign_4]]+Table1[[#This Row],[Accepted_Campaign_3]])</f>
        <v>0</v>
      </c>
      <c r="AC1992">
        <v>0</v>
      </c>
      <c r="AD1992">
        <v>0</v>
      </c>
    </row>
    <row r="1993" spans="1:30" x14ac:dyDescent="0.25">
      <c r="A1993">
        <v>41397</v>
      </c>
      <c r="B1993">
        <v>8015</v>
      </c>
      <c r="C1993">
        <v>1962</v>
      </c>
      <c r="D1993" t="s">
        <v>8</v>
      </c>
      <c r="E1993" t="s">
        <v>14</v>
      </c>
      <c r="F1993" t="s">
        <v>7</v>
      </c>
      <c r="G1993">
        <v>85696</v>
      </c>
      <c r="H1993">
        <v>0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f>SUM(Table1[[#This Row],[Gold Spending]]+Table1[[#This Row],[Sweet Spending]]+Table1[[#This Row],[Fish Spending]]+Table1[[#This Row],[Meat Spending]]+Table1[[#This Row],[Fruits Spending]]+Table1[[#This Row],[Wine Spending ]])</f>
        <v>1313</v>
      </c>
      <c r="Q1993">
        <v>1</v>
      </c>
      <c r="R1993">
        <v>4</v>
      </c>
      <c r="S1993">
        <v>6</v>
      </c>
      <c r="T1993">
        <v>9</v>
      </c>
      <c r="U1993">
        <f>SUM(Table1[[#This Row],[Store_Purchases]]+Table1[[#This Row],[Catalog_Purchases]]+Table1[[#This Row],[Web_Purchases]]+Table1[[#This Row],[Deal_Purchases]])</f>
        <v>20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f>SUM(Table1[[#This Row],[Accepted_Campaign_2]]+Table1[[#This Row],[Accepted_Campaign_1]]+Table1[[#This Row],[Accepted_Campaign_5]]+Table1[[#This Row],[Accepted_Campaign_4]]+Table1[[#This Row],[Accepted_Campaign_3]])</f>
        <v>0</v>
      </c>
      <c r="AC1993">
        <v>1</v>
      </c>
      <c r="AD1993">
        <v>0</v>
      </c>
    </row>
    <row r="1994" spans="1:30" x14ac:dyDescent="0.25">
      <c r="A1994">
        <v>41397</v>
      </c>
      <c r="B1994">
        <v>1745</v>
      </c>
      <c r="C1994">
        <v>1962</v>
      </c>
      <c r="D1994" t="s">
        <v>8</v>
      </c>
      <c r="E1994" t="s">
        <v>14</v>
      </c>
      <c r="F1994" t="s">
        <v>7</v>
      </c>
      <c r="G1994">
        <v>85696</v>
      </c>
      <c r="H1994">
        <v>0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f>SUM(Table1[[#This Row],[Gold Spending]]+Table1[[#This Row],[Sweet Spending]]+Table1[[#This Row],[Fish Spending]]+Table1[[#This Row],[Meat Spending]]+Table1[[#This Row],[Fruits Spending]]+Table1[[#This Row],[Wine Spending ]])</f>
        <v>1313</v>
      </c>
      <c r="Q1994">
        <v>1</v>
      </c>
      <c r="R1994">
        <v>4</v>
      </c>
      <c r="S1994">
        <v>6</v>
      </c>
      <c r="T1994">
        <v>9</v>
      </c>
      <c r="U1994">
        <f>SUM(Table1[[#This Row],[Store_Purchases]]+Table1[[#This Row],[Catalog_Purchases]]+Table1[[#This Row],[Web_Purchases]]+Table1[[#This Row],[Deal_Purchases]])</f>
        <v>20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f>SUM(Table1[[#This Row],[Accepted_Campaign_2]]+Table1[[#This Row],[Accepted_Campaign_1]]+Table1[[#This Row],[Accepted_Campaign_5]]+Table1[[#This Row],[Accepted_Campaign_4]]+Table1[[#This Row],[Accepted_Campaign_3]])</f>
        <v>0</v>
      </c>
      <c r="AC1994">
        <v>1</v>
      </c>
      <c r="AD1994">
        <v>0</v>
      </c>
    </row>
    <row r="1995" spans="1:30" x14ac:dyDescent="0.25">
      <c r="A1995">
        <v>41377</v>
      </c>
      <c r="B1995">
        <v>3136</v>
      </c>
      <c r="C1995">
        <v>1962</v>
      </c>
      <c r="D1995" t="s">
        <v>8</v>
      </c>
      <c r="E1995" t="s">
        <v>18</v>
      </c>
      <c r="F1995" t="s">
        <v>7</v>
      </c>
      <c r="G1995">
        <v>59432</v>
      </c>
      <c r="H1995">
        <v>1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f>SUM(Table1[[#This Row],[Gold Spending]]+Table1[[#This Row],[Sweet Spending]]+Table1[[#This Row],[Fish Spending]]+Table1[[#This Row],[Meat Spending]]+Table1[[#This Row],[Fruits Spending]]+Table1[[#This Row],[Wine Spending ]])</f>
        <v>663</v>
      </c>
      <c r="Q1995">
        <v>3</v>
      </c>
      <c r="R1995">
        <v>5</v>
      </c>
      <c r="S1995">
        <v>3</v>
      </c>
      <c r="T1995">
        <v>11</v>
      </c>
      <c r="U1995">
        <f>SUM(Table1[[#This Row],[Store_Purchases]]+Table1[[#This Row],[Catalog_Purchases]]+Table1[[#This Row],[Web_Purchases]]+Table1[[#This Row],[Deal_Purchases]])</f>
        <v>22</v>
      </c>
      <c r="V1995">
        <v>5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f>SUM(Table1[[#This Row],[Accepted_Campaign_2]]+Table1[[#This Row],[Accepted_Campaign_1]]+Table1[[#This Row],[Accepted_Campaign_5]]+Table1[[#This Row],[Accepted_Campaign_4]]+Table1[[#This Row],[Accepted_Campaign_3]])</f>
        <v>0</v>
      </c>
      <c r="AC1995">
        <v>0</v>
      </c>
      <c r="AD1995">
        <v>0</v>
      </c>
    </row>
    <row r="1996" spans="1:30" x14ac:dyDescent="0.25">
      <c r="A1996">
        <v>41374</v>
      </c>
      <c r="B1996">
        <v>6991</v>
      </c>
      <c r="C1996">
        <v>1951</v>
      </c>
      <c r="D1996" t="s">
        <v>13</v>
      </c>
      <c r="E1996" t="s">
        <v>6</v>
      </c>
      <c r="F1996" t="s">
        <v>7</v>
      </c>
      <c r="G1996">
        <v>43185</v>
      </c>
      <c r="H1996">
        <v>1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f>SUM(Table1[[#This Row],[Gold Spending]]+Table1[[#This Row],[Sweet Spending]]+Table1[[#This Row],[Fish Spending]]+Table1[[#This Row],[Meat Spending]]+Table1[[#This Row],[Fruits Spending]]+Table1[[#This Row],[Wine Spending ]])</f>
        <v>637</v>
      </c>
      <c r="Q1996">
        <v>2</v>
      </c>
      <c r="R1996">
        <v>9</v>
      </c>
      <c r="S1996">
        <v>3</v>
      </c>
      <c r="T1996">
        <v>6</v>
      </c>
      <c r="U1996">
        <f>SUM(Table1[[#This Row],[Store_Purchases]]+Table1[[#This Row],[Catalog_Purchases]]+Table1[[#This Row],[Web_Purchases]]+Table1[[#This Row],[Deal_Purchases]])</f>
        <v>20</v>
      </c>
      <c r="V1996">
        <v>8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f>SUM(Table1[[#This Row],[Accepted_Campaign_2]]+Table1[[#This Row],[Accepted_Campaign_1]]+Table1[[#This Row],[Accepted_Campaign_5]]+Table1[[#This Row],[Accepted_Campaign_4]]+Table1[[#This Row],[Accepted_Campaign_3]])</f>
        <v>0</v>
      </c>
      <c r="AC1996">
        <v>0</v>
      </c>
      <c r="AD1996">
        <v>0</v>
      </c>
    </row>
    <row r="1997" spans="1:30" x14ac:dyDescent="0.25">
      <c r="A1997">
        <v>41369</v>
      </c>
      <c r="B1997">
        <v>8132</v>
      </c>
      <c r="C1997">
        <v>1975</v>
      </c>
      <c r="D1997" t="s">
        <v>16</v>
      </c>
      <c r="E1997" t="s">
        <v>14</v>
      </c>
      <c r="F1997" t="s">
        <v>11</v>
      </c>
      <c r="G1997">
        <v>60631</v>
      </c>
      <c r="H1997">
        <v>2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f>SUM(Table1[[#This Row],[Gold Spending]]+Table1[[#This Row],[Sweet Spending]]+Table1[[#This Row],[Fish Spending]]+Table1[[#This Row],[Meat Spending]]+Table1[[#This Row],[Fruits Spending]]+Table1[[#This Row],[Wine Spending ]])</f>
        <v>661</v>
      </c>
      <c r="Q1997">
        <v>5</v>
      </c>
      <c r="R1997">
        <v>9</v>
      </c>
      <c r="S1997">
        <v>2</v>
      </c>
      <c r="T1997">
        <v>8</v>
      </c>
      <c r="U1997">
        <f>SUM(Table1[[#This Row],[Store_Purchases]]+Table1[[#This Row],[Catalog_Purchases]]+Table1[[#This Row],[Web_Purchases]]+Table1[[#This Row],[Deal_Purchases]])</f>
        <v>24</v>
      </c>
      <c r="V1997">
        <v>7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f>SUM(Table1[[#This Row],[Accepted_Campaign_2]]+Table1[[#This Row],[Accepted_Campaign_1]]+Table1[[#This Row],[Accepted_Campaign_5]]+Table1[[#This Row],[Accepted_Campaign_4]]+Table1[[#This Row],[Accepted_Campaign_3]])</f>
        <v>1</v>
      </c>
      <c r="AC1997">
        <v>0</v>
      </c>
      <c r="AD1997">
        <v>0</v>
      </c>
    </row>
    <row r="1998" spans="1:30" x14ac:dyDescent="0.25">
      <c r="A1998">
        <v>41345</v>
      </c>
      <c r="B1998">
        <v>503</v>
      </c>
      <c r="C1998">
        <v>1985</v>
      </c>
      <c r="D1998" t="s">
        <v>13</v>
      </c>
      <c r="E1998" t="s">
        <v>18</v>
      </c>
      <c r="F1998" t="s">
        <v>11</v>
      </c>
      <c r="G1998">
        <v>20559</v>
      </c>
      <c r="H1998">
        <v>1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f>SUM(Table1[[#This Row],[Gold Spending]]+Table1[[#This Row],[Sweet Spending]]+Table1[[#This Row],[Fish Spending]]+Table1[[#This Row],[Meat Spending]]+Table1[[#This Row],[Fruits Spending]]+Table1[[#This Row],[Wine Spending ]])</f>
        <v>53</v>
      </c>
      <c r="Q1998">
        <v>2</v>
      </c>
      <c r="R1998">
        <v>2</v>
      </c>
      <c r="S1998">
        <v>0</v>
      </c>
      <c r="T1998">
        <v>3</v>
      </c>
      <c r="U1998">
        <f>SUM(Table1[[#This Row],[Store_Purchases]]+Table1[[#This Row],[Catalog_Purchases]]+Table1[[#This Row],[Web_Purchases]]+Table1[[#This Row],[Deal_Purchases]])</f>
        <v>7</v>
      </c>
      <c r="V1998">
        <v>8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f>SUM(Table1[[#This Row],[Accepted_Campaign_2]]+Table1[[#This Row],[Accepted_Campaign_1]]+Table1[[#This Row],[Accepted_Campaign_5]]+Table1[[#This Row],[Accepted_Campaign_4]]+Table1[[#This Row],[Accepted_Campaign_3]])</f>
        <v>0</v>
      </c>
      <c r="AC1998">
        <v>0</v>
      </c>
      <c r="AD1998">
        <v>0</v>
      </c>
    </row>
    <row r="1999" spans="1:30" x14ac:dyDescent="0.25">
      <c r="A1999">
        <v>41282</v>
      </c>
      <c r="B1999">
        <v>8148</v>
      </c>
      <c r="C1999">
        <v>1956</v>
      </c>
      <c r="D1999" t="s">
        <v>20</v>
      </c>
      <c r="E1999" t="s">
        <v>18</v>
      </c>
      <c r="F1999" t="s">
        <v>12</v>
      </c>
      <c r="G1999">
        <v>50898</v>
      </c>
      <c r="H1999">
        <v>2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f>SUM(Table1[[#This Row],[Gold Spending]]+Table1[[#This Row],[Sweet Spending]]+Table1[[#This Row],[Fish Spending]]+Table1[[#This Row],[Meat Spending]]+Table1[[#This Row],[Fruits Spending]]+Table1[[#This Row],[Wine Spending ]])</f>
        <v>859</v>
      </c>
      <c r="Q1999">
        <v>13</v>
      </c>
      <c r="R1999">
        <v>6</v>
      </c>
      <c r="S1999">
        <v>2</v>
      </c>
      <c r="T1999">
        <v>12</v>
      </c>
      <c r="U1999">
        <f>SUM(Table1[[#This Row],[Store_Purchases]]+Table1[[#This Row],[Catalog_Purchases]]+Table1[[#This Row],[Web_Purchases]]+Table1[[#This Row],[Deal_Purchases]])</f>
        <v>33</v>
      </c>
      <c r="V1999">
        <v>5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f>SUM(Table1[[#This Row],[Accepted_Campaign_2]]+Table1[[#This Row],[Accepted_Campaign_1]]+Table1[[#This Row],[Accepted_Campaign_5]]+Table1[[#This Row],[Accepted_Campaign_4]]+Table1[[#This Row],[Accepted_Campaign_3]])</f>
        <v>0</v>
      </c>
      <c r="AC1999">
        <v>0</v>
      </c>
      <c r="AD1999">
        <v>0</v>
      </c>
    </row>
    <row r="2000" spans="1:30" x14ac:dyDescent="0.25">
      <c r="A2000">
        <v>41276</v>
      </c>
      <c r="B2000">
        <v>2736</v>
      </c>
      <c r="C2000">
        <v>1978</v>
      </c>
      <c r="D2000" t="s">
        <v>17</v>
      </c>
      <c r="E2000" t="s">
        <v>6</v>
      </c>
      <c r="F2000" t="s">
        <v>11</v>
      </c>
      <c r="G2000">
        <v>73807</v>
      </c>
      <c r="H2000">
        <v>1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f>SUM(Table1[[#This Row],[Gold Spending]]+Table1[[#This Row],[Sweet Spending]]+Table1[[#This Row],[Fish Spending]]+Table1[[#This Row],[Meat Spending]]+Table1[[#This Row],[Fruits Spending]]+Table1[[#This Row],[Wine Spending ]])</f>
        <v>849</v>
      </c>
      <c r="Q2000">
        <v>2</v>
      </c>
      <c r="R2000">
        <v>5</v>
      </c>
      <c r="S2000">
        <v>5</v>
      </c>
      <c r="T2000">
        <v>11</v>
      </c>
      <c r="U2000">
        <f>SUM(Table1[[#This Row],[Store_Purchases]]+Table1[[#This Row],[Catalog_Purchases]]+Table1[[#This Row],[Web_Purchases]]+Table1[[#This Row],[Deal_Purchases]])</f>
        <v>23</v>
      </c>
      <c r="V2000">
        <v>2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f>SUM(Table1[[#This Row],[Accepted_Campaign_2]]+Table1[[#This Row],[Accepted_Campaign_1]]+Table1[[#This Row],[Accepted_Campaign_5]]+Table1[[#This Row],[Accepted_Campaign_4]]+Table1[[#This Row],[Accepted_Campaign_3]])</f>
        <v>0</v>
      </c>
      <c r="AC2000">
        <v>0</v>
      </c>
      <c r="AD2000">
        <v>0</v>
      </c>
    </row>
    <row r="2001" spans="1:30" x14ac:dyDescent="0.25">
      <c r="A2001">
        <v>41275</v>
      </c>
      <c r="B2001">
        <v>8162</v>
      </c>
      <c r="C2001">
        <v>1956</v>
      </c>
      <c r="D2001" t="s">
        <v>8</v>
      </c>
      <c r="E2001" t="s">
        <v>18</v>
      </c>
      <c r="F2001" t="s">
        <v>12</v>
      </c>
      <c r="G2001">
        <v>14661</v>
      </c>
      <c r="H2001">
        <v>0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f>SUM(Table1[[#This Row],[Gold Spending]]+Table1[[#This Row],[Sweet Spending]]+Table1[[#This Row],[Fish Spending]]+Table1[[#This Row],[Meat Spending]]+Table1[[#This Row],[Fruits Spending]]+Table1[[#This Row],[Wine Spending ]])</f>
        <v>26</v>
      </c>
      <c r="Q2001">
        <v>1</v>
      </c>
      <c r="R2001">
        <v>1</v>
      </c>
      <c r="S2001">
        <v>0</v>
      </c>
      <c r="T2001">
        <v>3</v>
      </c>
      <c r="U2001">
        <f>SUM(Table1[[#This Row],[Store_Purchases]]+Table1[[#This Row],[Catalog_Purchases]]+Table1[[#This Row],[Web_Purchases]]+Table1[[#This Row],[Deal_Purchases]])</f>
        <v>5</v>
      </c>
      <c r="V2001">
        <v>6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f>SUM(Table1[[#This Row],[Accepted_Campaign_2]]+Table1[[#This Row],[Accepted_Campaign_1]]+Table1[[#This Row],[Accepted_Campaign_5]]+Table1[[#This Row],[Accepted_Campaign_4]]+Table1[[#This Row],[Accepted_Campaign_3]])</f>
        <v>0</v>
      </c>
      <c r="AC2001">
        <v>0</v>
      </c>
      <c r="AD2001">
        <v>0</v>
      </c>
    </row>
    <row r="2002" spans="1:30" x14ac:dyDescent="0.25">
      <c r="A2002">
        <v>41263</v>
      </c>
      <c r="B2002">
        <v>692</v>
      </c>
      <c r="C2002">
        <v>1954</v>
      </c>
      <c r="D2002" t="s">
        <v>17</v>
      </c>
      <c r="E2002" t="s">
        <v>6</v>
      </c>
      <c r="F2002" t="s">
        <v>12</v>
      </c>
      <c r="G2002">
        <v>36807</v>
      </c>
      <c r="H2002">
        <v>2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f>SUM(Table1[[#This Row],[Gold Spending]]+Table1[[#This Row],[Sweet Spending]]+Table1[[#This Row],[Fish Spending]]+Table1[[#This Row],[Meat Spending]]+Table1[[#This Row],[Fruits Spending]]+Table1[[#This Row],[Wine Spending ]])</f>
        <v>16</v>
      </c>
      <c r="Q2002">
        <v>1</v>
      </c>
      <c r="R2002">
        <v>1</v>
      </c>
      <c r="S2002">
        <v>0</v>
      </c>
      <c r="T2002">
        <v>2</v>
      </c>
      <c r="U2002">
        <f>SUM(Table1[[#This Row],[Store_Purchases]]+Table1[[#This Row],[Catalog_Purchases]]+Table1[[#This Row],[Web_Purchases]]+Table1[[#This Row],[Deal_Purchases]])</f>
        <v>4</v>
      </c>
      <c r="V2002">
        <v>6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f>SUM(Table1[[#This Row],[Accepted_Campaign_2]]+Table1[[#This Row],[Accepted_Campaign_1]]+Table1[[#This Row],[Accepted_Campaign_5]]+Table1[[#This Row],[Accepted_Campaign_4]]+Table1[[#This Row],[Accepted_Campaign_3]])</f>
        <v>0</v>
      </c>
      <c r="AC2002">
        <v>0</v>
      </c>
      <c r="AD2002">
        <v>0</v>
      </c>
    </row>
    <row r="2003" spans="1:30" x14ac:dyDescent="0.25">
      <c r="A2003">
        <v>41220</v>
      </c>
      <c r="B2003">
        <v>7706</v>
      </c>
      <c r="C2003">
        <v>1975</v>
      </c>
      <c r="D2003" t="s">
        <v>10</v>
      </c>
      <c r="E2003" t="s">
        <v>15</v>
      </c>
      <c r="F2003" t="s">
        <v>12</v>
      </c>
      <c r="G2003">
        <v>46772</v>
      </c>
      <c r="H2003">
        <v>1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f>SUM(Table1[[#This Row],[Gold Spending]]+Table1[[#This Row],[Sweet Spending]]+Table1[[#This Row],[Fish Spending]]+Table1[[#This Row],[Meat Spending]]+Table1[[#This Row],[Fruits Spending]]+Table1[[#This Row],[Wine Spending ]])</f>
        <v>1048</v>
      </c>
      <c r="Q2003">
        <v>6</v>
      </c>
      <c r="R2003">
        <v>11</v>
      </c>
      <c r="S2003">
        <v>8</v>
      </c>
      <c r="T2003">
        <v>5</v>
      </c>
      <c r="U2003">
        <f>SUM(Table1[[#This Row],[Store_Purchases]]+Table1[[#This Row],[Catalog_Purchases]]+Table1[[#This Row],[Web_Purchases]]+Table1[[#This Row],[Deal_Purchases]])</f>
        <v>30</v>
      </c>
      <c r="V2003">
        <v>8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f>SUM(Table1[[#This Row],[Accepted_Campaign_2]]+Table1[[#This Row],[Accepted_Campaign_1]]+Table1[[#This Row],[Accepted_Campaign_5]]+Table1[[#This Row],[Accepted_Campaign_4]]+Table1[[#This Row],[Accepted_Campaign_3]])</f>
        <v>1</v>
      </c>
      <c r="AC2003">
        <v>0</v>
      </c>
      <c r="AD2003">
        <v>0</v>
      </c>
    </row>
    <row r="2004" spans="1:30" x14ac:dyDescent="0.25">
      <c r="A2004">
        <v>41757</v>
      </c>
      <c r="B2004">
        <v>9298</v>
      </c>
      <c r="C2004">
        <v>1947</v>
      </c>
      <c r="D2004" t="s">
        <v>20</v>
      </c>
      <c r="E2004" t="s">
        <v>14</v>
      </c>
      <c r="F2004" t="s">
        <v>12</v>
      </c>
      <c r="G2004">
        <v>81574</v>
      </c>
      <c r="H2004">
        <v>0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f>SUM(Table1[[#This Row],[Gold Spending]]+Table1[[#This Row],[Sweet Spending]]+Table1[[#This Row],[Fish Spending]]+Table1[[#This Row],[Meat Spending]]+Table1[[#This Row],[Fruits Spending]]+Table1[[#This Row],[Wine Spending ]])</f>
        <v>1798</v>
      </c>
      <c r="Q2004">
        <v>1</v>
      </c>
      <c r="R2004">
        <v>4</v>
      </c>
      <c r="S2004">
        <v>5</v>
      </c>
      <c r="T2004">
        <v>8</v>
      </c>
      <c r="U2004">
        <f>SUM(Table1[[#This Row],[Store_Purchases]]+Table1[[#This Row],[Catalog_Purchases]]+Table1[[#This Row],[Web_Purchases]]+Table1[[#This Row],[Deal_Purchases]])</f>
        <v>18</v>
      </c>
      <c r="V2004">
        <v>1</v>
      </c>
      <c r="W2004">
        <v>0</v>
      </c>
      <c r="X2004">
        <v>1</v>
      </c>
      <c r="Y2004">
        <v>1</v>
      </c>
      <c r="Z2004">
        <v>0</v>
      </c>
      <c r="AA2004">
        <v>0</v>
      </c>
      <c r="AB2004">
        <f>SUM(Table1[[#This Row],[Accepted_Campaign_2]]+Table1[[#This Row],[Accepted_Campaign_1]]+Table1[[#This Row],[Accepted_Campaign_5]]+Table1[[#This Row],[Accepted_Campaign_4]]+Table1[[#This Row],[Accepted_Campaign_3]])</f>
        <v>2</v>
      </c>
      <c r="AC2004">
        <v>0</v>
      </c>
      <c r="AD2004">
        <v>0</v>
      </c>
    </row>
    <row r="2005" spans="1:30" x14ac:dyDescent="0.25">
      <c r="A2005">
        <v>41710</v>
      </c>
      <c r="B2005">
        <v>2986</v>
      </c>
      <c r="C2005">
        <v>1976</v>
      </c>
      <c r="D2005" t="s">
        <v>10</v>
      </c>
      <c r="E2005" t="s">
        <v>6</v>
      </c>
      <c r="F2005" t="s">
        <v>11</v>
      </c>
      <c r="G2005">
        <v>30772</v>
      </c>
      <c r="H2005">
        <v>2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f>SUM(Table1[[#This Row],[Gold Spending]]+Table1[[#This Row],[Sweet Spending]]+Table1[[#This Row],[Fish Spending]]+Table1[[#This Row],[Meat Spending]]+Table1[[#This Row],[Fruits Spending]]+Table1[[#This Row],[Wine Spending ]])</f>
        <v>20</v>
      </c>
      <c r="Q2005">
        <v>1</v>
      </c>
      <c r="R2005">
        <v>1</v>
      </c>
      <c r="S2005">
        <v>0</v>
      </c>
      <c r="T2005">
        <v>2</v>
      </c>
      <c r="U2005">
        <f>SUM(Table1[[#This Row],[Store_Purchases]]+Table1[[#This Row],[Catalog_Purchases]]+Table1[[#This Row],[Web_Purchases]]+Table1[[#This Row],[Deal_Purchases]])</f>
        <v>4</v>
      </c>
      <c r="V2005">
        <v>6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f>SUM(Table1[[#This Row],[Accepted_Campaign_2]]+Table1[[#This Row],[Accepted_Campaign_1]]+Table1[[#This Row],[Accepted_Campaign_5]]+Table1[[#This Row],[Accepted_Campaign_4]]+Table1[[#This Row],[Accepted_Campaign_3]])</f>
        <v>0</v>
      </c>
      <c r="AC2005">
        <v>0</v>
      </c>
      <c r="AD2005">
        <v>0</v>
      </c>
    </row>
    <row r="2006" spans="1:30" x14ac:dyDescent="0.25">
      <c r="A2006">
        <v>41699</v>
      </c>
      <c r="B2006">
        <v>10812</v>
      </c>
      <c r="C2006">
        <v>1978</v>
      </c>
      <c r="D2006" t="s">
        <v>20</v>
      </c>
      <c r="E2006" t="s">
        <v>14</v>
      </c>
      <c r="F2006" t="s">
        <v>11</v>
      </c>
      <c r="G2006">
        <v>46377</v>
      </c>
      <c r="H2006">
        <v>1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f>SUM(Table1[[#This Row],[Gold Spending]]+Table1[[#This Row],[Sweet Spending]]+Table1[[#This Row],[Fish Spending]]+Table1[[#This Row],[Meat Spending]]+Table1[[#This Row],[Fruits Spending]]+Table1[[#This Row],[Wine Spending ]])</f>
        <v>90</v>
      </c>
      <c r="Q2006">
        <v>1</v>
      </c>
      <c r="R2006">
        <v>2</v>
      </c>
      <c r="S2006">
        <v>1</v>
      </c>
      <c r="T2006">
        <v>3</v>
      </c>
      <c r="U2006">
        <f>SUM(Table1[[#This Row],[Store_Purchases]]+Table1[[#This Row],[Catalog_Purchases]]+Table1[[#This Row],[Web_Purchases]]+Table1[[#This Row],[Deal_Purchases]])</f>
        <v>7</v>
      </c>
      <c r="V2006">
        <v>4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f>SUM(Table1[[#This Row],[Accepted_Campaign_2]]+Table1[[#This Row],[Accepted_Campaign_1]]+Table1[[#This Row],[Accepted_Campaign_5]]+Table1[[#This Row],[Accepted_Campaign_4]]+Table1[[#This Row],[Accepted_Campaign_3]])</f>
        <v>0</v>
      </c>
      <c r="AC2006">
        <v>0</v>
      </c>
      <c r="AD2006">
        <v>0</v>
      </c>
    </row>
    <row r="2007" spans="1:30" x14ac:dyDescent="0.25">
      <c r="A2007">
        <v>41689</v>
      </c>
      <c r="B2007">
        <v>2909</v>
      </c>
      <c r="C2007">
        <v>1974</v>
      </c>
      <c r="D2007" t="s">
        <v>16</v>
      </c>
      <c r="E2007" t="s">
        <v>14</v>
      </c>
      <c r="F2007" t="s">
        <v>11</v>
      </c>
      <c r="G2007">
        <v>78128</v>
      </c>
      <c r="H2007">
        <v>1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f>SUM(Table1[[#This Row],[Gold Spending]]+Table1[[#This Row],[Sweet Spending]]+Table1[[#This Row],[Fish Spending]]+Table1[[#This Row],[Meat Spending]]+Table1[[#This Row],[Fruits Spending]]+Table1[[#This Row],[Wine Spending ]])</f>
        <v>1264</v>
      </c>
      <c r="Q2007">
        <v>2</v>
      </c>
      <c r="R2007">
        <v>8</v>
      </c>
      <c r="S2007">
        <v>4</v>
      </c>
      <c r="T2007">
        <v>6</v>
      </c>
      <c r="U2007">
        <f>SUM(Table1[[#This Row],[Store_Purchases]]+Table1[[#This Row],[Catalog_Purchases]]+Table1[[#This Row],[Web_Purchases]]+Table1[[#This Row],[Deal_Purchases]])</f>
        <v>20</v>
      </c>
      <c r="V2007">
        <v>3</v>
      </c>
      <c r="W2007">
        <v>0</v>
      </c>
      <c r="X2007">
        <v>1</v>
      </c>
      <c r="Y2007">
        <v>1</v>
      </c>
      <c r="Z2007">
        <v>0</v>
      </c>
      <c r="AA2007">
        <v>0</v>
      </c>
      <c r="AB2007">
        <f>SUM(Table1[[#This Row],[Accepted_Campaign_2]]+Table1[[#This Row],[Accepted_Campaign_1]]+Table1[[#This Row],[Accepted_Campaign_5]]+Table1[[#This Row],[Accepted_Campaign_4]]+Table1[[#This Row],[Accepted_Campaign_3]])</f>
        <v>2</v>
      </c>
      <c r="AC2007">
        <v>0</v>
      </c>
      <c r="AD2007">
        <v>0</v>
      </c>
    </row>
    <row r="2008" spans="1:30" x14ac:dyDescent="0.25">
      <c r="A2008">
        <v>41639</v>
      </c>
      <c r="B2008">
        <v>6974</v>
      </c>
      <c r="C2008">
        <v>1972</v>
      </c>
      <c r="D2008" t="s">
        <v>16</v>
      </c>
      <c r="E2008" t="s">
        <v>14</v>
      </c>
      <c r="F2008" t="s">
        <v>12</v>
      </c>
      <c r="G2008">
        <v>83443</v>
      </c>
      <c r="H2008">
        <v>0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f>SUM(Table1[[#This Row],[Gold Spending]]+Table1[[#This Row],[Sweet Spending]]+Table1[[#This Row],[Fish Spending]]+Table1[[#This Row],[Meat Spending]]+Table1[[#This Row],[Fruits Spending]]+Table1[[#This Row],[Wine Spending ]])</f>
        <v>1497</v>
      </c>
      <c r="Q2008">
        <v>1</v>
      </c>
      <c r="R2008">
        <v>6</v>
      </c>
      <c r="S2008">
        <v>10</v>
      </c>
      <c r="T2008">
        <v>5</v>
      </c>
      <c r="U2008">
        <f>SUM(Table1[[#This Row],[Store_Purchases]]+Table1[[#This Row],[Catalog_Purchases]]+Table1[[#This Row],[Web_Purchases]]+Table1[[#This Row],[Deal_Purchases]])</f>
        <v>22</v>
      </c>
      <c r="V2008">
        <v>2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f>SUM(Table1[[#This Row],[Accepted_Campaign_2]]+Table1[[#This Row],[Accepted_Campaign_1]]+Table1[[#This Row],[Accepted_Campaign_5]]+Table1[[#This Row],[Accepted_Campaign_4]]+Table1[[#This Row],[Accepted_Campaign_3]])</f>
        <v>0</v>
      </c>
      <c r="AC2008">
        <v>0</v>
      </c>
      <c r="AD2008">
        <v>0</v>
      </c>
    </row>
    <row r="2009" spans="1:30" x14ac:dyDescent="0.25">
      <c r="A2009">
        <v>41633</v>
      </c>
      <c r="B2009">
        <v>9140</v>
      </c>
      <c r="C2009">
        <v>1960</v>
      </c>
      <c r="D2009" t="s">
        <v>63</v>
      </c>
      <c r="E2009" t="s">
        <v>15</v>
      </c>
      <c r="F2009" t="s">
        <v>12</v>
      </c>
      <c r="G2009">
        <v>50523</v>
      </c>
      <c r="H2009">
        <v>2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f>SUM(Table1[[#This Row],[Gold Spending]]+Table1[[#This Row],[Sweet Spending]]+Table1[[#This Row],[Fish Spending]]+Table1[[#This Row],[Meat Spending]]+Table1[[#This Row],[Fruits Spending]]+Table1[[#This Row],[Wine Spending ]])</f>
        <v>91</v>
      </c>
      <c r="Q2009">
        <v>2</v>
      </c>
      <c r="R2009">
        <v>2</v>
      </c>
      <c r="S2009">
        <v>0</v>
      </c>
      <c r="T2009">
        <v>4</v>
      </c>
      <c r="U2009">
        <f>SUM(Table1[[#This Row],[Store_Purchases]]+Table1[[#This Row],[Catalog_Purchases]]+Table1[[#This Row],[Web_Purchases]]+Table1[[#This Row],[Deal_Purchases]])</f>
        <v>8</v>
      </c>
      <c r="V2009">
        <v>6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f>SUM(Table1[[#This Row],[Accepted_Campaign_2]]+Table1[[#This Row],[Accepted_Campaign_1]]+Table1[[#This Row],[Accepted_Campaign_5]]+Table1[[#This Row],[Accepted_Campaign_4]]+Table1[[#This Row],[Accepted_Campaign_3]])</f>
        <v>0</v>
      </c>
      <c r="AC2009">
        <v>0</v>
      </c>
      <c r="AD2009">
        <v>0</v>
      </c>
    </row>
    <row r="2010" spans="1:30" x14ac:dyDescent="0.25">
      <c r="A2010">
        <v>41548</v>
      </c>
      <c r="B2010">
        <v>4554</v>
      </c>
      <c r="C2010">
        <v>1965</v>
      </c>
      <c r="D2010" t="s">
        <v>8</v>
      </c>
      <c r="E2010" t="s">
        <v>6</v>
      </c>
      <c r="F2010" t="s">
        <v>12</v>
      </c>
      <c r="G2010">
        <v>47009</v>
      </c>
      <c r="H2010">
        <v>1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f>SUM(Table1[[#This Row],[Gold Spending]]+Table1[[#This Row],[Sweet Spending]]+Table1[[#This Row],[Fish Spending]]+Table1[[#This Row],[Meat Spending]]+Table1[[#This Row],[Fruits Spending]]+Table1[[#This Row],[Wine Spending ]])</f>
        <v>448</v>
      </c>
      <c r="Q2010">
        <v>4</v>
      </c>
      <c r="R2010">
        <v>3</v>
      </c>
      <c r="S2010">
        <v>2</v>
      </c>
      <c r="T2010">
        <v>8</v>
      </c>
      <c r="U2010">
        <f>SUM(Table1[[#This Row],[Store_Purchases]]+Table1[[#This Row],[Catalog_Purchases]]+Table1[[#This Row],[Web_Purchases]]+Table1[[#This Row],[Deal_Purchases]])</f>
        <v>17</v>
      </c>
      <c r="V2010">
        <v>4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f>SUM(Table1[[#This Row],[Accepted_Campaign_2]]+Table1[[#This Row],[Accepted_Campaign_1]]+Table1[[#This Row],[Accepted_Campaign_5]]+Table1[[#This Row],[Accepted_Campaign_4]]+Table1[[#This Row],[Accepted_Campaign_3]])</f>
        <v>0</v>
      </c>
      <c r="AC2010">
        <v>0</v>
      </c>
      <c r="AD2010">
        <v>0</v>
      </c>
    </row>
    <row r="2011" spans="1:30" x14ac:dyDescent="0.25">
      <c r="A2011">
        <v>41532</v>
      </c>
      <c r="B2011">
        <v>7791</v>
      </c>
      <c r="C2011">
        <v>1967</v>
      </c>
      <c r="D2011" t="s">
        <v>20</v>
      </c>
      <c r="E2011" t="s">
        <v>18</v>
      </c>
      <c r="F2011" t="s">
        <v>11</v>
      </c>
      <c r="G2011">
        <v>37054</v>
      </c>
      <c r="H2011">
        <v>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f>SUM(Table1[[#This Row],[Gold Spending]]+Table1[[#This Row],[Sweet Spending]]+Table1[[#This Row],[Fish Spending]]+Table1[[#This Row],[Meat Spending]]+Table1[[#This Row],[Fruits Spending]]+Table1[[#This Row],[Wine Spending ]])</f>
        <v>25</v>
      </c>
      <c r="Q2011">
        <v>2</v>
      </c>
      <c r="R2011">
        <v>1</v>
      </c>
      <c r="S2011">
        <v>0</v>
      </c>
      <c r="T2011">
        <v>3</v>
      </c>
      <c r="U2011">
        <f>SUM(Table1[[#This Row],[Store_Purchases]]+Table1[[#This Row],[Catalog_Purchases]]+Table1[[#This Row],[Web_Purchases]]+Table1[[#This Row],[Deal_Purchases]])</f>
        <v>6</v>
      </c>
      <c r="V2011">
        <v>7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f>SUM(Table1[[#This Row],[Accepted_Campaign_2]]+Table1[[#This Row],[Accepted_Campaign_1]]+Table1[[#This Row],[Accepted_Campaign_5]]+Table1[[#This Row],[Accepted_Campaign_4]]+Table1[[#This Row],[Accepted_Campaign_3]])</f>
        <v>0</v>
      </c>
      <c r="AC2011">
        <v>0</v>
      </c>
      <c r="AD2011">
        <v>0</v>
      </c>
    </row>
    <row r="2012" spans="1:30" x14ac:dyDescent="0.25">
      <c r="A2012">
        <v>41508</v>
      </c>
      <c r="B2012">
        <v>5455</v>
      </c>
      <c r="C2012">
        <v>1971</v>
      </c>
      <c r="D2012" t="s">
        <v>8</v>
      </c>
      <c r="E2012" t="s">
        <v>14</v>
      </c>
      <c r="F2012" t="s">
        <v>11</v>
      </c>
      <c r="G2012">
        <v>32011</v>
      </c>
      <c r="H2012">
        <v>1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f>SUM(Table1[[#This Row],[Gold Spending]]+Table1[[#This Row],[Sweet Spending]]+Table1[[#This Row],[Fish Spending]]+Table1[[#This Row],[Meat Spending]]+Table1[[#This Row],[Fruits Spending]]+Table1[[#This Row],[Wine Spending ]])</f>
        <v>122</v>
      </c>
      <c r="Q2012">
        <v>3</v>
      </c>
      <c r="R2012">
        <v>2</v>
      </c>
      <c r="S2012">
        <v>1</v>
      </c>
      <c r="T2012">
        <v>4</v>
      </c>
      <c r="U2012">
        <f>SUM(Table1[[#This Row],[Store_Purchases]]+Table1[[#This Row],[Catalog_Purchases]]+Table1[[#This Row],[Web_Purchases]]+Table1[[#This Row],[Deal_Purchases]])</f>
        <v>10</v>
      </c>
      <c r="V2012">
        <v>7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f>SUM(Table1[[#This Row],[Accepted_Campaign_2]]+Table1[[#This Row],[Accepted_Campaign_1]]+Table1[[#This Row],[Accepted_Campaign_5]]+Table1[[#This Row],[Accepted_Campaign_4]]+Table1[[#This Row],[Accepted_Campaign_3]])</f>
        <v>0</v>
      </c>
      <c r="AC2012">
        <v>0</v>
      </c>
      <c r="AD2012">
        <v>0</v>
      </c>
    </row>
    <row r="2013" spans="1:30" x14ac:dyDescent="0.25">
      <c r="A2013">
        <v>41501</v>
      </c>
      <c r="B2013">
        <v>7960</v>
      </c>
      <c r="C2013">
        <v>1962</v>
      </c>
      <c r="D2013" t="s">
        <v>8</v>
      </c>
      <c r="E2013" t="s">
        <v>15</v>
      </c>
      <c r="F2013" t="s">
        <v>12</v>
      </c>
      <c r="G2013">
        <v>82122</v>
      </c>
      <c r="H2013">
        <v>0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f>SUM(Table1[[#This Row],[Gold Spending]]+Table1[[#This Row],[Sweet Spending]]+Table1[[#This Row],[Fish Spending]]+Table1[[#This Row],[Meat Spending]]+Table1[[#This Row],[Fruits Spending]]+Table1[[#This Row],[Wine Spending ]])</f>
        <v>1382</v>
      </c>
      <c r="Q2013">
        <v>1</v>
      </c>
      <c r="R2013">
        <v>3</v>
      </c>
      <c r="S2013">
        <v>9</v>
      </c>
      <c r="T2013">
        <v>13</v>
      </c>
      <c r="U2013">
        <f>SUM(Table1[[#This Row],[Store_Purchases]]+Table1[[#This Row],[Catalog_Purchases]]+Table1[[#This Row],[Web_Purchases]]+Table1[[#This Row],[Deal_Purchases]])</f>
        <v>26</v>
      </c>
      <c r="V2013">
        <v>1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f>SUM(Table1[[#This Row],[Accepted_Campaign_2]]+Table1[[#This Row],[Accepted_Campaign_1]]+Table1[[#This Row],[Accepted_Campaign_5]]+Table1[[#This Row],[Accepted_Campaign_4]]+Table1[[#This Row],[Accepted_Campaign_3]])</f>
        <v>1</v>
      </c>
      <c r="AC2013">
        <v>0</v>
      </c>
      <c r="AD2013">
        <v>0</v>
      </c>
    </row>
    <row r="2014" spans="1:30" x14ac:dyDescent="0.25">
      <c r="A2014">
        <v>41470</v>
      </c>
      <c r="B2014">
        <v>3426</v>
      </c>
      <c r="C2014">
        <v>1975</v>
      </c>
      <c r="D2014" t="s">
        <v>8</v>
      </c>
      <c r="E2014" t="s">
        <v>6</v>
      </c>
      <c r="F2014" t="s">
        <v>7</v>
      </c>
      <c r="G2014">
        <v>70300</v>
      </c>
      <c r="H2014">
        <v>1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f>SUM(Table1[[#This Row],[Gold Spending]]+Table1[[#This Row],[Sweet Spending]]+Table1[[#This Row],[Fish Spending]]+Table1[[#This Row],[Meat Spending]]+Table1[[#This Row],[Fruits Spending]]+Table1[[#This Row],[Wine Spending ]])</f>
        <v>1596</v>
      </c>
      <c r="Q2014">
        <v>3</v>
      </c>
      <c r="R2014">
        <v>5</v>
      </c>
      <c r="S2014">
        <v>5</v>
      </c>
      <c r="T2014">
        <v>13</v>
      </c>
      <c r="U2014">
        <f>SUM(Table1[[#This Row],[Store_Purchases]]+Table1[[#This Row],[Catalog_Purchases]]+Table1[[#This Row],[Web_Purchases]]+Table1[[#This Row],[Deal_Purchases]])</f>
        <v>26</v>
      </c>
      <c r="V2014">
        <v>8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f>SUM(Table1[[#This Row],[Accepted_Campaign_2]]+Table1[[#This Row],[Accepted_Campaign_1]]+Table1[[#This Row],[Accepted_Campaign_5]]+Table1[[#This Row],[Accepted_Campaign_4]]+Table1[[#This Row],[Accepted_Campaign_3]])</f>
        <v>0</v>
      </c>
      <c r="AC2014">
        <v>0</v>
      </c>
      <c r="AD2014">
        <v>0</v>
      </c>
    </row>
    <row r="2015" spans="1:30" x14ac:dyDescent="0.25">
      <c r="A2015">
        <v>41459</v>
      </c>
      <c r="B2015">
        <v>5316</v>
      </c>
      <c r="C2015">
        <v>1976</v>
      </c>
      <c r="D2015" t="s">
        <v>8</v>
      </c>
      <c r="E2015" t="s">
        <v>18</v>
      </c>
      <c r="F2015" t="s">
        <v>12</v>
      </c>
      <c r="G2015">
        <v>21024</v>
      </c>
      <c r="H2015">
        <v>0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f>SUM(Table1[[#This Row],[Gold Spending]]+Table1[[#This Row],[Sweet Spending]]+Table1[[#This Row],[Fish Spending]]+Table1[[#This Row],[Meat Spending]]+Table1[[#This Row],[Fruits Spending]]+Table1[[#This Row],[Wine Spending ]])</f>
        <v>84</v>
      </c>
      <c r="Q2015">
        <v>1</v>
      </c>
      <c r="R2015">
        <v>2</v>
      </c>
      <c r="S2015">
        <v>0</v>
      </c>
      <c r="T2015">
        <v>4</v>
      </c>
      <c r="U2015">
        <f>SUM(Table1[[#This Row],[Store_Purchases]]+Table1[[#This Row],[Catalog_Purchases]]+Table1[[#This Row],[Web_Purchases]]+Table1[[#This Row],[Deal_Purchases]])</f>
        <v>7</v>
      </c>
      <c r="V2015">
        <v>7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f>SUM(Table1[[#This Row],[Accepted_Campaign_2]]+Table1[[#This Row],[Accepted_Campaign_1]]+Table1[[#This Row],[Accepted_Campaign_5]]+Table1[[#This Row],[Accepted_Campaign_4]]+Table1[[#This Row],[Accepted_Campaign_3]])</f>
        <v>0</v>
      </c>
      <c r="AC2015">
        <v>0</v>
      </c>
      <c r="AD2015">
        <v>0</v>
      </c>
    </row>
    <row r="2016" spans="1:30" x14ac:dyDescent="0.25">
      <c r="A2016">
        <v>41409</v>
      </c>
      <c r="B2016">
        <v>1404</v>
      </c>
      <c r="C2016">
        <v>1968</v>
      </c>
      <c r="D2016" t="s">
        <v>20</v>
      </c>
      <c r="E2016" t="s">
        <v>6</v>
      </c>
      <c r="F2016" t="s">
        <v>12</v>
      </c>
      <c r="G2016">
        <v>34916</v>
      </c>
      <c r="H2016">
        <v>2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f>SUM(Table1[[#This Row],[Gold Spending]]+Table1[[#This Row],[Sweet Spending]]+Table1[[#This Row],[Fish Spending]]+Table1[[#This Row],[Meat Spending]]+Table1[[#This Row],[Fruits Spending]]+Table1[[#This Row],[Wine Spending ]])</f>
        <v>231</v>
      </c>
      <c r="Q2016">
        <v>4</v>
      </c>
      <c r="R2016">
        <v>5</v>
      </c>
      <c r="S2016">
        <v>1</v>
      </c>
      <c r="T2016">
        <v>3</v>
      </c>
      <c r="U2016">
        <f>SUM(Table1[[#This Row],[Store_Purchases]]+Table1[[#This Row],[Catalog_Purchases]]+Table1[[#This Row],[Web_Purchases]]+Table1[[#This Row],[Deal_Purchases]])</f>
        <v>13</v>
      </c>
      <c r="V2016">
        <v>9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f>SUM(Table1[[#This Row],[Accepted_Campaign_2]]+Table1[[#This Row],[Accepted_Campaign_1]]+Table1[[#This Row],[Accepted_Campaign_5]]+Table1[[#This Row],[Accepted_Campaign_4]]+Table1[[#This Row],[Accepted_Campaign_3]])</f>
        <v>0</v>
      </c>
      <c r="AC2016">
        <v>0</v>
      </c>
      <c r="AD2016">
        <v>0</v>
      </c>
    </row>
    <row r="2017" spans="1:30" x14ac:dyDescent="0.25">
      <c r="A2017">
        <v>41379</v>
      </c>
      <c r="B2017">
        <v>10598</v>
      </c>
      <c r="C2017">
        <v>1967</v>
      </c>
      <c r="D2017" t="s">
        <v>8</v>
      </c>
      <c r="E2017" t="s">
        <v>6</v>
      </c>
      <c r="F2017" t="s">
        <v>12</v>
      </c>
      <c r="G2017">
        <v>27943</v>
      </c>
      <c r="H2017">
        <v>2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f>SUM(Table1[[#This Row],[Gold Spending]]+Table1[[#This Row],[Sweet Spending]]+Table1[[#This Row],[Fish Spending]]+Table1[[#This Row],[Meat Spending]]+Table1[[#This Row],[Fruits Spending]]+Table1[[#This Row],[Wine Spending ]])</f>
        <v>37</v>
      </c>
      <c r="Q2017">
        <v>3</v>
      </c>
      <c r="R2017">
        <v>2</v>
      </c>
      <c r="S2017">
        <v>0</v>
      </c>
      <c r="T2017">
        <v>3</v>
      </c>
      <c r="U2017">
        <f>SUM(Table1[[#This Row],[Store_Purchases]]+Table1[[#This Row],[Catalog_Purchases]]+Table1[[#This Row],[Web_Purchases]]+Table1[[#This Row],[Deal_Purchases]])</f>
        <v>8</v>
      </c>
      <c r="V2017">
        <v>8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f>SUM(Table1[[#This Row],[Accepted_Campaign_2]]+Table1[[#This Row],[Accepted_Campaign_1]]+Table1[[#This Row],[Accepted_Campaign_5]]+Table1[[#This Row],[Accepted_Campaign_4]]+Table1[[#This Row],[Accepted_Campaign_3]])</f>
        <v>0</v>
      </c>
      <c r="AC2017">
        <v>0</v>
      </c>
      <c r="AD2017">
        <v>0</v>
      </c>
    </row>
    <row r="2018" spans="1:30" x14ac:dyDescent="0.25">
      <c r="A2018">
        <v>41361</v>
      </c>
      <c r="B2018">
        <v>8212</v>
      </c>
      <c r="C2018">
        <v>1971</v>
      </c>
      <c r="D2018" t="s">
        <v>8</v>
      </c>
      <c r="E2018" t="s">
        <v>18</v>
      </c>
      <c r="F2018" t="s">
        <v>11</v>
      </c>
      <c r="G2018">
        <v>39791</v>
      </c>
      <c r="H2018">
        <v>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f>SUM(Table1[[#This Row],[Gold Spending]]+Table1[[#This Row],[Sweet Spending]]+Table1[[#This Row],[Fish Spending]]+Table1[[#This Row],[Meat Spending]]+Table1[[#This Row],[Fruits Spending]]+Table1[[#This Row],[Wine Spending ]])</f>
        <v>174</v>
      </c>
      <c r="Q2018">
        <v>2</v>
      </c>
      <c r="R2018">
        <v>3</v>
      </c>
      <c r="S2018">
        <v>1</v>
      </c>
      <c r="T2018">
        <v>4</v>
      </c>
      <c r="U2018">
        <f>SUM(Table1[[#This Row],[Store_Purchases]]+Table1[[#This Row],[Catalog_Purchases]]+Table1[[#This Row],[Web_Purchases]]+Table1[[#This Row],[Deal_Purchases]])</f>
        <v>10</v>
      </c>
      <c r="V2018">
        <v>7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f>SUM(Table1[[#This Row],[Accepted_Campaign_2]]+Table1[[#This Row],[Accepted_Campaign_1]]+Table1[[#This Row],[Accepted_Campaign_5]]+Table1[[#This Row],[Accepted_Campaign_4]]+Table1[[#This Row],[Accepted_Campaign_3]])</f>
        <v>0</v>
      </c>
      <c r="AC2018">
        <v>0</v>
      </c>
      <c r="AD2018">
        <v>0</v>
      </c>
    </row>
    <row r="2019" spans="1:30" x14ac:dyDescent="0.25">
      <c r="A2019">
        <v>41356</v>
      </c>
      <c r="B2019">
        <v>3233</v>
      </c>
      <c r="C2019">
        <v>1965</v>
      </c>
      <c r="D2019" t="s">
        <v>20</v>
      </c>
      <c r="E2019" t="s">
        <v>14</v>
      </c>
      <c r="F2019" t="s">
        <v>11</v>
      </c>
      <c r="G2019">
        <v>62745</v>
      </c>
      <c r="H2019">
        <v>1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f>SUM(Table1[[#This Row],[Gold Spending]]+Table1[[#This Row],[Sweet Spending]]+Table1[[#This Row],[Fish Spending]]+Table1[[#This Row],[Meat Spending]]+Table1[[#This Row],[Fruits Spending]]+Table1[[#This Row],[Wine Spending ]])</f>
        <v>1117</v>
      </c>
      <c r="Q2019">
        <v>3</v>
      </c>
      <c r="R2019">
        <v>7</v>
      </c>
      <c r="S2019">
        <v>8</v>
      </c>
      <c r="T2019">
        <v>11</v>
      </c>
      <c r="U2019">
        <f>SUM(Table1[[#This Row],[Store_Purchases]]+Table1[[#This Row],[Catalog_Purchases]]+Table1[[#This Row],[Web_Purchases]]+Table1[[#This Row],[Deal_Purchases]])</f>
        <v>29</v>
      </c>
      <c r="V2019">
        <v>5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f>SUM(Table1[[#This Row],[Accepted_Campaign_2]]+Table1[[#This Row],[Accepted_Campaign_1]]+Table1[[#This Row],[Accepted_Campaign_5]]+Table1[[#This Row],[Accepted_Campaign_4]]+Table1[[#This Row],[Accepted_Campaign_3]])</f>
        <v>0</v>
      </c>
      <c r="AC2019">
        <v>0</v>
      </c>
      <c r="AD2019">
        <v>0</v>
      </c>
    </row>
    <row r="2020" spans="1:30" x14ac:dyDescent="0.25">
      <c r="A2020">
        <v>41276</v>
      </c>
      <c r="B2020">
        <v>7892</v>
      </c>
      <c r="C2020">
        <v>1969</v>
      </c>
      <c r="D2020" t="s">
        <v>63</v>
      </c>
      <c r="E2020" t="s">
        <v>6</v>
      </c>
      <c r="F2020" t="s">
        <v>9</v>
      </c>
      <c r="G2020">
        <v>18589</v>
      </c>
      <c r="H2020">
        <v>0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f>SUM(Table1[[#This Row],[Gold Spending]]+Table1[[#This Row],[Sweet Spending]]+Table1[[#This Row],[Fish Spending]]+Table1[[#This Row],[Meat Spending]]+Table1[[#This Row],[Fruits Spending]]+Table1[[#This Row],[Wine Spending ]])</f>
        <v>75</v>
      </c>
      <c r="Q2020">
        <v>2</v>
      </c>
      <c r="R2020">
        <v>2</v>
      </c>
      <c r="S2020">
        <v>1</v>
      </c>
      <c r="T2020">
        <v>3</v>
      </c>
      <c r="U2020">
        <f>SUM(Table1[[#This Row],[Store_Purchases]]+Table1[[#This Row],[Catalog_Purchases]]+Table1[[#This Row],[Web_Purchases]]+Table1[[#This Row],[Deal_Purchases]])</f>
        <v>8</v>
      </c>
      <c r="V2020">
        <v>7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f>SUM(Table1[[#This Row],[Accepted_Campaign_2]]+Table1[[#This Row],[Accepted_Campaign_1]]+Table1[[#This Row],[Accepted_Campaign_5]]+Table1[[#This Row],[Accepted_Campaign_4]]+Table1[[#This Row],[Accepted_Campaign_3]])</f>
        <v>0</v>
      </c>
      <c r="AC2020">
        <v>0</v>
      </c>
      <c r="AD2020">
        <v>0</v>
      </c>
    </row>
    <row r="2021" spans="1:30" x14ac:dyDescent="0.25">
      <c r="A2021">
        <v>41225</v>
      </c>
      <c r="B2021">
        <v>2975</v>
      </c>
      <c r="C2021">
        <v>1976</v>
      </c>
      <c r="D2021" t="s">
        <v>8</v>
      </c>
      <c r="E2021" t="s">
        <v>6</v>
      </c>
      <c r="F2021" t="s">
        <v>12</v>
      </c>
      <c r="G2021">
        <v>85606</v>
      </c>
      <c r="H2021">
        <v>1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f>SUM(Table1[[#This Row],[Gold Spending]]+Table1[[#This Row],[Sweet Spending]]+Table1[[#This Row],[Fish Spending]]+Table1[[#This Row],[Meat Spending]]+Table1[[#This Row],[Fruits Spending]]+Table1[[#This Row],[Wine Spending ]])</f>
        <v>1956</v>
      </c>
      <c r="Q2021">
        <v>2</v>
      </c>
      <c r="R2021">
        <v>6</v>
      </c>
      <c r="S2021">
        <v>7</v>
      </c>
      <c r="T2021">
        <v>9</v>
      </c>
      <c r="U2021">
        <f>SUM(Table1[[#This Row],[Store_Purchases]]+Table1[[#This Row],[Catalog_Purchases]]+Table1[[#This Row],[Web_Purchases]]+Table1[[#This Row],[Deal_Purchases]])</f>
        <v>24</v>
      </c>
      <c r="V2021">
        <v>3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f>SUM(Table1[[#This Row],[Accepted_Campaign_2]]+Table1[[#This Row],[Accepted_Campaign_1]]+Table1[[#This Row],[Accepted_Campaign_5]]+Table1[[#This Row],[Accepted_Campaign_4]]+Table1[[#This Row],[Accepted_Campaign_3]])</f>
        <v>1</v>
      </c>
      <c r="AC2021">
        <v>0</v>
      </c>
      <c r="AD2021">
        <v>0</v>
      </c>
    </row>
    <row r="2022" spans="1:30" x14ac:dyDescent="0.25">
      <c r="A2022">
        <v>41218</v>
      </c>
      <c r="B2022">
        <v>5043</v>
      </c>
      <c r="C2022">
        <v>1951</v>
      </c>
      <c r="D2022" t="s">
        <v>8</v>
      </c>
      <c r="E2022" t="s">
        <v>21</v>
      </c>
      <c r="F2022" t="s">
        <v>11</v>
      </c>
      <c r="G2022">
        <v>26997</v>
      </c>
      <c r="H2022">
        <v>0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f>SUM(Table1[[#This Row],[Gold Spending]]+Table1[[#This Row],[Sweet Spending]]+Table1[[#This Row],[Fish Spending]]+Table1[[#This Row],[Meat Spending]]+Table1[[#This Row],[Fruits Spending]]+Table1[[#This Row],[Wine Spending ]])</f>
        <v>434</v>
      </c>
      <c r="Q2022">
        <v>2</v>
      </c>
      <c r="R2022">
        <v>4</v>
      </c>
      <c r="S2022">
        <v>2</v>
      </c>
      <c r="T2022">
        <v>5</v>
      </c>
      <c r="U2022">
        <f>SUM(Table1[[#This Row],[Store_Purchases]]+Table1[[#This Row],[Catalog_Purchases]]+Table1[[#This Row],[Web_Purchases]]+Table1[[#This Row],[Deal_Purchases]])</f>
        <v>13</v>
      </c>
      <c r="V2022">
        <v>7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f>SUM(Table1[[#This Row],[Accepted_Campaign_2]]+Table1[[#This Row],[Accepted_Campaign_1]]+Table1[[#This Row],[Accepted_Campaign_5]]+Table1[[#This Row],[Accepted_Campaign_4]]+Table1[[#This Row],[Accepted_Campaign_3]])</f>
        <v>0</v>
      </c>
      <c r="AC2022">
        <v>0</v>
      </c>
      <c r="AD2022">
        <v>0</v>
      </c>
    </row>
    <row r="2023" spans="1:30" x14ac:dyDescent="0.25">
      <c r="A2023">
        <v>41169</v>
      </c>
      <c r="B2023">
        <v>3104</v>
      </c>
      <c r="C2023">
        <v>1961</v>
      </c>
      <c r="D2023" t="s">
        <v>16</v>
      </c>
      <c r="E2023" t="s">
        <v>6</v>
      </c>
      <c r="F2023" t="s">
        <v>9</v>
      </c>
      <c r="G2023">
        <v>82332</v>
      </c>
      <c r="H2023">
        <v>0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f>SUM(Table1[[#This Row],[Gold Spending]]+Table1[[#This Row],[Sweet Spending]]+Table1[[#This Row],[Fish Spending]]+Table1[[#This Row],[Meat Spending]]+Table1[[#This Row],[Fruits Spending]]+Table1[[#This Row],[Wine Spending ]])</f>
        <v>2006</v>
      </c>
      <c r="Q2023">
        <v>1</v>
      </c>
      <c r="R2023">
        <v>5</v>
      </c>
      <c r="S2023">
        <v>3</v>
      </c>
      <c r="T2023">
        <v>12</v>
      </c>
      <c r="U2023">
        <f>SUM(Table1[[#This Row],[Store_Purchases]]+Table1[[#This Row],[Catalog_Purchases]]+Table1[[#This Row],[Web_Purchases]]+Table1[[#This Row],[Deal_Purchases]])</f>
        <v>21</v>
      </c>
      <c r="V2023">
        <v>2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f>SUM(Table1[[#This Row],[Accepted_Campaign_2]]+Table1[[#This Row],[Accepted_Campaign_1]]+Table1[[#This Row],[Accepted_Campaign_5]]+Table1[[#This Row],[Accepted_Campaign_4]]+Table1[[#This Row],[Accepted_Campaign_3]])</f>
        <v>1</v>
      </c>
      <c r="AC2023">
        <v>1</v>
      </c>
      <c r="AD2023">
        <v>0</v>
      </c>
    </row>
    <row r="2024" spans="1:30" x14ac:dyDescent="0.25">
      <c r="A2024">
        <v>41782</v>
      </c>
      <c r="B2024">
        <v>10854</v>
      </c>
      <c r="C2024">
        <v>1970</v>
      </c>
      <c r="D2024" t="s">
        <v>17</v>
      </c>
      <c r="E2024" t="s">
        <v>14</v>
      </c>
      <c r="F2024" t="s">
        <v>11</v>
      </c>
      <c r="G2024">
        <v>38853</v>
      </c>
      <c r="H2024">
        <v>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f>SUM(Table1[[#This Row],[Gold Spending]]+Table1[[#This Row],[Sweet Spending]]+Table1[[#This Row],[Fish Spending]]+Table1[[#This Row],[Meat Spending]]+Table1[[#This Row],[Fruits Spending]]+Table1[[#This Row],[Wine Spending ]])</f>
        <v>45</v>
      </c>
      <c r="Q2024">
        <v>2</v>
      </c>
      <c r="R2024">
        <v>2</v>
      </c>
      <c r="S2024">
        <v>0</v>
      </c>
      <c r="T2024">
        <v>3</v>
      </c>
      <c r="U2024">
        <f>SUM(Table1[[#This Row],[Store_Purchases]]+Table1[[#This Row],[Catalog_Purchases]]+Table1[[#This Row],[Web_Purchases]]+Table1[[#This Row],[Deal_Purchases]])</f>
        <v>7</v>
      </c>
      <c r="V2024">
        <v>7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f>SUM(Table1[[#This Row],[Accepted_Campaign_2]]+Table1[[#This Row],[Accepted_Campaign_1]]+Table1[[#This Row],[Accepted_Campaign_5]]+Table1[[#This Row],[Accepted_Campaign_4]]+Table1[[#This Row],[Accepted_Campaign_3]])</f>
        <v>0</v>
      </c>
      <c r="AC2024">
        <v>0</v>
      </c>
      <c r="AD2024">
        <v>0</v>
      </c>
    </row>
    <row r="2025" spans="1:30" x14ac:dyDescent="0.25">
      <c r="A2025">
        <v>41752</v>
      </c>
      <c r="B2025">
        <v>7419</v>
      </c>
      <c r="C2025">
        <v>1968</v>
      </c>
      <c r="D2025" t="s">
        <v>8</v>
      </c>
      <c r="E2025" t="s">
        <v>18</v>
      </c>
      <c r="F2025" t="s">
        <v>7</v>
      </c>
      <c r="G2025">
        <v>27071</v>
      </c>
      <c r="H2025">
        <v>1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f>SUM(Table1[[#This Row],[Gold Spending]]+Table1[[#This Row],[Sweet Spending]]+Table1[[#This Row],[Fish Spending]]+Table1[[#This Row],[Meat Spending]]+Table1[[#This Row],[Fruits Spending]]+Table1[[#This Row],[Wine Spending ]])</f>
        <v>35</v>
      </c>
      <c r="Q2025">
        <v>2</v>
      </c>
      <c r="R2025">
        <v>2</v>
      </c>
      <c r="S2025">
        <v>0</v>
      </c>
      <c r="T2025">
        <v>3</v>
      </c>
      <c r="U2025">
        <f>SUM(Table1[[#This Row],[Store_Purchases]]+Table1[[#This Row],[Catalog_Purchases]]+Table1[[#This Row],[Web_Purchases]]+Table1[[#This Row],[Deal_Purchases]])</f>
        <v>7</v>
      </c>
      <c r="V2025">
        <v>6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f>SUM(Table1[[#This Row],[Accepted_Campaign_2]]+Table1[[#This Row],[Accepted_Campaign_1]]+Table1[[#This Row],[Accepted_Campaign_5]]+Table1[[#This Row],[Accepted_Campaign_4]]+Table1[[#This Row],[Accepted_Campaign_3]])</f>
        <v>0</v>
      </c>
      <c r="AC2025">
        <v>0</v>
      </c>
      <c r="AD2025">
        <v>0</v>
      </c>
    </row>
    <row r="2026" spans="1:30" x14ac:dyDescent="0.25">
      <c r="A2026">
        <v>41729</v>
      </c>
      <c r="B2026">
        <v>5558</v>
      </c>
      <c r="C2026">
        <v>1954</v>
      </c>
      <c r="D2026" t="s">
        <v>8</v>
      </c>
      <c r="E2026" t="s">
        <v>14</v>
      </c>
      <c r="F2026" t="s">
        <v>9</v>
      </c>
      <c r="G2026">
        <v>90933</v>
      </c>
      <c r="H2026">
        <v>0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f>SUM(Table1[[#This Row],[Gold Spending]]+Table1[[#This Row],[Sweet Spending]]+Table1[[#This Row],[Fish Spending]]+Table1[[#This Row],[Meat Spending]]+Table1[[#This Row],[Fruits Spending]]+Table1[[#This Row],[Wine Spending ]])</f>
        <v>1685</v>
      </c>
      <c r="Q2026">
        <v>1</v>
      </c>
      <c r="R2026">
        <v>4</v>
      </c>
      <c r="S2026">
        <v>6</v>
      </c>
      <c r="T2026">
        <v>4</v>
      </c>
      <c r="U2026">
        <f>SUM(Table1[[#This Row],[Store_Purchases]]+Table1[[#This Row],[Catalog_Purchases]]+Table1[[#This Row],[Web_Purchases]]+Table1[[#This Row],[Deal_Purchases]])</f>
        <v>15</v>
      </c>
      <c r="V2026">
        <v>1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f>SUM(Table1[[#This Row],[Accepted_Campaign_2]]+Table1[[#This Row],[Accepted_Campaign_1]]+Table1[[#This Row],[Accepted_Campaign_5]]+Table1[[#This Row],[Accepted_Campaign_4]]+Table1[[#This Row],[Accepted_Campaign_3]])</f>
        <v>1</v>
      </c>
      <c r="AC2026">
        <v>0</v>
      </c>
      <c r="AD2026">
        <v>0</v>
      </c>
    </row>
    <row r="2027" spans="1:30" x14ac:dyDescent="0.25">
      <c r="A2027">
        <v>41700</v>
      </c>
      <c r="B2027">
        <v>832</v>
      </c>
      <c r="C2027">
        <v>1966</v>
      </c>
      <c r="D2027" t="s">
        <v>8</v>
      </c>
      <c r="E2027" t="s">
        <v>14</v>
      </c>
      <c r="F2027" t="s">
        <v>12</v>
      </c>
      <c r="G2027">
        <v>65814</v>
      </c>
      <c r="H2027">
        <v>1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f>SUM(Table1[[#This Row],[Gold Spending]]+Table1[[#This Row],[Sweet Spending]]+Table1[[#This Row],[Fish Spending]]+Table1[[#This Row],[Meat Spending]]+Table1[[#This Row],[Fruits Spending]]+Table1[[#This Row],[Wine Spending ]])</f>
        <v>747</v>
      </c>
      <c r="Q2027">
        <v>3</v>
      </c>
      <c r="R2027">
        <v>8</v>
      </c>
      <c r="S2027">
        <v>2</v>
      </c>
      <c r="T2027">
        <v>10</v>
      </c>
      <c r="U2027">
        <f>SUM(Table1[[#This Row],[Store_Purchases]]+Table1[[#This Row],[Catalog_Purchases]]+Table1[[#This Row],[Web_Purchases]]+Table1[[#This Row],[Deal_Purchases]])</f>
        <v>23</v>
      </c>
      <c r="V2027">
        <v>5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f>SUM(Table1[[#This Row],[Accepted_Campaign_2]]+Table1[[#This Row],[Accepted_Campaign_1]]+Table1[[#This Row],[Accepted_Campaign_5]]+Table1[[#This Row],[Accepted_Campaign_4]]+Table1[[#This Row],[Accepted_Campaign_3]])</f>
        <v>0</v>
      </c>
      <c r="AC2027">
        <v>0</v>
      </c>
      <c r="AD2027">
        <v>0</v>
      </c>
    </row>
    <row r="2028" spans="1:30" x14ac:dyDescent="0.25">
      <c r="A2028">
        <v>41665</v>
      </c>
      <c r="B2028">
        <v>4964</v>
      </c>
      <c r="C2028">
        <v>1958</v>
      </c>
      <c r="D2028" t="s">
        <v>10</v>
      </c>
      <c r="E2028" t="s">
        <v>14</v>
      </c>
      <c r="F2028" t="s">
        <v>12</v>
      </c>
      <c r="G2028">
        <v>74250</v>
      </c>
      <c r="H2028">
        <v>0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f>SUM(Table1[[#This Row],[Gold Spending]]+Table1[[#This Row],[Sweet Spending]]+Table1[[#This Row],[Fish Spending]]+Table1[[#This Row],[Meat Spending]]+Table1[[#This Row],[Fruits Spending]]+Table1[[#This Row],[Wine Spending ]])</f>
        <v>1158</v>
      </c>
      <c r="Q2028">
        <v>1</v>
      </c>
      <c r="R2028">
        <v>2</v>
      </c>
      <c r="S2028">
        <v>11</v>
      </c>
      <c r="T2028">
        <v>4</v>
      </c>
      <c r="U2028">
        <f>SUM(Table1[[#This Row],[Store_Purchases]]+Table1[[#This Row],[Catalog_Purchases]]+Table1[[#This Row],[Web_Purchases]]+Table1[[#This Row],[Deal_Purchases]])</f>
        <v>18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f>SUM(Table1[[#This Row],[Accepted_Campaign_2]]+Table1[[#This Row],[Accepted_Campaign_1]]+Table1[[#This Row],[Accepted_Campaign_5]]+Table1[[#This Row],[Accepted_Campaign_4]]+Table1[[#This Row],[Accepted_Campaign_3]])</f>
        <v>0</v>
      </c>
      <c r="AC2028">
        <v>0</v>
      </c>
      <c r="AD2028">
        <v>0</v>
      </c>
    </row>
    <row r="2029" spans="1:30" x14ac:dyDescent="0.25">
      <c r="A2029">
        <v>41642</v>
      </c>
      <c r="B2029">
        <v>11030</v>
      </c>
      <c r="C2029">
        <v>1976</v>
      </c>
      <c r="D2029" t="s">
        <v>8</v>
      </c>
      <c r="E2029" t="s">
        <v>18</v>
      </c>
      <c r="F2029" t="s">
        <v>11</v>
      </c>
      <c r="G2029">
        <v>33181</v>
      </c>
      <c r="H2029">
        <v>1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f>SUM(Table1[[#This Row],[Gold Spending]]+Table1[[#This Row],[Sweet Spending]]+Table1[[#This Row],[Fish Spending]]+Table1[[#This Row],[Meat Spending]]+Table1[[#This Row],[Fruits Spending]]+Table1[[#This Row],[Wine Spending ]])</f>
        <v>16</v>
      </c>
      <c r="Q2029">
        <v>1</v>
      </c>
      <c r="R2029">
        <v>1</v>
      </c>
      <c r="S2029">
        <v>0</v>
      </c>
      <c r="T2029">
        <v>2</v>
      </c>
      <c r="U2029">
        <f>SUM(Table1[[#This Row],[Store_Purchases]]+Table1[[#This Row],[Catalog_Purchases]]+Table1[[#This Row],[Web_Purchases]]+Table1[[#This Row],[Deal_Purchases]])</f>
        <v>4</v>
      </c>
      <c r="V2029">
        <v>6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f>SUM(Table1[[#This Row],[Accepted_Campaign_2]]+Table1[[#This Row],[Accepted_Campaign_1]]+Table1[[#This Row],[Accepted_Campaign_5]]+Table1[[#This Row],[Accepted_Campaign_4]]+Table1[[#This Row],[Accepted_Campaign_3]])</f>
        <v>1</v>
      </c>
      <c r="AC2029">
        <v>0</v>
      </c>
      <c r="AD2029">
        <v>0</v>
      </c>
    </row>
    <row r="2030" spans="1:30" x14ac:dyDescent="0.25">
      <c r="A2030">
        <v>41473</v>
      </c>
      <c r="B2030">
        <v>4587</v>
      </c>
      <c r="C2030">
        <v>1944</v>
      </c>
      <c r="D2030" t="s">
        <v>8</v>
      </c>
      <c r="E2030" t="s">
        <v>18</v>
      </c>
      <c r="F2030" t="s">
        <v>19</v>
      </c>
      <c r="G2030">
        <v>45006</v>
      </c>
      <c r="H2030">
        <v>0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f>SUM(Table1[[#This Row],[Gold Spending]]+Table1[[#This Row],[Sweet Spending]]+Table1[[#This Row],[Fish Spending]]+Table1[[#This Row],[Meat Spending]]+Table1[[#This Row],[Fruits Spending]]+Table1[[#This Row],[Wine Spending ]])</f>
        <v>266</v>
      </c>
      <c r="Q2030">
        <v>1</v>
      </c>
      <c r="R2030">
        <v>3</v>
      </c>
      <c r="S2030">
        <v>1</v>
      </c>
      <c r="T2030">
        <v>7</v>
      </c>
      <c r="U2030">
        <f>SUM(Table1[[#This Row],[Store_Purchases]]+Table1[[#This Row],[Catalog_Purchases]]+Table1[[#This Row],[Web_Purchases]]+Table1[[#This Row],[Deal_Purchases]])</f>
        <v>12</v>
      </c>
      <c r="V2030">
        <v>3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f>SUM(Table1[[#This Row],[Accepted_Campaign_2]]+Table1[[#This Row],[Accepted_Campaign_1]]+Table1[[#This Row],[Accepted_Campaign_5]]+Table1[[#This Row],[Accepted_Campaign_4]]+Table1[[#This Row],[Accepted_Campaign_3]])</f>
        <v>0</v>
      </c>
      <c r="AC2030">
        <v>0</v>
      </c>
      <c r="AD2030">
        <v>0</v>
      </c>
    </row>
    <row r="2031" spans="1:30" x14ac:dyDescent="0.25">
      <c r="A2031">
        <v>41467</v>
      </c>
      <c r="B2031">
        <v>450</v>
      </c>
      <c r="C2031">
        <v>1958</v>
      </c>
      <c r="D2031" t="s">
        <v>63</v>
      </c>
      <c r="E2031" t="s">
        <v>18</v>
      </c>
      <c r="F2031" t="s">
        <v>12</v>
      </c>
      <c r="G2031">
        <v>42315</v>
      </c>
      <c r="H2031">
        <v>1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f>SUM(Table1[[#This Row],[Gold Spending]]+Table1[[#This Row],[Sweet Spending]]+Table1[[#This Row],[Fish Spending]]+Table1[[#This Row],[Meat Spending]]+Table1[[#This Row],[Fruits Spending]]+Table1[[#This Row],[Wine Spending ]])</f>
        <v>270</v>
      </c>
      <c r="Q2031">
        <v>3</v>
      </c>
      <c r="R2031">
        <v>1</v>
      </c>
      <c r="S2031">
        <v>4</v>
      </c>
      <c r="T2031">
        <v>4</v>
      </c>
      <c r="U2031">
        <f>SUM(Table1[[#This Row],[Store_Purchases]]+Table1[[#This Row],[Catalog_Purchases]]+Table1[[#This Row],[Web_Purchases]]+Table1[[#This Row],[Deal_Purchases]])</f>
        <v>12</v>
      </c>
      <c r="V2031">
        <v>3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f>SUM(Table1[[#This Row],[Accepted_Campaign_2]]+Table1[[#This Row],[Accepted_Campaign_1]]+Table1[[#This Row],[Accepted_Campaign_5]]+Table1[[#This Row],[Accepted_Campaign_4]]+Table1[[#This Row],[Accepted_Campaign_3]])</f>
        <v>0</v>
      </c>
      <c r="AC2031">
        <v>0</v>
      </c>
      <c r="AD2031">
        <v>0</v>
      </c>
    </row>
    <row r="2032" spans="1:30" x14ac:dyDescent="0.25">
      <c r="A2032">
        <v>41415</v>
      </c>
      <c r="B2032">
        <v>11031</v>
      </c>
      <c r="C2032">
        <v>1950</v>
      </c>
      <c r="D2032" t="s">
        <v>13</v>
      </c>
      <c r="E2032" t="s">
        <v>14</v>
      </c>
      <c r="F2032" t="s">
        <v>11</v>
      </c>
      <c r="G2032">
        <v>48699</v>
      </c>
      <c r="H2032">
        <v>2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f>SUM(Table1[[#This Row],[Gold Spending]]+Table1[[#This Row],[Sweet Spending]]+Table1[[#This Row],[Fish Spending]]+Table1[[#This Row],[Meat Spending]]+Table1[[#This Row],[Fruits Spending]]+Table1[[#This Row],[Wine Spending ]])</f>
        <v>40</v>
      </c>
      <c r="Q2032">
        <v>1</v>
      </c>
      <c r="R2032">
        <v>1</v>
      </c>
      <c r="S2032">
        <v>0</v>
      </c>
      <c r="T2032">
        <v>3</v>
      </c>
      <c r="U2032">
        <f>SUM(Table1[[#This Row],[Store_Purchases]]+Table1[[#This Row],[Catalog_Purchases]]+Table1[[#This Row],[Web_Purchases]]+Table1[[#This Row],[Deal_Purchases]])</f>
        <v>5</v>
      </c>
      <c r="V2032">
        <v>5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f>SUM(Table1[[#This Row],[Accepted_Campaign_2]]+Table1[[#This Row],[Accepted_Campaign_1]]+Table1[[#This Row],[Accepted_Campaign_5]]+Table1[[#This Row],[Accepted_Campaign_4]]+Table1[[#This Row],[Accepted_Campaign_3]])</f>
        <v>0</v>
      </c>
      <c r="AC2032">
        <v>0</v>
      </c>
      <c r="AD2032">
        <v>0</v>
      </c>
    </row>
    <row r="2033" spans="1:30" x14ac:dyDescent="0.25">
      <c r="A2033">
        <v>41396</v>
      </c>
      <c r="B2033">
        <v>4990</v>
      </c>
      <c r="C2033">
        <v>1954</v>
      </c>
      <c r="D2033" t="s">
        <v>13</v>
      </c>
      <c r="E2033" t="s">
        <v>6</v>
      </c>
      <c r="F2033" t="s">
        <v>11</v>
      </c>
      <c r="G2033">
        <v>59111</v>
      </c>
      <c r="H2033">
        <v>0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f>SUM(Table1[[#This Row],[Gold Spending]]+Table1[[#This Row],[Sweet Spending]]+Table1[[#This Row],[Fish Spending]]+Table1[[#This Row],[Meat Spending]]+Table1[[#This Row],[Fruits Spending]]+Table1[[#This Row],[Wine Spending ]])</f>
        <v>869</v>
      </c>
      <c r="Q2033">
        <v>1</v>
      </c>
      <c r="R2033">
        <v>11</v>
      </c>
      <c r="S2033">
        <v>1</v>
      </c>
      <c r="T2033">
        <v>8</v>
      </c>
      <c r="U2033">
        <f>SUM(Table1[[#This Row],[Store_Purchases]]+Table1[[#This Row],[Catalog_Purchases]]+Table1[[#This Row],[Web_Purchases]]+Table1[[#This Row],[Deal_Purchases]])</f>
        <v>21</v>
      </c>
      <c r="V2033">
        <v>7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f>SUM(Table1[[#This Row],[Accepted_Campaign_2]]+Table1[[#This Row],[Accepted_Campaign_1]]+Table1[[#This Row],[Accepted_Campaign_5]]+Table1[[#This Row],[Accepted_Campaign_4]]+Table1[[#This Row],[Accepted_Campaign_3]])</f>
        <v>0</v>
      </c>
      <c r="AC2033">
        <v>0</v>
      </c>
      <c r="AD2033">
        <v>0</v>
      </c>
    </row>
    <row r="2034" spans="1:30" x14ac:dyDescent="0.25">
      <c r="A2034">
        <v>41391</v>
      </c>
      <c r="B2034">
        <v>221</v>
      </c>
      <c r="C2034">
        <v>1955</v>
      </c>
      <c r="D2034" t="s">
        <v>16</v>
      </c>
      <c r="E2034" t="s">
        <v>6</v>
      </c>
      <c r="F2034" t="s">
        <v>11</v>
      </c>
      <c r="G2034">
        <v>48726</v>
      </c>
      <c r="H2034">
        <v>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f>SUM(Table1[[#This Row],[Gold Spending]]+Table1[[#This Row],[Sweet Spending]]+Table1[[#This Row],[Fish Spending]]+Table1[[#This Row],[Meat Spending]]+Table1[[#This Row],[Fruits Spending]]+Table1[[#This Row],[Wine Spending ]])</f>
        <v>242</v>
      </c>
      <c r="Q2034">
        <v>3</v>
      </c>
      <c r="R2034">
        <v>3</v>
      </c>
      <c r="S2034">
        <v>2</v>
      </c>
      <c r="T2034">
        <v>4</v>
      </c>
      <c r="U2034">
        <f>SUM(Table1[[#This Row],[Store_Purchases]]+Table1[[#This Row],[Catalog_Purchases]]+Table1[[#This Row],[Web_Purchases]]+Table1[[#This Row],[Deal_Purchases]])</f>
        <v>12</v>
      </c>
      <c r="V2034">
        <v>6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f>SUM(Table1[[#This Row],[Accepted_Campaign_2]]+Table1[[#This Row],[Accepted_Campaign_1]]+Table1[[#This Row],[Accepted_Campaign_5]]+Table1[[#This Row],[Accepted_Campaign_4]]+Table1[[#This Row],[Accepted_Campaign_3]])</f>
        <v>0</v>
      </c>
      <c r="AC2034">
        <v>0</v>
      </c>
      <c r="AD2034">
        <v>0</v>
      </c>
    </row>
    <row r="2035" spans="1:30" x14ac:dyDescent="0.25">
      <c r="A2035">
        <v>41391</v>
      </c>
      <c r="B2035">
        <v>4351</v>
      </c>
      <c r="C2035">
        <v>1955</v>
      </c>
      <c r="D2035" t="s">
        <v>8</v>
      </c>
      <c r="E2035" t="s">
        <v>6</v>
      </c>
      <c r="F2035" t="s">
        <v>7</v>
      </c>
      <c r="G2035">
        <v>37244</v>
      </c>
      <c r="H2035">
        <v>2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2035">
        <v>1</v>
      </c>
      <c r="R2035">
        <v>1</v>
      </c>
      <c r="S2035">
        <v>1</v>
      </c>
      <c r="T2035">
        <v>2</v>
      </c>
      <c r="U2035">
        <f>SUM(Table1[[#This Row],[Store_Purchases]]+Table1[[#This Row],[Catalog_Purchases]]+Table1[[#This Row],[Web_Purchases]]+Table1[[#This Row],[Deal_Purchases]])</f>
        <v>5</v>
      </c>
      <c r="V2035">
        <v>7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f>SUM(Table1[[#This Row],[Accepted_Campaign_2]]+Table1[[#This Row],[Accepted_Campaign_1]]+Table1[[#This Row],[Accepted_Campaign_5]]+Table1[[#This Row],[Accepted_Campaign_4]]+Table1[[#This Row],[Accepted_Campaign_3]])</f>
        <v>1</v>
      </c>
      <c r="AC2035">
        <v>0</v>
      </c>
      <c r="AD2035">
        <v>0</v>
      </c>
    </row>
    <row r="2036" spans="1:30" x14ac:dyDescent="0.25">
      <c r="A2036">
        <v>41372</v>
      </c>
      <c r="B2036">
        <v>1357</v>
      </c>
      <c r="C2036">
        <v>1970</v>
      </c>
      <c r="D2036" t="s">
        <v>16</v>
      </c>
      <c r="E2036" t="s">
        <v>6</v>
      </c>
      <c r="F2036" t="s">
        <v>12</v>
      </c>
      <c r="G2036">
        <v>74854</v>
      </c>
      <c r="H2036">
        <v>3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f>SUM(Table1[[#This Row],[Gold Spending]]+Table1[[#This Row],[Sweet Spending]]+Table1[[#This Row],[Fish Spending]]+Table1[[#This Row],[Meat Spending]]+Table1[[#This Row],[Fruits Spending]]+Table1[[#This Row],[Wine Spending ]])</f>
        <v>1562</v>
      </c>
      <c r="Q2036">
        <v>7</v>
      </c>
      <c r="R2036">
        <v>2</v>
      </c>
      <c r="S2036">
        <v>5</v>
      </c>
      <c r="T2036">
        <v>5</v>
      </c>
      <c r="U2036">
        <f>SUM(Table1[[#This Row],[Store_Purchases]]+Table1[[#This Row],[Catalog_Purchases]]+Table1[[#This Row],[Web_Purchases]]+Table1[[#This Row],[Deal_Purchases]])</f>
        <v>19</v>
      </c>
      <c r="V2036">
        <v>5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f>SUM(Table1[[#This Row],[Accepted_Campaign_2]]+Table1[[#This Row],[Accepted_Campaign_1]]+Table1[[#This Row],[Accepted_Campaign_5]]+Table1[[#This Row],[Accepted_Campaign_4]]+Table1[[#This Row],[Accepted_Campaign_3]])</f>
        <v>0</v>
      </c>
      <c r="AC2036">
        <v>0</v>
      </c>
      <c r="AD2036">
        <v>0</v>
      </c>
    </row>
    <row r="2037" spans="1:30" x14ac:dyDescent="0.25">
      <c r="A2037">
        <v>41193</v>
      </c>
      <c r="B2037">
        <v>5667</v>
      </c>
      <c r="C2037">
        <v>1964</v>
      </c>
      <c r="D2037" t="s">
        <v>10</v>
      </c>
      <c r="E2037" t="s">
        <v>14</v>
      </c>
      <c r="F2037" t="s">
        <v>11</v>
      </c>
      <c r="G2037">
        <v>60896</v>
      </c>
      <c r="H2037">
        <v>1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f>SUM(Table1[[#This Row],[Gold Spending]]+Table1[[#This Row],[Sweet Spending]]+Table1[[#This Row],[Fish Spending]]+Table1[[#This Row],[Meat Spending]]+Table1[[#This Row],[Fruits Spending]]+Table1[[#This Row],[Wine Spending ]])</f>
        <v>1701</v>
      </c>
      <c r="Q2037">
        <v>3</v>
      </c>
      <c r="R2037">
        <v>9</v>
      </c>
      <c r="S2037">
        <v>10</v>
      </c>
      <c r="T2037">
        <v>4</v>
      </c>
      <c r="U2037">
        <f>SUM(Table1[[#This Row],[Store_Purchases]]+Table1[[#This Row],[Catalog_Purchases]]+Table1[[#This Row],[Web_Purchases]]+Table1[[#This Row],[Deal_Purchases]])</f>
        <v>26</v>
      </c>
      <c r="V2037">
        <v>6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f>SUM(Table1[[#This Row],[Accepted_Campaign_2]]+Table1[[#This Row],[Accepted_Campaign_1]]+Table1[[#This Row],[Accepted_Campaign_5]]+Table1[[#This Row],[Accepted_Campaign_4]]+Table1[[#This Row],[Accepted_Campaign_3]])</f>
        <v>0</v>
      </c>
      <c r="AC2037">
        <v>1</v>
      </c>
      <c r="AD2037">
        <v>0</v>
      </c>
    </row>
    <row r="2038" spans="1:30" x14ac:dyDescent="0.25">
      <c r="A2038">
        <v>41152</v>
      </c>
      <c r="B2038">
        <v>8867</v>
      </c>
      <c r="C2038">
        <v>1988</v>
      </c>
      <c r="D2038" t="s">
        <v>20</v>
      </c>
      <c r="E2038" t="s">
        <v>14</v>
      </c>
      <c r="F2038" t="s">
        <v>11</v>
      </c>
      <c r="G2038">
        <v>67546</v>
      </c>
      <c r="H2038">
        <v>0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f>SUM(Table1[[#This Row],[Gold Spending]]+Table1[[#This Row],[Sweet Spending]]+Table1[[#This Row],[Fish Spending]]+Table1[[#This Row],[Meat Spending]]+Table1[[#This Row],[Fruits Spending]]+Table1[[#This Row],[Wine Spending ]])</f>
        <v>2126</v>
      </c>
      <c r="Q2038">
        <v>1</v>
      </c>
      <c r="R2038">
        <v>4</v>
      </c>
      <c r="S2038">
        <v>10</v>
      </c>
      <c r="T2038">
        <v>5</v>
      </c>
      <c r="U2038">
        <f>SUM(Table1[[#This Row],[Store_Purchases]]+Table1[[#This Row],[Catalog_Purchases]]+Table1[[#This Row],[Web_Purchases]]+Table1[[#This Row],[Deal_Purchases]])</f>
        <v>20</v>
      </c>
      <c r="V2038">
        <v>3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f>SUM(Table1[[#This Row],[Accepted_Campaign_2]]+Table1[[#This Row],[Accepted_Campaign_1]]+Table1[[#This Row],[Accepted_Campaign_5]]+Table1[[#This Row],[Accepted_Campaign_4]]+Table1[[#This Row],[Accepted_Campaign_3]])</f>
        <v>0</v>
      </c>
      <c r="AC2038">
        <v>0</v>
      </c>
      <c r="AD2038">
        <v>0</v>
      </c>
    </row>
    <row r="2039" spans="1:30" x14ac:dyDescent="0.25">
      <c r="A2039">
        <v>41152</v>
      </c>
      <c r="B2039">
        <v>2747</v>
      </c>
      <c r="C2039">
        <v>1988</v>
      </c>
      <c r="D2039" t="s">
        <v>8</v>
      </c>
      <c r="E2039" t="s">
        <v>14</v>
      </c>
      <c r="F2039" t="s">
        <v>11</v>
      </c>
      <c r="G2039">
        <v>67546</v>
      </c>
      <c r="H2039">
        <v>0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f>SUM(Table1[[#This Row],[Gold Spending]]+Table1[[#This Row],[Sweet Spending]]+Table1[[#This Row],[Fish Spending]]+Table1[[#This Row],[Meat Spending]]+Table1[[#This Row],[Fruits Spending]]+Table1[[#This Row],[Wine Spending ]])</f>
        <v>2126</v>
      </c>
      <c r="Q2039">
        <v>1</v>
      </c>
      <c r="R2039">
        <v>4</v>
      </c>
      <c r="S2039">
        <v>10</v>
      </c>
      <c r="T2039">
        <v>5</v>
      </c>
      <c r="U2039">
        <f>SUM(Table1[[#This Row],[Store_Purchases]]+Table1[[#This Row],[Catalog_Purchases]]+Table1[[#This Row],[Web_Purchases]]+Table1[[#This Row],[Deal_Purchases]])</f>
        <v>20</v>
      </c>
      <c r="V2039">
        <v>3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f>SUM(Table1[[#This Row],[Accepted_Campaign_2]]+Table1[[#This Row],[Accepted_Campaign_1]]+Table1[[#This Row],[Accepted_Campaign_5]]+Table1[[#This Row],[Accepted_Campaign_4]]+Table1[[#This Row],[Accepted_Campaign_3]])</f>
        <v>0</v>
      </c>
      <c r="AC2039">
        <v>0</v>
      </c>
      <c r="AD2039">
        <v>0</v>
      </c>
    </row>
    <row r="2040" spans="1:30" x14ac:dyDescent="0.25">
      <c r="A2040">
        <v>41143</v>
      </c>
      <c r="B2040">
        <v>7422</v>
      </c>
      <c r="C2040">
        <v>1987</v>
      </c>
      <c r="D2040" t="s">
        <v>8</v>
      </c>
      <c r="E2040" t="s">
        <v>6</v>
      </c>
      <c r="F2040" t="s">
        <v>9</v>
      </c>
      <c r="G2040">
        <v>46923</v>
      </c>
      <c r="H2040">
        <v>1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f>SUM(Table1[[#This Row],[Gold Spending]]+Table1[[#This Row],[Sweet Spending]]+Table1[[#This Row],[Fish Spending]]+Table1[[#This Row],[Meat Spending]]+Table1[[#This Row],[Fruits Spending]]+Table1[[#This Row],[Wine Spending ]])</f>
        <v>369</v>
      </c>
      <c r="Q2040">
        <v>3</v>
      </c>
      <c r="R2040">
        <v>5</v>
      </c>
      <c r="S2040">
        <v>1</v>
      </c>
      <c r="T2040">
        <v>7</v>
      </c>
      <c r="U2040">
        <f>SUM(Table1[[#This Row],[Store_Purchases]]+Table1[[#This Row],[Catalog_Purchases]]+Table1[[#This Row],[Web_Purchases]]+Table1[[#This Row],[Deal_Purchases]])</f>
        <v>16</v>
      </c>
      <c r="V2040">
        <v>7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f>SUM(Table1[[#This Row],[Accepted_Campaign_2]]+Table1[[#This Row],[Accepted_Campaign_1]]+Table1[[#This Row],[Accepted_Campaign_5]]+Table1[[#This Row],[Accepted_Campaign_4]]+Table1[[#This Row],[Accepted_Campaign_3]])</f>
        <v>0</v>
      </c>
      <c r="AC2040">
        <v>0</v>
      </c>
      <c r="AD2040">
        <v>0</v>
      </c>
    </row>
    <row r="2041" spans="1:30" x14ac:dyDescent="0.25">
      <c r="A2041">
        <v>41141</v>
      </c>
      <c r="B2041">
        <v>4148</v>
      </c>
      <c r="C2041">
        <v>1972</v>
      </c>
      <c r="D2041" t="s">
        <v>8</v>
      </c>
      <c r="E2041" t="s">
        <v>6</v>
      </c>
      <c r="F2041" t="s">
        <v>11</v>
      </c>
      <c r="G2041">
        <v>38988</v>
      </c>
      <c r="H2041">
        <v>3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f>SUM(Table1[[#This Row],[Gold Spending]]+Table1[[#This Row],[Sweet Spending]]+Table1[[#This Row],[Fish Spending]]+Table1[[#This Row],[Meat Spending]]+Table1[[#This Row],[Fruits Spending]]+Table1[[#This Row],[Wine Spending ]])</f>
        <v>348</v>
      </c>
      <c r="Q2041">
        <v>7</v>
      </c>
      <c r="R2041">
        <v>5</v>
      </c>
      <c r="S2041">
        <v>1</v>
      </c>
      <c r="T2041">
        <v>6</v>
      </c>
      <c r="U2041">
        <f>SUM(Table1[[#This Row],[Store_Purchases]]+Table1[[#This Row],[Catalog_Purchases]]+Table1[[#This Row],[Web_Purchases]]+Table1[[#This Row],[Deal_Purchases]])</f>
        <v>19</v>
      </c>
      <c r="V2041">
        <v>8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f>SUM(Table1[[#This Row],[Accepted_Campaign_2]]+Table1[[#This Row],[Accepted_Campaign_1]]+Table1[[#This Row],[Accepted_Campaign_5]]+Table1[[#This Row],[Accepted_Campaign_4]]+Table1[[#This Row],[Accepted_Campaign_3]])</f>
        <v>0</v>
      </c>
      <c r="AC2041">
        <v>0</v>
      </c>
      <c r="AD2041">
        <v>0</v>
      </c>
    </row>
    <row r="2042" spans="1:30" x14ac:dyDescent="0.25">
      <c r="A2042">
        <v>41139</v>
      </c>
      <c r="B2042">
        <v>9516</v>
      </c>
      <c r="C2042">
        <v>1971</v>
      </c>
      <c r="D2042" t="s">
        <v>8</v>
      </c>
      <c r="E2042" t="s">
        <v>15</v>
      </c>
      <c r="F2042" t="s">
        <v>7</v>
      </c>
      <c r="G2042">
        <v>49118</v>
      </c>
      <c r="H2042">
        <v>0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f>SUM(Table1[[#This Row],[Gold Spending]]+Table1[[#This Row],[Sweet Spending]]+Table1[[#This Row],[Fish Spending]]+Table1[[#This Row],[Meat Spending]]+Table1[[#This Row],[Fruits Spending]]+Table1[[#This Row],[Wine Spending ]])</f>
        <v>1229</v>
      </c>
      <c r="Q2042">
        <v>2</v>
      </c>
      <c r="R2042">
        <v>9</v>
      </c>
      <c r="S2042">
        <v>7</v>
      </c>
      <c r="T2042">
        <v>10</v>
      </c>
      <c r="U2042">
        <f>SUM(Table1[[#This Row],[Store_Purchases]]+Table1[[#This Row],[Catalog_Purchases]]+Table1[[#This Row],[Web_Purchases]]+Table1[[#This Row],[Deal_Purchases]])</f>
        <v>28</v>
      </c>
      <c r="V2042">
        <v>7</v>
      </c>
      <c r="W2042">
        <v>0</v>
      </c>
      <c r="X2042">
        <v>1</v>
      </c>
      <c r="Y2042">
        <v>0</v>
      </c>
      <c r="Z2042">
        <v>0</v>
      </c>
      <c r="AA2042">
        <v>1</v>
      </c>
      <c r="AB2042">
        <f>SUM(Table1[[#This Row],[Accepted_Campaign_2]]+Table1[[#This Row],[Accepted_Campaign_1]]+Table1[[#This Row],[Accepted_Campaign_5]]+Table1[[#This Row],[Accepted_Campaign_4]]+Table1[[#This Row],[Accepted_Campaign_3]])</f>
        <v>2</v>
      </c>
      <c r="AC2042">
        <v>1</v>
      </c>
      <c r="AD2042">
        <v>0</v>
      </c>
    </row>
    <row r="2043" spans="1:30" x14ac:dyDescent="0.25">
      <c r="A2043">
        <v>41125</v>
      </c>
      <c r="B2043">
        <v>1291</v>
      </c>
      <c r="C2043">
        <v>1978</v>
      </c>
      <c r="D2043" t="s">
        <v>8</v>
      </c>
      <c r="E2043" t="s">
        <v>14</v>
      </c>
      <c r="F2043" t="s">
        <v>12</v>
      </c>
      <c r="G2043">
        <v>27683</v>
      </c>
      <c r="H2043">
        <v>1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f>SUM(Table1[[#This Row],[Gold Spending]]+Table1[[#This Row],[Sweet Spending]]+Table1[[#This Row],[Fish Spending]]+Table1[[#This Row],[Meat Spending]]+Table1[[#This Row],[Fruits Spending]]+Table1[[#This Row],[Wine Spending ]])</f>
        <v>351</v>
      </c>
      <c r="Q2043">
        <v>4</v>
      </c>
      <c r="R2043">
        <v>6</v>
      </c>
      <c r="S2043">
        <v>2</v>
      </c>
      <c r="T2043">
        <v>4</v>
      </c>
      <c r="U2043">
        <f>SUM(Table1[[#This Row],[Store_Purchases]]+Table1[[#This Row],[Catalog_Purchases]]+Table1[[#This Row],[Web_Purchases]]+Table1[[#This Row],[Deal_Purchases]])</f>
        <v>16</v>
      </c>
      <c r="V2043">
        <v>8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f>SUM(Table1[[#This Row],[Accepted_Campaign_2]]+Table1[[#This Row],[Accepted_Campaign_1]]+Table1[[#This Row],[Accepted_Campaign_5]]+Table1[[#This Row],[Accepted_Campaign_4]]+Table1[[#This Row],[Accepted_Campaign_3]])</f>
        <v>0</v>
      </c>
      <c r="AC2043">
        <v>0</v>
      </c>
      <c r="AD2043">
        <v>0</v>
      </c>
    </row>
    <row r="2044" spans="1:30" x14ac:dyDescent="0.25">
      <c r="A2044">
        <v>41755</v>
      </c>
      <c r="B2044">
        <v>1833</v>
      </c>
      <c r="C2044">
        <v>1974</v>
      </c>
      <c r="D2044" t="s">
        <v>8</v>
      </c>
      <c r="E2044" t="s">
        <v>14</v>
      </c>
      <c r="F2044" t="s">
        <v>9</v>
      </c>
      <c r="G2044">
        <v>39190</v>
      </c>
      <c r="H2044">
        <v>1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f>SUM(Table1[[#This Row],[Gold Spending]]+Table1[[#This Row],[Sweet Spending]]+Table1[[#This Row],[Fish Spending]]+Table1[[#This Row],[Meat Spending]]+Table1[[#This Row],[Fruits Spending]]+Table1[[#This Row],[Wine Spending ]])</f>
        <v>133</v>
      </c>
      <c r="Q2044">
        <v>2</v>
      </c>
      <c r="R2044">
        <v>2</v>
      </c>
      <c r="S2044">
        <v>1</v>
      </c>
      <c r="T2044">
        <v>4</v>
      </c>
      <c r="U2044">
        <f>SUM(Table1[[#This Row],[Store_Purchases]]+Table1[[#This Row],[Catalog_Purchases]]+Table1[[#This Row],[Web_Purchases]]+Table1[[#This Row],[Deal_Purchases]])</f>
        <v>9</v>
      </c>
      <c r="V2044">
        <v>5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f>SUM(Table1[[#This Row],[Accepted_Campaign_2]]+Table1[[#This Row],[Accepted_Campaign_1]]+Table1[[#This Row],[Accepted_Campaign_5]]+Table1[[#This Row],[Accepted_Campaign_4]]+Table1[[#This Row],[Accepted_Campaign_3]])</f>
        <v>0</v>
      </c>
      <c r="AC2044">
        <v>0</v>
      </c>
      <c r="AD2044">
        <v>0</v>
      </c>
    </row>
    <row r="2045" spans="1:30" x14ac:dyDescent="0.25">
      <c r="A2045">
        <v>41664</v>
      </c>
      <c r="B2045">
        <v>7270</v>
      </c>
      <c r="C2045">
        <v>1981</v>
      </c>
      <c r="D2045" t="s">
        <v>20</v>
      </c>
      <c r="E2045" t="s">
        <v>6</v>
      </c>
      <c r="F2045" t="s">
        <v>7</v>
      </c>
      <c r="G2045">
        <v>56981</v>
      </c>
      <c r="H2045">
        <v>0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f>SUM(Table1[[#This Row],[Gold Spending]]+Table1[[#This Row],[Sweet Spending]]+Table1[[#This Row],[Fish Spending]]+Table1[[#This Row],[Meat Spending]]+Table1[[#This Row],[Fruits Spending]]+Table1[[#This Row],[Wine Spending ]])</f>
        <v>1241</v>
      </c>
      <c r="Q2045">
        <v>1</v>
      </c>
      <c r="R2045">
        <v>2</v>
      </c>
      <c r="S2045">
        <v>3</v>
      </c>
      <c r="T2045">
        <v>13</v>
      </c>
      <c r="U2045">
        <f>SUM(Table1[[#This Row],[Store_Purchases]]+Table1[[#This Row],[Catalog_Purchases]]+Table1[[#This Row],[Web_Purchases]]+Table1[[#This Row],[Deal_Purchases]])</f>
        <v>19</v>
      </c>
      <c r="V2045">
        <v>6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f>SUM(Table1[[#This Row],[Accepted_Campaign_2]]+Table1[[#This Row],[Accepted_Campaign_1]]+Table1[[#This Row],[Accepted_Campaign_5]]+Table1[[#This Row],[Accepted_Campaign_4]]+Table1[[#This Row],[Accepted_Campaign_3]])</f>
        <v>1</v>
      </c>
      <c r="AC2045">
        <v>0</v>
      </c>
      <c r="AD2045">
        <v>0</v>
      </c>
    </row>
    <row r="2046" spans="1:30" x14ac:dyDescent="0.25">
      <c r="A2046">
        <v>41644</v>
      </c>
      <c r="B2046">
        <v>8182</v>
      </c>
      <c r="C2046">
        <v>1984</v>
      </c>
      <c r="D2046" t="s">
        <v>10</v>
      </c>
      <c r="E2046" t="s">
        <v>6</v>
      </c>
      <c r="F2046" t="s">
        <v>11</v>
      </c>
      <c r="G2046">
        <v>23228</v>
      </c>
      <c r="H2046">
        <v>1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f>SUM(Table1[[#This Row],[Gold Spending]]+Table1[[#This Row],[Sweet Spending]]+Table1[[#This Row],[Fish Spending]]+Table1[[#This Row],[Meat Spending]]+Table1[[#This Row],[Fruits Spending]]+Table1[[#This Row],[Wine Spending ]])</f>
        <v>121</v>
      </c>
      <c r="Q2046">
        <v>4</v>
      </c>
      <c r="R2046">
        <v>3</v>
      </c>
      <c r="S2046">
        <v>0</v>
      </c>
      <c r="T2046">
        <v>4</v>
      </c>
      <c r="U2046">
        <f>SUM(Table1[[#This Row],[Store_Purchases]]+Table1[[#This Row],[Catalog_Purchases]]+Table1[[#This Row],[Web_Purchases]]+Table1[[#This Row],[Deal_Purchases]])</f>
        <v>11</v>
      </c>
      <c r="V2046">
        <v>8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f>SUM(Table1[[#This Row],[Accepted_Campaign_2]]+Table1[[#This Row],[Accepted_Campaign_1]]+Table1[[#This Row],[Accepted_Campaign_5]]+Table1[[#This Row],[Accepted_Campaign_4]]+Table1[[#This Row],[Accepted_Campaign_3]])</f>
        <v>0</v>
      </c>
      <c r="AC2046">
        <v>0</v>
      </c>
      <c r="AD2046">
        <v>0</v>
      </c>
    </row>
    <row r="2047" spans="1:30" x14ac:dyDescent="0.25">
      <c r="A2047">
        <v>41631</v>
      </c>
      <c r="B2047">
        <v>10394</v>
      </c>
      <c r="C2047">
        <v>1984</v>
      </c>
      <c r="D2047" t="s">
        <v>10</v>
      </c>
      <c r="E2047" t="s">
        <v>6</v>
      </c>
      <c r="F2047" t="s">
        <v>11</v>
      </c>
      <c r="G2047">
        <v>90000</v>
      </c>
      <c r="H2047">
        <v>0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f>SUM(Table1[[#This Row],[Gold Spending]]+Table1[[#This Row],[Sweet Spending]]+Table1[[#This Row],[Fish Spending]]+Table1[[#This Row],[Meat Spending]]+Table1[[#This Row],[Fruits Spending]]+Table1[[#This Row],[Wine Spending ]])</f>
        <v>1479</v>
      </c>
      <c r="Q2047">
        <v>1</v>
      </c>
      <c r="R2047">
        <v>4</v>
      </c>
      <c r="S2047">
        <v>8</v>
      </c>
      <c r="T2047">
        <v>5</v>
      </c>
      <c r="U2047">
        <f>SUM(Table1[[#This Row],[Store_Purchases]]+Table1[[#This Row],[Catalog_Purchases]]+Table1[[#This Row],[Web_Purchases]]+Table1[[#This Row],[Deal_Purchases]])</f>
        <v>18</v>
      </c>
      <c r="V2047">
        <v>1</v>
      </c>
      <c r="W2047">
        <v>1</v>
      </c>
      <c r="X2047">
        <v>0</v>
      </c>
      <c r="Y2047">
        <v>1</v>
      </c>
      <c r="Z2047">
        <v>1</v>
      </c>
      <c r="AA2047">
        <v>0</v>
      </c>
      <c r="AB2047">
        <f>SUM(Table1[[#This Row],[Accepted_Campaign_2]]+Table1[[#This Row],[Accepted_Campaign_1]]+Table1[[#This Row],[Accepted_Campaign_5]]+Table1[[#This Row],[Accepted_Campaign_4]]+Table1[[#This Row],[Accepted_Campaign_3]])</f>
        <v>3</v>
      </c>
      <c r="AC2047">
        <v>0</v>
      </c>
      <c r="AD2047">
        <v>0</v>
      </c>
    </row>
    <row r="2048" spans="1:30" x14ac:dyDescent="0.25">
      <c r="A2048">
        <v>41630</v>
      </c>
      <c r="B2048">
        <v>1142</v>
      </c>
      <c r="C2048">
        <v>1953</v>
      </c>
      <c r="D2048" t="s">
        <v>8</v>
      </c>
      <c r="E2048" t="s">
        <v>14</v>
      </c>
      <c r="F2048" t="s">
        <v>11</v>
      </c>
      <c r="G2048">
        <v>55707</v>
      </c>
      <c r="H2048">
        <v>1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f>SUM(Table1[[#This Row],[Gold Spending]]+Table1[[#This Row],[Sweet Spending]]+Table1[[#This Row],[Fish Spending]]+Table1[[#This Row],[Meat Spending]]+Table1[[#This Row],[Fruits Spending]]+Table1[[#This Row],[Wine Spending ]])</f>
        <v>428</v>
      </c>
      <c r="Q2048">
        <v>2</v>
      </c>
      <c r="R2048">
        <v>3</v>
      </c>
      <c r="S2048">
        <v>2</v>
      </c>
      <c r="T2048">
        <v>9</v>
      </c>
      <c r="U2048">
        <f>SUM(Table1[[#This Row],[Store_Purchases]]+Table1[[#This Row],[Catalog_Purchases]]+Table1[[#This Row],[Web_Purchases]]+Table1[[#This Row],[Deal_Purchases]])</f>
        <v>16</v>
      </c>
      <c r="V2048">
        <v>3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f>SUM(Table1[[#This Row],[Accepted_Campaign_2]]+Table1[[#This Row],[Accepted_Campaign_1]]+Table1[[#This Row],[Accepted_Campaign_5]]+Table1[[#This Row],[Accepted_Campaign_4]]+Table1[[#This Row],[Accepted_Campaign_3]])</f>
        <v>0</v>
      </c>
      <c r="AC2048">
        <v>0</v>
      </c>
      <c r="AD2048">
        <v>0</v>
      </c>
    </row>
    <row r="2049" spans="1:30" x14ac:dyDescent="0.25">
      <c r="A2049">
        <v>41628</v>
      </c>
      <c r="B2049">
        <v>451</v>
      </c>
      <c r="C2049">
        <v>1989</v>
      </c>
      <c r="D2049" t="s">
        <v>17</v>
      </c>
      <c r="E2049" t="s">
        <v>6</v>
      </c>
      <c r="F2049" t="s">
        <v>9</v>
      </c>
      <c r="G2049">
        <v>9255</v>
      </c>
      <c r="H2049">
        <v>1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f>SUM(Table1[[#This Row],[Gold Spending]]+Table1[[#This Row],[Sweet Spending]]+Table1[[#This Row],[Fish Spending]]+Table1[[#This Row],[Meat Spending]]+Table1[[#This Row],[Fruits Spending]]+Table1[[#This Row],[Wine Spending ]])</f>
        <v>22</v>
      </c>
      <c r="Q2049">
        <v>1</v>
      </c>
      <c r="R2049">
        <v>1</v>
      </c>
      <c r="S2049">
        <v>1</v>
      </c>
      <c r="T2049">
        <v>2</v>
      </c>
      <c r="U2049">
        <f>SUM(Table1[[#This Row],[Store_Purchases]]+Table1[[#This Row],[Catalog_Purchases]]+Table1[[#This Row],[Web_Purchases]]+Table1[[#This Row],[Deal_Purchases]])</f>
        <v>5</v>
      </c>
      <c r="V2049">
        <v>8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f>SUM(Table1[[#This Row],[Accepted_Campaign_2]]+Table1[[#This Row],[Accepted_Campaign_1]]+Table1[[#This Row],[Accepted_Campaign_5]]+Table1[[#This Row],[Accepted_Campaign_4]]+Table1[[#This Row],[Accepted_Campaign_3]])</f>
        <v>0</v>
      </c>
      <c r="AC2049">
        <v>0</v>
      </c>
      <c r="AD2049">
        <v>0</v>
      </c>
    </row>
    <row r="2050" spans="1:30" x14ac:dyDescent="0.25">
      <c r="A2050">
        <v>41615</v>
      </c>
      <c r="B2050">
        <v>7128</v>
      </c>
      <c r="C2050">
        <v>1977</v>
      </c>
      <c r="D2050" t="s">
        <v>8</v>
      </c>
      <c r="E2050" t="s">
        <v>14</v>
      </c>
      <c r="F2050" t="s">
        <v>9</v>
      </c>
      <c r="G2050">
        <v>42997</v>
      </c>
      <c r="H2050">
        <v>2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f>SUM(Table1[[#This Row],[Gold Spending]]+Table1[[#This Row],[Sweet Spending]]+Table1[[#This Row],[Fish Spending]]+Table1[[#This Row],[Meat Spending]]+Table1[[#This Row],[Fruits Spending]]+Table1[[#This Row],[Wine Spending ]])</f>
        <v>15</v>
      </c>
      <c r="Q2050">
        <v>1</v>
      </c>
      <c r="R2050">
        <v>1</v>
      </c>
      <c r="S2050">
        <v>0</v>
      </c>
      <c r="T2050">
        <v>2</v>
      </c>
      <c r="U2050">
        <f>SUM(Table1[[#This Row],[Store_Purchases]]+Table1[[#This Row],[Catalog_Purchases]]+Table1[[#This Row],[Web_Purchases]]+Table1[[#This Row],[Deal_Purchases]])</f>
        <v>4</v>
      </c>
      <c r="V2050">
        <v>7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f>SUM(Table1[[#This Row],[Accepted_Campaign_2]]+Table1[[#This Row],[Accepted_Campaign_1]]+Table1[[#This Row],[Accepted_Campaign_5]]+Table1[[#This Row],[Accepted_Campaign_4]]+Table1[[#This Row],[Accepted_Campaign_3]])</f>
        <v>0</v>
      </c>
      <c r="AC2050">
        <v>0</v>
      </c>
      <c r="AD2050">
        <v>0</v>
      </c>
    </row>
    <row r="2051" spans="1:30" x14ac:dyDescent="0.25">
      <c r="A2051">
        <v>41606</v>
      </c>
      <c r="B2051">
        <v>10678</v>
      </c>
      <c r="C2051">
        <v>1959</v>
      </c>
      <c r="D2051" t="s">
        <v>8</v>
      </c>
      <c r="E2051" t="s">
        <v>6</v>
      </c>
      <c r="F2051" t="s">
        <v>12</v>
      </c>
      <c r="G2051">
        <v>71232</v>
      </c>
      <c r="H2051">
        <v>1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f>SUM(Table1[[#This Row],[Gold Spending]]+Table1[[#This Row],[Sweet Spending]]+Table1[[#This Row],[Fish Spending]]+Table1[[#This Row],[Meat Spending]]+Table1[[#This Row],[Fruits Spending]]+Table1[[#This Row],[Wine Spending ]])</f>
        <v>917</v>
      </c>
      <c r="Q2051">
        <v>2</v>
      </c>
      <c r="R2051">
        <v>11</v>
      </c>
      <c r="S2051">
        <v>2</v>
      </c>
      <c r="T2051">
        <v>10</v>
      </c>
      <c r="U2051">
        <f>SUM(Table1[[#This Row],[Store_Purchases]]+Table1[[#This Row],[Catalog_Purchases]]+Table1[[#This Row],[Web_Purchases]]+Table1[[#This Row],[Deal_Purchases]])</f>
        <v>25</v>
      </c>
      <c r="V2051">
        <v>7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f>SUM(Table1[[#This Row],[Accepted_Campaign_2]]+Table1[[#This Row],[Accepted_Campaign_1]]+Table1[[#This Row],[Accepted_Campaign_5]]+Table1[[#This Row],[Accepted_Campaign_4]]+Table1[[#This Row],[Accepted_Campaign_3]])</f>
        <v>0</v>
      </c>
      <c r="AC2051">
        <v>0</v>
      </c>
      <c r="AD2051">
        <v>0</v>
      </c>
    </row>
    <row r="2052" spans="1:30" x14ac:dyDescent="0.25">
      <c r="A2052">
        <v>41590</v>
      </c>
      <c r="B2052">
        <v>7755</v>
      </c>
      <c r="C2052">
        <v>1954</v>
      </c>
      <c r="D2052" t="s">
        <v>8</v>
      </c>
      <c r="E2052" t="s">
        <v>14</v>
      </c>
      <c r="F2052" t="s">
        <v>11</v>
      </c>
      <c r="G2052">
        <v>57744</v>
      </c>
      <c r="H2052">
        <v>1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f>SUM(Table1[[#This Row],[Gold Spending]]+Table1[[#This Row],[Sweet Spending]]+Table1[[#This Row],[Fish Spending]]+Table1[[#This Row],[Meat Spending]]+Table1[[#This Row],[Fruits Spending]]+Table1[[#This Row],[Wine Spending ]])</f>
        <v>411</v>
      </c>
      <c r="Q2052">
        <v>2</v>
      </c>
      <c r="R2052">
        <v>9</v>
      </c>
      <c r="S2052">
        <v>1</v>
      </c>
      <c r="T2052">
        <v>4</v>
      </c>
      <c r="U2052">
        <f>SUM(Table1[[#This Row],[Store_Purchases]]+Table1[[#This Row],[Catalog_Purchases]]+Table1[[#This Row],[Web_Purchases]]+Table1[[#This Row],[Deal_Purchases]])</f>
        <v>16</v>
      </c>
      <c r="V2052">
        <v>8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f>SUM(Table1[[#This Row],[Accepted_Campaign_2]]+Table1[[#This Row],[Accepted_Campaign_1]]+Table1[[#This Row],[Accepted_Campaign_5]]+Table1[[#This Row],[Accepted_Campaign_4]]+Table1[[#This Row],[Accepted_Campaign_3]])</f>
        <v>0</v>
      </c>
      <c r="AC2052">
        <v>0</v>
      </c>
      <c r="AD2052">
        <v>0</v>
      </c>
    </row>
    <row r="2053" spans="1:30" x14ac:dyDescent="0.25">
      <c r="A2053">
        <v>41542</v>
      </c>
      <c r="B2053">
        <v>4754</v>
      </c>
      <c r="C2053">
        <v>1966</v>
      </c>
      <c r="D2053" t="s">
        <v>8</v>
      </c>
      <c r="E2053" t="s">
        <v>18</v>
      </c>
      <c r="F2053" t="s">
        <v>11</v>
      </c>
      <c r="G2053">
        <v>33585</v>
      </c>
      <c r="H2053">
        <v>1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f>SUM(Table1[[#This Row],[Gold Spending]]+Table1[[#This Row],[Sweet Spending]]+Table1[[#This Row],[Fish Spending]]+Table1[[#This Row],[Meat Spending]]+Table1[[#This Row],[Fruits Spending]]+Table1[[#This Row],[Wine Spending ]])</f>
        <v>122</v>
      </c>
      <c r="Q2053">
        <v>1</v>
      </c>
      <c r="R2053">
        <v>2</v>
      </c>
      <c r="S2053">
        <v>0</v>
      </c>
      <c r="T2053">
        <v>4</v>
      </c>
      <c r="U2053">
        <f>SUM(Table1[[#This Row],[Store_Purchases]]+Table1[[#This Row],[Catalog_Purchases]]+Table1[[#This Row],[Web_Purchases]]+Table1[[#This Row],[Deal_Purchases]])</f>
        <v>7</v>
      </c>
      <c r="V2053">
        <v>4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f>SUM(Table1[[#This Row],[Accepted_Campaign_2]]+Table1[[#This Row],[Accepted_Campaign_1]]+Table1[[#This Row],[Accepted_Campaign_5]]+Table1[[#This Row],[Accepted_Campaign_4]]+Table1[[#This Row],[Accepted_Campaign_3]])</f>
        <v>0</v>
      </c>
      <c r="AC2053">
        <v>0</v>
      </c>
      <c r="AD2053">
        <v>0</v>
      </c>
    </row>
    <row r="2054" spans="1:30" x14ac:dyDescent="0.25">
      <c r="A2054">
        <v>41518</v>
      </c>
      <c r="B2054">
        <v>20</v>
      </c>
      <c r="C2054">
        <v>1965</v>
      </c>
      <c r="D2054" t="s">
        <v>16</v>
      </c>
      <c r="E2054" t="s">
        <v>15</v>
      </c>
      <c r="F2054" t="s">
        <v>11</v>
      </c>
      <c r="G2054">
        <v>46891</v>
      </c>
      <c r="H2054">
        <v>1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f>SUM(Table1[[#This Row],[Gold Spending]]+Table1[[#This Row],[Sweet Spending]]+Table1[[#This Row],[Fish Spending]]+Table1[[#This Row],[Meat Spending]]+Table1[[#This Row],[Fruits Spending]]+Table1[[#This Row],[Wine Spending ]])</f>
        <v>183</v>
      </c>
      <c r="Q2054">
        <v>1</v>
      </c>
      <c r="R2054">
        <v>2</v>
      </c>
      <c r="S2054">
        <v>1</v>
      </c>
      <c r="T2054">
        <v>4</v>
      </c>
      <c r="U2054">
        <f>SUM(Table1[[#This Row],[Store_Purchases]]+Table1[[#This Row],[Catalog_Purchases]]+Table1[[#This Row],[Web_Purchases]]+Table1[[#This Row],[Deal_Purchases]])</f>
        <v>8</v>
      </c>
      <c r="V2054">
        <v>4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f>SUM(Table1[[#This Row],[Accepted_Campaign_2]]+Table1[[#This Row],[Accepted_Campaign_1]]+Table1[[#This Row],[Accepted_Campaign_5]]+Table1[[#This Row],[Accepted_Campaign_4]]+Table1[[#This Row],[Accepted_Campaign_3]])</f>
        <v>0</v>
      </c>
      <c r="AC2054">
        <v>0</v>
      </c>
      <c r="AD2054">
        <v>0</v>
      </c>
    </row>
    <row r="2055" spans="1:30" x14ac:dyDescent="0.25">
      <c r="A2055">
        <v>41518</v>
      </c>
      <c r="B2055">
        <v>2246</v>
      </c>
      <c r="C2055">
        <v>1965</v>
      </c>
      <c r="D2055" t="s">
        <v>8</v>
      </c>
      <c r="E2055" t="s">
        <v>15</v>
      </c>
      <c r="F2055" t="s">
        <v>11</v>
      </c>
      <c r="G2055">
        <v>46891</v>
      </c>
      <c r="H2055">
        <v>1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f>SUM(Table1[[#This Row],[Gold Spending]]+Table1[[#This Row],[Sweet Spending]]+Table1[[#This Row],[Fish Spending]]+Table1[[#This Row],[Meat Spending]]+Table1[[#This Row],[Fruits Spending]]+Table1[[#This Row],[Wine Spending ]])</f>
        <v>183</v>
      </c>
      <c r="Q2055">
        <v>1</v>
      </c>
      <c r="R2055">
        <v>2</v>
      </c>
      <c r="S2055">
        <v>1</v>
      </c>
      <c r="T2055">
        <v>4</v>
      </c>
      <c r="U2055">
        <f>SUM(Table1[[#This Row],[Store_Purchases]]+Table1[[#This Row],[Catalog_Purchases]]+Table1[[#This Row],[Web_Purchases]]+Table1[[#This Row],[Deal_Purchases]])</f>
        <v>8</v>
      </c>
      <c r="V2055">
        <v>4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f>SUM(Table1[[#This Row],[Accepted_Campaign_2]]+Table1[[#This Row],[Accepted_Campaign_1]]+Table1[[#This Row],[Accepted_Campaign_5]]+Table1[[#This Row],[Accepted_Campaign_4]]+Table1[[#This Row],[Accepted_Campaign_3]])</f>
        <v>0</v>
      </c>
      <c r="AC2055">
        <v>0</v>
      </c>
      <c r="AD2055">
        <v>0</v>
      </c>
    </row>
    <row r="2056" spans="1:30" x14ac:dyDescent="0.25">
      <c r="A2056">
        <v>41517</v>
      </c>
      <c r="B2056">
        <v>10307</v>
      </c>
      <c r="C2056">
        <v>1956</v>
      </c>
      <c r="D2056" t="s">
        <v>8</v>
      </c>
      <c r="E2056" t="s">
        <v>6</v>
      </c>
      <c r="F2056" t="s">
        <v>11</v>
      </c>
      <c r="G2056">
        <v>50387</v>
      </c>
      <c r="H2056">
        <v>2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f>SUM(Table1[[#This Row],[Gold Spending]]+Table1[[#This Row],[Sweet Spending]]+Table1[[#This Row],[Fish Spending]]+Table1[[#This Row],[Meat Spending]]+Table1[[#This Row],[Fruits Spending]]+Table1[[#This Row],[Wine Spending ]])</f>
        <v>525</v>
      </c>
      <c r="Q2056">
        <v>3</v>
      </c>
      <c r="R2056">
        <v>6</v>
      </c>
      <c r="S2056">
        <v>2</v>
      </c>
      <c r="T2056">
        <v>8</v>
      </c>
      <c r="U2056">
        <f>SUM(Table1[[#This Row],[Store_Purchases]]+Table1[[#This Row],[Catalog_Purchases]]+Table1[[#This Row],[Web_Purchases]]+Table1[[#This Row],[Deal_Purchases]])</f>
        <v>19</v>
      </c>
      <c r="V2056">
        <v>5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f>SUM(Table1[[#This Row],[Accepted_Campaign_2]]+Table1[[#This Row],[Accepted_Campaign_1]]+Table1[[#This Row],[Accepted_Campaign_5]]+Table1[[#This Row],[Accepted_Campaign_4]]+Table1[[#This Row],[Accepted_Campaign_3]])</f>
        <v>0</v>
      </c>
      <c r="AC2056">
        <v>0</v>
      </c>
      <c r="AD2056">
        <v>0</v>
      </c>
    </row>
    <row r="2057" spans="1:30" x14ac:dyDescent="0.25">
      <c r="A2057">
        <v>41502</v>
      </c>
      <c r="B2057">
        <v>2147</v>
      </c>
      <c r="C2057">
        <v>1969</v>
      </c>
      <c r="D2057" t="s">
        <v>8</v>
      </c>
      <c r="E2057" t="s">
        <v>6</v>
      </c>
      <c r="F2057" t="s">
        <v>12</v>
      </c>
      <c r="G2057">
        <v>76653</v>
      </c>
      <c r="H2057">
        <v>0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f>SUM(Table1[[#This Row],[Gold Spending]]+Table1[[#This Row],[Sweet Spending]]+Table1[[#This Row],[Fish Spending]]+Table1[[#This Row],[Meat Spending]]+Table1[[#This Row],[Fruits Spending]]+Table1[[#This Row],[Wine Spending ]])</f>
        <v>2279</v>
      </c>
      <c r="Q2057">
        <v>1</v>
      </c>
      <c r="R2057">
        <v>4</v>
      </c>
      <c r="S2057">
        <v>7</v>
      </c>
      <c r="T2057">
        <v>11</v>
      </c>
      <c r="U2057">
        <f>SUM(Table1[[#This Row],[Store_Purchases]]+Table1[[#This Row],[Catalog_Purchases]]+Table1[[#This Row],[Web_Purchases]]+Table1[[#This Row],[Deal_Purchases]])</f>
        <v>23</v>
      </c>
      <c r="V2057">
        <v>2</v>
      </c>
      <c r="W2057">
        <v>0</v>
      </c>
      <c r="X2057">
        <v>0</v>
      </c>
      <c r="Y2057">
        <v>1</v>
      </c>
      <c r="Z2057">
        <v>1</v>
      </c>
      <c r="AA2057">
        <v>0</v>
      </c>
      <c r="AB2057">
        <f>SUM(Table1[[#This Row],[Accepted_Campaign_2]]+Table1[[#This Row],[Accepted_Campaign_1]]+Table1[[#This Row],[Accepted_Campaign_5]]+Table1[[#This Row],[Accepted_Campaign_4]]+Table1[[#This Row],[Accepted_Campaign_3]])</f>
        <v>2</v>
      </c>
      <c r="AC2057">
        <v>0</v>
      </c>
      <c r="AD2057">
        <v>0</v>
      </c>
    </row>
    <row r="2058" spans="1:30" x14ac:dyDescent="0.25">
      <c r="A2058">
        <v>41363</v>
      </c>
      <c r="B2058">
        <v>10590</v>
      </c>
      <c r="C2058">
        <v>1956</v>
      </c>
      <c r="D2058" t="s">
        <v>8</v>
      </c>
      <c r="E2058" t="s">
        <v>14</v>
      </c>
      <c r="F2058" t="s">
        <v>12</v>
      </c>
      <c r="G2058">
        <v>76542</v>
      </c>
      <c r="H2058">
        <v>0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f>SUM(Table1[[#This Row],[Gold Spending]]+Table1[[#This Row],[Sweet Spending]]+Table1[[#This Row],[Fish Spending]]+Table1[[#This Row],[Meat Spending]]+Table1[[#This Row],[Fruits Spending]]+Table1[[#This Row],[Wine Spending ]])</f>
        <v>1483</v>
      </c>
      <c r="Q2058">
        <v>1</v>
      </c>
      <c r="R2058">
        <v>4</v>
      </c>
      <c r="S2058">
        <v>8</v>
      </c>
      <c r="T2058">
        <v>10</v>
      </c>
      <c r="U2058">
        <f>SUM(Table1[[#This Row],[Store_Purchases]]+Table1[[#This Row],[Catalog_Purchases]]+Table1[[#This Row],[Web_Purchases]]+Table1[[#This Row],[Deal_Purchases]])</f>
        <v>23</v>
      </c>
      <c r="V2058">
        <v>2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f>SUM(Table1[[#This Row],[Accepted_Campaign_2]]+Table1[[#This Row],[Accepted_Campaign_1]]+Table1[[#This Row],[Accepted_Campaign_5]]+Table1[[#This Row],[Accepted_Campaign_4]]+Table1[[#This Row],[Accepted_Campaign_3]])</f>
        <v>0</v>
      </c>
      <c r="AC2058">
        <v>0</v>
      </c>
      <c r="AD2058">
        <v>0</v>
      </c>
    </row>
    <row r="2059" spans="1:30" x14ac:dyDescent="0.25">
      <c r="A2059">
        <v>41361</v>
      </c>
      <c r="B2059">
        <v>6565</v>
      </c>
      <c r="C2059">
        <v>1949</v>
      </c>
      <c r="D2059" t="s">
        <v>63</v>
      </c>
      <c r="E2059" t="s">
        <v>18</v>
      </c>
      <c r="F2059" t="s">
        <v>11</v>
      </c>
      <c r="G2059">
        <v>76995</v>
      </c>
      <c r="H2059">
        <v>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f>SUM(Table1[[#This Row],[Gold Spending]]+Table1[[#This Row],[Sweet Spending]]+Table1[[#This Row],[Fish Spending]]+Table1[[#This Row],[Meat Spending]]+Table1[[#This Row],[Fruits Spending]]+Table1[[#This Row],[Wine Spending ]])</f>
        <v>1782</v>
      </c>
      <c r="Q2059">
        <v>2</v>
      </c>
      <c r="R2059">
        <v>11</v>
      </c>
      <c r="S2059">
        <v>4</v>
      </c>
      <c r="T2059">
        <v>9</v>
      </c>
      <c r="U2059">
        <f>SUM(Table1[[#This Row],[Store_Purchases]]+Table1[[#This Row],[Catalog_Purchases]]+Table1[[#This Row],[Web_Purchases]]+Table1[[#This Row],[Deal_Purchases]])</f>
        <v>26</v>
      </c>
      <c r="V2059">
        <v>5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f>SUM(Table1[[#This Row],[Accepted_Campaign_2]]+Table1[[#This Row],[Accepted_Campaign_1]]+Table1[[#This Row],[Accepted_Campaign_5]]+Table1[[#This Row],[Accepted_Campaign_4]]+Table1[[#This Row],[Accepted_Campaign_3]])</f>
        <v>1</v>
      </c>
      <c r="AC2059">
        <v>0</v>
      </c>
      <c r="AD2059">
        <v>0</v>
      </c>
    </row>
    <row r="2060" spans="1:30" x14ac:dyDescent="0.25">
      <c r="A2060">
        <v>41276</v>
      </c>
      <c r="B2060">
        <v>6619</v>
      </c>
      <c r="C2060">
        <v>1978</v>
      </c>
      <c r="D2060" t="s">
        <v>8</v>
      </c>
      <c r="E2060" t="s">
        <v>6</v>
      </c>
      <c r="F2060" t="s">
        <v>11</v>
      </c>
      <c r="G2060">
        <v>38415</v>
      </c>
      <c r="H2060">
        <v>2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2060">
        <v>2</v>
      </c>
      <c r="R2060">
        <v>1</v>
      </c>
      <c r="S2060">
        <v>0</v>
      </c>
      <c r="T2060">
        <v>3</v>
      </c>
      <c r="U2060">
        <f>SUM(Table1[[#This Row],[Store_Purchases]]+Table1[[#This Row],[Catalog_Purchases]]+Table1[[#This Row],[Web_Purchases]]+Table1[[#This Row],[Deal_Purchases]])</f>
        <v>6</v>
      </c>
      <c r="V2060">
        <v>7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f>SUM(Table1[[#This Row],[Accepted_Campaign_2]]+Table1[[#This Row],[Accepted_Campaign_1]]+Table1[[#This Row],[Accepted_Campaign_5]]+Table1[[#This Row],[Accepted_Campaign_4]]+Table1[[#This Row],[Accepted_Campaign_3]])</f>
        <v>0</v>
      </c>
      <c r="AC2060">
        <v>0</v>
      </c>
      <c r="AD2060">
        <v>0</v>
      </c>
    </row>
    <row r="2061" spans="1:30" x14ac:dyDescent="0.25">
      <c r="A2061">
        <v>41125</v>
      </c>
      <c r="B2061">
        <v>4817</v>
      </c>
      <c r="C2061">
        <v>1956</v>
      </c>
      <c r="D2061" t="s">
        <v>8</v>
      </c>
      <c r="E2061" t="s">
        <v>6</v>
      </c>
      <c r="F2061" t="s">
        <v>7</v>
      </c>
      <c r="G2061">
        <v>22304</v>
      </c>
      <c r="H2061">
        <v>0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f>SUM(Table1[[#This Row],[Gold Spending]]+Table1[[#This Row],[Sweet Spending]]+Table1[[#This Row],[Fish Spending]]+Table1[[#This Row],[Meat Spending]]+Table1[[#This Row],[Fruits Spending]]+Table1[[#This Row],[Wine Spending ]])</f>
        <v>18</v>
      </c>
      <c r="Q2061">
        <v>1</v>
      </c>
      <c r="R2061">
        <v>1</v>
      </c>
      <c r="S2061">
        <v>0</v>
      </c>
      <c r="T2061">
        <v>2</v>
      </c>
      <c r="U2061">
        <f>SUM(Table1[[#This Row],[Store_Purchases]]+Table1[[#This Row],[Catalog_Purchases]]+Table1[[#This Row],[Web_Purchases]]+Table1[[#This Row],[Deal_Purchases]])</f>
        <v>4</v>
      </c>
      <c r="V2061">
        <v>8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f>SUM(Table1[[#This Row],[Accepted_Campaign_2]]+Table1[[#This Row],[Accepted_Campaign_1]]+Table1[[#This Row],[Accepted_Campaign_5]]+Table1[[#This Row],[Accepted_Campaign_4]]+Table1[[#This Row],[Accepted_Campaign_3]])</f>
        <v>0</v>
      </c>
      <c r="AC2061">
        <v>0</v>
      </c>
      <c r="AD2061">
        <v>0</v>
      </c>
    </row>
    <row r="2062" spans="1:30" x14ac:dyDescent="0.25">
      <c r="A2062">
        <v>41781</v>
      </c>
      <c r="B2062">
        <v>4508</v>
      </c>
      <c r="C2062">
        <v>1952</v>
      </c>
      <c r="D2062" t="s">
        <v>16</v>
      </c>
      <c r="E2062" t="s">
        <v>6</v>
      </c>
      <c r="F2062" t="s">
        <v>9</v>
      </c>
      <c r="G2062">
        <v>75127</v>
      </c>
      <c r="H2062">
        <v>0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f>SUM(Table1[[#This Row],[Gold Spending]]+Table1[[#This Row],[Sweet Spending]]+Table1[[#This Row],[Fish Spending]]+Table1[[#This Row],[Meat Spending]]+Table1[[#This Row],[Fruits Spending]]+Table1[[#This Row],[Wine Spending ]])</f>
        <v>833</v>
      </c>
      <c r="Q2062">
        <v>1</v>
      </c>
      <c r="R2062">
        <v>2</v>
      </c>
      <c r="S2062">
        <v>11</v>
      </c>
      <c r="T2062">
        <v>5</v>
      </c>
      <c r="U2062">
        <f>SUM(Table1[[#This Row],[Store_Purchases]]+Table1[[#This Row],[Catalog_Purchases]]+Table1[[#This Row],[Web_Purchases]]+Table1[[#This Row],[Deal_Purchases]])</f>
        <v>19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f>SUM(Table1[[#This Row],[Accepted_Campaign_2]]+Table1[[#This Row],[Accepted_Campaign_1]]+Table1[[#This Row],[Accepted_Campaign_5]]+Table1[[#This Row],[Accepted_Campaign_4]]+Table1[[#This Row],[Accepted_Campaign_3]])</f>
        <v>0</v>
      </c>
      <c r="AC2062">
        <v>0</v>
      </c>
      <c r="AD2062">
        <v>0</v>
      </c>
    </row>
    <row r="2063" spans="1:30" x14ac:dyDescent="0.25">
      <c r="A2063">
        <v>41781</v>
      </c>
      <c r="B2063">
        <v>4843</v>
      </c>
      <c r="C2063">
        <v>1952</v>
      </c>
      <c r="D2063" t="s">
        <v>20</v>
      </c>
      <c r="E2063" t="s">
        <v>6</v>
      </c>
      <c r="F2063" t="s">
        <v>9</v>
      </c>
      <c r="G2063">
        <v>75127</v>
      </c>
      <c r="H2063">
        <v>0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f>SUM(Table1[[#This Row],[Gold Spending]]+Table1[[#This Row],[Sweet Spending]]+Table1[[#This Row],[Fish Spending]]+Table1[[#This Row],[Meat Spending]]+Table1[[#This Row],[Fruits Spending]]+Table1[[#This Row],[Wine Spending ]])</f>
        <v>833</v>
      </c>
      <c r="Q2063">
        <v>1</v>
      </c>
      <c r="R2063">
        <v>2</v>
      </c>
      <c r="S2063">
        <v>11</v>
      </c>
      <c r="T2063">
        <v>5</v>
      </c>
      <c r="U2063">
        <f>SUM(Table1[[#This Row],[Store_Purchases]]+Table1[[#This Row],[Catalog_Purchases]]+Table1[[#This Row],[Web_Purchases]]+Table1[[#This Row],[Deal_Purchases]])</f>
        <v>19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f>SUM(Table1[[#This Row],[Accepted_Campaign_2]]+Table1[[#This Row],[Accepted_Campaign_1]]+Table1[[#This Row],[Accepted_Campaign_5]]+Table1[[#This Row],[Accepted_Campaign_4]]+Table1[[#This Row],[Accepted_Campaign_3]])</f>
        <v>0</v>
      </c>
      <c r="AC2063">
        <v>0</v>
      </c>
      <c r="AD2063">
        <v>0</v>
      </c>
    </row>
    <row r="2064" spans="1:30" x14ac:dyDescent="0.25">
      <c r="A2064">
        <v>41694</v>
      </c>
      <c r="B2064">
        <v>9197</v>
      </c>
      <c r="C2064">
        <v>1953</v>
      </c>
      <c r="D2064" t="s">
        <v>8</v>
      </c>
      <c r="E2064" t="s">
        <v>6</v>
      </c>
      <c r="F2064" t="s">
        <v>11</v>
      </c>
      <c r="G2064">
        <v>39722</v>
      </c>
      <c r="H2064">
        <v>1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f>SUM(Table1[[#This Row],[Gold Spending]]+Table1[[#This Row],[Sweet Spending]]+Table1[[#This Row],[Fish Spending]]+Table1[[#This Row],[Meat Spending]]+Table1[[#This Row],[Fruits Spending]]+Table1[[#This Row],[Wine Spending ]])</f>
        <v>47</v>
      </c>
      <c r="Q2064">
        <v>2</v>
      </c>
      <c r="R2064">
        <v>2</v>
      </c>
      <c r="S2064">
        <v>0</v>
      </c>
      <c r="T2064">
        <v>3</v>
      </c>
      <c r="U2064">
        <f>SUM(Table1[[#This Row],[Store_Purchases]]+Table1[[#This Row],[Catalog_Purchases]]+Table1[[#This Row],[Web_Purchases]]+Table1[[#This Row],[Deal_Purchases]])</f>
        <v>7</v>
      </c>
      <c r="V2064">
        <v>5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f>SUM(Table1[[#This Row],[Accepted_Campaign_2]]+Table1[[#This Row],[Accepted_Campaign_1]]+Table1[[#This Row],[Accepted_Campaign_5]]+Table1[[#This Row],[Accepted_Campaign_4]]+Table1[[#This Row],[Accepted_Campaign_3]])</f>
        <v>0</v>
      </c>
      <c r="AC2064">
        <v>0</v>
      </c>
      <c r="AD2064">
        <v>0</v>
      </c>
    </row>
    <row r="2065" spans="1:30" x14ac:dyDescent="0.25">
      <c r="A2065">
        <v>41615</v>
      </c>
      <c r="B2065">
        <v>6237</v>
      </c>
      <c r="C2065">
        <v>1966</v>
      </c>
      <c r="D2065" t="s">
        <v>8</v>
      </c>
      <c r="E2065" t="s">
        <v>14</v>
      </c>
      <c r="F2065" t="s">
        <v>9</v>
      </c>
      <c r="G2065">
        <v>7144</v>
      </c>
      <c r="H2065">
        <v>2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f>SUM(Table1[[#This Row],[Gold Spending]]+Table1[[#This Row],[Sweet Spending]]+Table1[[#This Row],[Fish Spending]]+Table1[[#This Row],[Meat Spending]]+Table1[[#This Row],[Fruits Spending]]+Table1[[#This Row],[Wine Spending ]])</f>
        <v>416</v>
      </c>
      <c r="Q2065">
        <v>0</v>
      </c>
      <c r="R2065">
        <v>23</v>
      </c>
      <c r="S2065">
        <v>1</v>
      </c>
      <c r="T2065">
        <v>1</v>
      </c>
      <c r="U2065">
        <f>SUM(Table1[[#This Row],[Store_Purchases]]+Table1[[#This Row],[Catalog_Purchases]]+Table1[[#This Row],[Web_Purchases]]+Table1[[#This Row],[Deal_Purchases]])</f>
        <v>25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f>SUM(Table1[[#This Row],[Accepted_Campaign_2]]+Table1[[#This Row],[Accepted_Campaign_1]]+Table1[[#This Row],[Accepted_Campaign_5]]+Table1[[#This Row],[Accepted_Campaign_4]]+Table1[[#This Row],[Accepted_Campaign_3]])</f>
        <v>0</v>
      </c>
      <c r="AC2065">
        <v>0</v>
      </c>
      <c r="AD2065">
        <v>0</v>
      </c>
    </row>
    <row r="2066" spans="1:30" x14ac:dyDescent="0.25">
      <c r="A2066">
        <v>41614</v>
      </c>
      <c r="B2066">
        <v>6515</v>
      </c>
      <c r="C2066">
        <v>1977</v>
      </c>
      <c r="D2066" t="s">
        <v>20</v>
      </c>
      <c r="E2066" t="s">
        <v>6</v>
      </c>
      <c r="F2066" t="s">
        <v>12</v>
      </c>
      <c r="G2066">
        <v>39771</v>
      </c>
      <c r="H2066">
        <v>1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f>SUM(Table1[[#This Row],[Gold Spending]]+Table1[[#This Row],[Sweet Spending]]+Table1[[#This Row],[Fish Spending]]+Table1[[#This Row],[Meat Spending]]+Table1[[#This Row],[Fruits Spending]]+Table1[[#This Row],[Wine Spending ]])</f>
        <v>50</v>
      </c>
      <c r="Q2066">
        <v>1</v>
      </c>
      <c r="R2066">
        <v>2</v>
      </c>
      <c r="S2066">
        <v>0</v>
      </c>
      <c r="T2066">
        <v>3</v>
      </c>
      <c r="U2066">
        <f>SUM(Table1[[#This Row],[Store_Purchases]]+Table1[[#This Row],[Catalog_Purchases]]+Table1[[#This Row],[Web_Purchases]]+Table1[[#This Row],[Deal_Purchases]])</f>
        <v>6</v>
      </c>
      <c r="V2066">
        <v>4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f>SUM(Table1[[#This Row],[Accepted_Campaign_2]]+Table1[[#This Row],[Accepted_Campaign_1]]+Table1[[#This Row],[Accepted_Campaign_5]]+Table1[[#This Row],[Accepted_Campaign_4]]+Table1[[#This Row],[Accepted_Campaign_3]])</f>
        <v>0</v>
      </c>
      <c r="AC2066">
        <v>0</v>
      </c>
      <c r="AD2066">
        <v>0</v>
      </c>
    </row>
    <row r="2067" spans="1:30" x14ac:dyDescent="0.25">
      <c r="A2067">
        <v>41556</v>
      </c>
      <c r="B2067">
        <v>5954</v>
      </c>
      <c r="C2067">
        <v>1972</v>
      </c>
      <c r="D2067" t="s">
        <v>8</v>
      </c>
      <c r="E2067" t="s">
        <v>18</v>
      </c>
      <c r="F2067" t="s">
        <v>7</v>
      </c>
      <c r="G2067">
        <v>42618</v>
      </c>
      <c r="H2067">
        <v>1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f>SUM(Table1[[#This Row],[Gold Spending]]+Table1[[#This Row],[Sweet Spending]]+Table1[[#This Row],[Fish Spending]]+Table1[[#This Row],[Meat Spending]]+Table1[[#This Row],[Fruits Spending]]+Table1[[#This Row],[Wine Spending ]])</f>
        <v>192</v>
      </c>
      <c r="Q2067">
        <v>2</v>
      </c>
      <c r="R2067">
        <v>5</v>
      </c>
      <c r="S2067">
        <v>0</v>
      </c>
      <c r="T2067">
        <v>4</v>
      </c>
      <c r="U2067">
        <f>SUM(Table1[[#This Row],[Store_Purchases]]+Table1[[#This Row],[Catalog_Purchases]]+Table1[[#This Row],[Web_Purchases]]+Table1[[#This Row],[Deal_Purchases]])</f>
        <v>11</v>
      </c>
      <c r="V2067">
        <v>8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f>SUM(Table1[[#This Row],[Accepted_Campaign_2]]+Table1[[#This Row],[Accepted_Campaign_1]]+Table1[[#This Row],[Accepted_Campaign_5]]+Table1[[#This Row],[Accepted_Campaign_4]]+Table1[[#This Row],[Accepted_Campaign_3]])</f>
        <v>0</v>
      </c>
      <c r="AC2067">
        <v>0</v>
      </c>
      <c r="AD2067">
        <v>0</v>
      </c>
    </row>
    <row r="2068" spans="1:30" x14ac:dyDescent="0.25">
      <c r="A2068">
        <v>41550</v>
      </c>
      <c r="B2068">
        <v>7938</v>
      </c>
      <c r="C2068">
        <v>1958</v>
      </c>
      <c r="D2068" t="s">
        <v>16</v>
      </c>
      <c r="E2068" t="s">
        <v>14</v>
      </c>
      <c r="F2068" t="s">
        <v>12</v>
      </c>
      <c r="G2068">
        <v>51518</v>
      </c>
      <c r="H2068">
        <v>1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f>SUM(Table1[[#This Row],[Gold Spending]]+Table1[[#This Row],[Sweet Spending]]+Table1[[#This Row],[Fish Spending]]+Table1[[#This Row],[Meat Spending]]+Table1[[#This Row],[Fruits Spending]]+Table1[[#This Row],[Wine Spending ]])</f>
        <v>449</v>
      </c>
      <c r="Q2068">
        <v>2</v>
      </c>
      <c r="R2068">
        <v>3</v>
      </c>
      <c r="S2068">
        <v>2</v>
      </c>
      <c r="T2068">
        <v>10</v>
      </c>
      <c r="U2068">
        <f>SUM(Table1[[#This Row],[Store_Purchases]]+Table1[[#This Row],[Catalog_Purchases]]+Table1[[#This Row],[Web_Purchases]]+Table1[[#This Row],[Deal_Purchases]])</f>
        <v>17</v>
      </c>
      <c r="V2068">
        <v>3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f>SUM(Table1[[#This Row],[Accepted_Campaign_2]]+Table1[[#This Row],[Accepted_Campaign_1]]+Table1[[#This Row],[Accepted_Campaign_5]]+Table1[[#This Row],[Accepted_Campaign_4]]+Table1[[#This Row],[Accepted_Campaign_3]])</f>
        <v>0</v>
      </c>
      <c r="AC2068">
        <v>0</v>
      </c>
      <c r="AD2068">
        <v>0</v>
      </c>
    </row>
    <row r="2069" spans="1:30" x14ac:dyDescent="0.25">
      <c r="A2069">
        <v>41529</v>
      </c>
      <c r="B2069">
        <v>961</v>
      </c>
      <c r="C2069">
        <v>1972</v>
      </c>
      <c r="D2069" t="s">
        <v>8</v>
      </c>
      <c r="E2069" t="s">
        <v>6</v>
      </c>
      <c r="F2069" t="s">
        <v>11</v>
      </c>
      <c r="G2069">
        <v>74716</v>
      </c>
      <c r="H2069">
        <v>1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f>SUM(Table1[[#This Row],[Gold Spending]]+Table1[[#This Row],[Sweet Spending]]+Table1[[#This Row],[Fish Spending]]+Table1[[#This Row],[Meat Spending]]+Table1[[#This Row],[Fruits Spending]]+Table1[[#This Row],[Wine Spending ]])</f>
        <v>860</v>
      </c>
      <c r="Q2069">
        <v>2</v>
      </c>
      <c r="R2069">
        <v>7</v>
      </c>
      <c r="S2069">
        <v>3</v>
      </c>
      <c r="T2069">
        <v>5</v>
      </c>
      <c r="U2069">
        <f>SUM(Table1[[#This Row],[Store_Purchases]]+Table1[[#This Row],[Catalog_Purchases]]+Table1[[#This Row],[Web_Purchases]]+Table1[[#This Row],[Deal_Purchases]])</f>
        <v>17</v>
      </c>
      <c r="V2069">
        <v>4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f>SUM(Table1[[#This Row],[Accepted_Campaign_2]]+Table1[[#This Row],[Accepted_Campaign_1]]+Table1[[#This Row],[Accepted_Campaign_5]]+Table1[[#This Row],[Accepted_Campaign_4]]+Table1[[#This Row],[Accepted_Campaign_3]])</f>
        <v>0</v>
      </c>
      <c r="AC2069">
        <v>0</v>
      </c>
      <c r="AD2069">
        <v>0</v>
      </c>
    </row>
    <row r="2070" spans="1:30" x14ac:dyDescent="0.25">
      <c r="A2070">
        <v>41495</v>
      </c>
      <c r="B2070">
        <v>1764</v>
      </c>
      <c r="C2070">
        <v>1975</v>
      </c>
      <c r="D2070" t="s">
        <v>20</v>
      </c>
      <c r="E2070" t="s">
        <v>6</v>
      </c>
      <c r="F2070" t="s">
        <v>9</v>
      </c>
      <c r="G2070">
        <v>33955</v>
      </c>
      <c r="H2070">
        <v>1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f>SUM(Table1[[#This Row],[Gold Spending]]+Table1[[#This Row],[Sweet Spending]]+Table1[[#This Row],[Fish Spending]]+Table1[[#This Row],[Meat Spending]]+Table1[[#This Row],[Fruits Spending]]+Table1[[#This Row],[Wine Spending ]])</f>
        <v>270</v>
      </c>
      <c r="Q2070">
        <v>4</v>
      </c>
      <c r="R2070">
        <v>5</v>
      </c>
      <c r="S2070">
        <v>1</v>
      </c>
      <c r="T2070">
        <v>5</v>
      </c>
      <c r="U2070">
        <f>SUM(Table1[[#This Row],[Store_Purchases]]+Table1[[#This Row],[Catalog_Purchases]]+Table1[[#This Row],[Web_Purchases]]+Table1[[#This Row],[Deal_Purchases]])</f>
        <v>15</v>
      </c>
      <c r="V2070">
        <v>8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f>SUM(Table1[[#This Row],[Accepted_Campaign_2]]+Table1[[#This Row],[Accepted_Campaign_1]]+Table1[[#This Row],[Accepted_Campaign_5]]+Table1[[#This Row],[Accepted_Campaign_4]]+Table1[[#This Row],[Accepted_Campaign_3]])</f>
        <v>0</v>
      </c>
      <c r="AC2070">
        <v>0</v>
      </c>
      <c r="AD2070">
        <v>0</v>
      </c>
    </row>
    <row r="2071" spans="1:30" x14ac:dyDescent="0.25">
      <c r="A2071">
        <v>41479</v>
      </c>
      <c r="B2071">
        <v>1916</v>
      </c>
      <c r="C2071">
        <v>1954</v>
      </c>
      <c r="D2071" t="s">
        <v>16</v>
      </c>
      <c r="E2071" t="s">
        <v>18</v>
      </c>
      <c r="F2071" t="s">
        <v>11</v>
      </c>
      <c r="G2071">
        <v>45736</v>
      </c>
      <c r="H2071">
        <v>1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f>SUM(Table1[[#This Row],[Gold Spending]]+Table1[[#This Row],[Sweet Spending]]+Table1[[#This Row],[Fish Spending]]+Table1[[#This Row],[Meat Spending]]+Table1[[#This Row],[Fruits Spending]]+Table1[[#This Row],[Wine Spending ]])</f>
        <v>437</v>
      </c>
      <c r="Q2071">
        <v>5</v>
      </c>
      <c r="R2071">
        <v>7</v>
      </c>
      <c r="S2071">
        <v>1</v>
      </c>
      <c r="T2071">
        <v>6</v>
      </c>
      <c r="U2071">
        <f>SUM(Table1[[#This Row],[Store_Purchases]]+Table1[[#This Row],[Catalog_Purchases]]+Table1[[#This Row],[Web_Purchases]]+Table1[[#This Row],[Deal_Purchases]])</f>
        <v>19</v>
      </c>
      <c r="V2071">
        <v>7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f>SUM(Table1[[#This Row],[Accepted_Campaign_2]]+Table1[[#This Row],[Accepted_Campaign_1]]+Table1[[#This Row],[Accepted_Campaign_5]]+Table1[[#This Row],[Accepted_Campaign_4]]+Table1[[#This Row],[Accepted_Campaign_3]])</f>
        <v>0</v>
      </c>
      <c r="AC2071">
        <v>0</v>
      </c>
      <c r="AD2071">
        <v>0</v>
      </c>
    </row>
    <row r="2072" spans="1:30" x14ac:dyDescent="0.25">
      <c r="A2072">
        <v>41469</v>
      </c>
      <c r="B2072">
        <v>6941</v>
      </c>
      <c r="C2072">
        <v>1971</v>
      </c>
      <c r="D2072" t="s">
        <v>8</v>
      </c>
      <c r="E2072" t="s">
        <v>6</v>
      </c>
      <c r="F2072" t="s">
        <v>9</v>
      </c>
      <c r="G2072">
        <v>31632</v>
      </c>
      <c r="H2072">
        <v>0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f>SUM(Table1[[#This Row],[Gold Spending]]+Table1[[#This Row],[Sweet Spending]]+Table1[[#This Row],[Fish Spending]]+Table1[[#This Row],[Meat Spending]]+Table1[[#This Row],[Fruits Spending]]+Table1[[#This Row],[Wine Spending ]])</f>
        <v>95</v>
      </c>
      <c r="Q2072">
        <v>1</v>
      </c>
      <c r="R2072">
        <v>2</v>
      </c>
      <c r="S2072">
        <v>1</v>
      </c>
      <c r="T2072">
        <v>2</v>
      </c>
      <c r="U2072">
        <f>SUM(Table1[[#This Row],[Store_Purchases]]+Table1[[#This Row],[Catalog_Purchases]]+Table1[[#This Row],[Web_Purchases]]+Table1[[#This Row],[Deal_Purchases]])</f>
        <v>6</v>
      </c>
      <c r="V2072">
        <v>7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f>SUM(Table1[[#This Row],[Accepted_Campaign_2]]+Table1[[#This Row],[Accepted_Campaign_1]]+Table1[[#This Row],[Accepted_Campaign_5]]+Table1[[#This Row],[Accepted_Campaign_4]]+Table1[[#This Row],[Accepted_Campaign_3]])</f>
        <v>0</v>
      </c>
      <c r="AC2072">
        <v>0</v>
      </c>
      <c r="AD2072">
        <v>0</v>
      </c>
    </row>
    <row r="2073" spans="1:30" x14ac:dyDescent="0.25">
      <c r="A2073">
        <v>41451</v>
      </c>
      <c r="B2073">
        <v>5562</v>
      </c>
      <c r="C2073">
        <v>1974</v>
      </c>
      <c r="D2073" t="s">
        <v>8</v>
      </c>
      <c r="E2073" t="s">
        <v>6</v>
      </c>
      <c r="F2073" t="s">
        <v>11</v>
      </c>
      <c r="G2073">
        <v>60093</v>
      </c>
      <c r="H2073">
        <v>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f>SUM(Table1[[#This Row],[Gold Spending]]+Table1[[#This Row],[Sweet Spending]]+Table1[[#This Row],[Fish Spending]]+Table1[[#This Row],[Meat Spending]]+Table1[[#This Row],[Fruits Spending]]+Table1[[#This Row],[Wine Spending ]])</f>
        <v>735</v>
      </c>
      <c r="Q2073">
        <v>2</v>
      </c>
      <c r="R2073">
        <v>7</v>
      </c>
      <c r="S2073">
        <v>2</v>
      </c>
      <c r="T2073">
        <v>10</v>
      </c>
      <c r="U2073">
        <f>SUM(Table1[[#This Row],[Store_Purchases]]+Table1[[#This Row],[Catalog_Purchases]]+Table1[[#This Row],[Web_Purchases]]+Table1[[#This Row],[Deal_Purchases]])</f>
        <v>21</v>
      </c>
      <c r="V2073">
        <v>6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f>SUM(Table1[[#This Row],[Accepted_Campaign_2]]+Table1[[#This Row],[Accepted_Campaign_1]]+Table1[[#This Row],[Accepted_Campaign_5]]+Table1[[#This Row],[Accepted_Campaign_4]]+Table1[[#This Row],[Accepted_Campaign_3]])</f>
        <v>0</v>
      </c>
      <c r="AC2073">
        <v>0</v>
      </c>
      <c r="AD2073">
        <v>0</v>
      </c>
    </row>
    <row r="2074" spans="1:30" x14ac:dyDescent="0.25">
      <c r="A2074">
        <v>41439</v>
      </c>
      <c r="B2074">
        <v>1517</v>
      </c>
      <c r="C2074">
        <v>1969</v>
      </c>
      <c r="D2074" t="s">
        <v>8</v>
      </c>
      <c r="E2074" t="s">
        <v>6</v>
      </c>
      <c r="F2074" t="s">
        <v>9</v>
      </c>
      <c r="G2074">
        <v>30822</v>
      </c>
      <c r="H2074">
        <v>1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f>SUM(Table1[[#This Row],[Gold Spending]]+Table1[[#This Row],[Sweet Spending]]+Table1[[#This Row],[Fish Spending]]+Table1[[#This Row],[Meat Spending]]+Table1[[#This Row],[Fruits Spending]]+Table1[[#This Row],[Wine Spending ]])</f>
        <v>51</v>
      </c>
      <c r="Q2074">
        <v>1</v>
      </c>
      <c r="R2074">
        <v>1</v>
      </c>
      <c r="S2074">
        <v>0</v>
      </c>
      <c r="T2074">
        <v>3</v>
      </c>
      <c r="U2074">
        <f>SUM(Table1[[#This Row],[Store_Purchases]]+Table1[[#This Row],[Catalog_Purchases]]+Table1[[#This Row],[Web_Purchases]]+Table1[[#This Row],[Deal_Purchases]])</f>
        <v>5</v>
      </c>
      <c r="V2074">
        <v>7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f>SUM(Table1[[#This Row],[Accepted_Campaign_2]]+Table1[[#This Row],[Accepted_Campaign_1]]+Table1[[#This Row],[Accepted_Campaign_5]]+Table1[[#This Row],[Accepted_Campaign_4]]+Table1[[#This Row],[Accepted_Campaign_3]])</f>
        <v>0</v>
      </c>
      <c r="AC2074">
        <v>0</v>
      </c>
      <c r="AD2074">
        <v>0</v>
      </c>
    </row>
    <row r="2075" spans="1:30" x14ac:dyDescent="0.25">
      <c r="A2075">
        <v>41418</v>
      </c>
      <c r="B2075">
        <v>7286</v>
      </c>
      <c r="C2075">
        <v>1968</v>
      </c>
      <c r="D2075" t="s">
        <v>13</v>
      </c>
      <c r="E2075" t="s">
        <v>6</v>
      </c>
      <c r="F2075" t="s">
        <v>12</v>
      </c>
      <c r="G2075">
        <v>41728</v>
      </c>
      <c r="H2075">
        <v>1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2075">
        <v>1</v>
      </c>
      <c r="R2075">
        <v>2</v>
      </c>
      <c r="S2075">
        <v>0</v>
      </c>
      <c r="T2075">
        <v>2</v>
      </c>
      <c r="U2075">
        <f>SUM(Table1[[#This Row],[Store_Purchases]]+Table1[[#This Row],[Catalog_Purchases]]+Table1[[#This Row],[Web_Purchases]]+Table1[[#This Row],[Deal_Purchases]])</f>
        <v>5</v>
      </c>
      <c r="V2075">
        <v>10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f>SUM(Table1[[#This Row],[Accepted_Campaign_2]]+Table1[[#This Row],[Accepted_Campaign_1]]+Table1[[#This Row],[Accepted_Campaign_5]]+Table1[[#This Row],[Accepted_Campaign_4]]+Table1[[#This Row],[Accepted_Campaign_3]])</f>
        <v>0</v>
      </c>
      <c r="AC2075">
        <v>0</v>
      </c>
      <c r="AD2075">
        <v>0</v>
      </c>
    </row>
    <row r="2076" spans="1:30" x14ac:dyDescent="0.25">
      <c r="A2076">
        <v>41417</v>
      </c>
      <c r="B2076">
        <v>4687</v>
      </c>
      <c r="C2076">
        <v>1958</v>
      </c>
      <c r="D2076" t="s">
        <v>8</v>
      </c>
      <c r="E2076" t="s">
        <v>18</v>
      </c>
      <c r="F2076" t="s">
        <v>11</v>
      </c>
      <c r="G2076">
        <v>80739</v>
      </c>
      <c r="H2076">
        <v>0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f>SUM(Table1[[#This Row],[Gold Spending]]+Table1[[#This Row],[Sweet Spending]]+Table1[[#This Row],[Fish Spending]]+Table1[[#This Row],[Meat Spending]]+Table1[[#This Row],[Fruits Spending]]+Table1[[#This Row],[Wine Spending ]])</f>
        <v>1633</v>
      </c>
      <c r="Q2076">
        <v>1</v>
      </c>
      <c r="R2076">
        <v>3</v>
      </c>
      <c r="S2076">
        <v>11</v>
      </c>
      <c r="T2076">
        <v>9</v>
      </c>
      <c r="U2076">
        <f>SUM(Table1[[#This Row],[Store_Purchases]]+Table1[[#This Row],[Catalog_Purchases]]+Table1[[#This Row],[Web_Purchases]]+Table1[[#This Row],[Deal_Purchases]])</f>
        <v>24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f>SUM(Table1[[#This Row],[Accepted_Campaign_2]]+Table1[[#This Row],[Accepted_Campaign_1]]+Table1[[#This Row],[Accepted_Campaign_5]]+Table1[[#This Row],[Accepted_Campaign_4]]+Table1[[#This Row],[Accepted_Campaign_3]])</f>
        <v>0</v>
      </c>
      <c r="AC2076">
        <v>0</v>
      </c>
      <c r="AD2076">
        <v>0</v>
      </c>
    </row>
    <row r="2077" spans="1:30" x14ac:dyDescent="0.25">
      <c r="A2077">
        <v>41396</v>
      </c>
      <c r="B2077">
        <v>5631</v>
      </c>
      <c r="C2077">
        <v>1991</v>
      </c>
      <c r="D2077" t="s">
        <v>63</v>
      </c>
      <c r="E2077" t="s">
        <v>6</v>
      </c>
      <c r="F2077" t="s">
        <v>9</v>
      </c>
      <c r="G2077">
        <v>49767</v>
      </c>
      <c r="H2077">
        <v>0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f>SUM(Table1[[#This Row],[Gold Spending]]+Table1[[#This Row],[Sweet Spending]]+Table1[[#This Row],[Fish Spending]]+Table1[[#This Row],[Meat Spending]]+Table1[[#This Row],[Fruits Spending]]+Table1[[#This Row],[Wine Spending ]])</f>
        <v>692</v>
      </c>
      <c r="Q2077">
        <v>1</v>
      </c>
      <c r="R2077">
        <v>5</v>
      </c>
      <c r="S2077">
        <v>4</v>
      </c>
      <c r="T2077">
        <v>8</v>
      </c>
      <c r="U2077">
        <f>SUM(Table1[[#This Row],[Store_Purchases]]+Table1[[#This Row],[Catalog_Purchases]]+Table1[[#This Row],[Web_Purchases]]+Table1[[#This Row],[Deal_Purchases]])</f>
        <v>18</v>
      </c>
      <c r="V2077">
        <v>4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f>SUM(Table1[[#This Row],[Accepted_Campaign_2]]+Table1[[#This Row],[Accepted_Campaign_1]]+Table1[[#This Row],[Accepted_Campaign_5]]+Table1[[#This Row],[Accepted_Campaign_4]]+Table1[[#This Row],[Accepted_Campaign_3]])</f>
        <v>0</v>
      </c>
      <c r="AC2077">
        <v>0</v>
      </c>
      <c r="AD2077">
        <v>0</v>
      </c>
    </row>
    <row r="2078" spans="1:30" x14ac:dyDescent="0.25">
      <c r="A2078">
        <v>41301</v>
      </c>
      <c r="B2078">
        <v>1951</v>
      </c>
      <c r="C2078">
        <v>1981</v>
      </c>
      <c r="D2078" t="s">
        <v>8</v>
      </c>
      <c r="E2078" t="s">
        <v>21</v>
      </c>
      <c r="F2078" t="s">
        <v>11</v>
      </c>
      <c r="G2078">
        <v>34445</v>
      </c>
      <c r="H2078">
        <v>0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f>SUM(Table1[[#This Row],[Gold Spending]]+Table1[[#This Row],[Sweet Spending]]+Table1[[#This Row],[Fish Spending]]+Table1[[#This Row],[Meat Spending]]+Table1[[#This Row],[Fruits Spending]]+Table1[[#This Row],[Wine Spending ]])</f>
        <v>839</v>
      </c>
      <c r="Q2078">
        <v>6</v>
      </c>
      <c r="R2078">
        <v>11</v>
      </c>
      <c r="S2078">
        <v>2</v>
      </c>
      <c r="T2078">
        <v>8</v>
      </c>
      <c r="U2078">
        <f>SUM(Table1[[#This Row],[Store_Purchases]]+Table1[[#This Row],[Catalog_Purchases]]+Table1[[#This Row],[Web_Purchases]]+Table1[[#This Row],[Deal_Purchases]])</f>
        <v>27</v>
      </c>
      <c r="V2078">
        <v>9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f>SUM(Table1[[#This Row],[Accepted_Campaign_2]]+Table1[[#This Row],[Accepted_Campaign_1]]+Table1[[#This Row],[Accepted_Campaign_5]]+Table1[[#This Row],[Accepted_Campaign_4]]+Table1[[#This Row],[Accepted_Campaign_3]])</f>
        <v>0</v>
      </c>
      <c r="AC2078">
        <v>0</v>
      </c>
      <c r="AD2078">
        <v>0</v>
      </c>
    </row>
    <row r="2079" spans="1:30" x14ac:dyDescent="0.25">
      <c r="A2079">
        <v>41280</v>
      </c>
      <c r="B2079">
        <v>123</v>
      </c>
      <c r="C2079">
        <v>1951</v>
      </c>
      <c r="D2079" t="s">
        <v>13</v>
      </c>
      <c r="E2079" t="s">
        <v>6</v>
      </c>
      <c r="F2079" t="s">
        <v>19</v>
      </c>
      <c r="G2079">
        <v>67046</v>
      </c>
      <c r="H2079">
        <v>1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f>SUM(Table1[[#This Row],[Gold Spending]]+Table1[[#This Row],[Sweet Spending]]+Table1[[#This Row],[Fish Spending]]+Table1[[#This Row],[Meat Spending]]+Table1[[#This Row],[Fruits Spending]]+Table1[[#This Row],[Wine Spending ]])</f>
        <v>993</v>
      </c>
      <c r="Q2079">
        <v>2</v>
      </c>
      <c r="R2079">
        <v>4</v>
      </c>
      <c r="S2079">
        <v>5</v>
      </c>
      <c r="T2079">
        <v>4</v>
      </c>
      <c r="U2079">
        <f>SUM(Table1[[#This Row],[Store_Purchases]]+Table1[[#This Row],[Catalog_Purchases]]+Table1[[#This Row],[Web_Purchases]]+Table1[[#This Row],[Deal_Purchases]])</f>
        <v>15</v>
      </c>
      <c r="V2079">
        <v>2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f>SUM(Table1[[#This Row],[Accepted_Campaign_2]]+Table1[[#This Row],[Accepted_Campaign_1]]+Table1[[#This Row],[Accepted_Campaign_5]]+Table1[[#This Row],[Accepted_Campaign_4]]+Table1[[#This Row],[Accepted_Campaign_3]])</f>
        <v>0</v>
      </c>
      <c r="AC2079">
        <v>0</v>
      </c>
      <c r="AD2079">
        <v>0</v>
      </c>
    </row>
    <row r="2080" spans="1:30" x14ac:dyDescent="0.25">
      <c r="A2080">
        <v>41238</v>
      </c>
      <c r="B2080">
        <v>9451</v>
      </c>
      <c r="C2080">
        <v>1965</v>
      </c>
      <c r="D2080" t="s">
        <v>10</v>
      </c>
      <c r="E2080" t="s">
        <v>6</v>
      </c>
      <c r="F2080" t="s">
        <v>11</v>
      </c>
      <c r="G2080">
        <v>73538</v>
      </c>
      <c r="H2080">
        <v>1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f>SUM(Table1[[#This Row],[Gold Spending]]+Table1[[#This Row],[Sweet Spending]]+Table1[[#This Row],[Fish Spending]]+Table1[[#This Row],[Meat Spending]]+Table1[[#This Row],[Fruits Spending]]+Table1[[#This Row],[Wine Spending ]])</f>
        <v>1658</v>
      </c>
      <c r="Q2080">
        <v>3</v>
      </c>
      <c r="R2080">
        <v>10</v>
      </c>
      <c r="S2080">
        <v>4</v>
      </c>
      <c r="T2080">
        <v>9</v>
      </c>
      <c r="U2080">
        <f>SUM(Table1[[#This Row],[Store_Purchases]]+Table1[[#This Row],[Catalog_Purchases]]+Table1[[#This Row],[Web_Purchases]]+Table1[[#This Row],[Deal_Purchases]])</f>
        <v>26</v>
      </c>
      <c r="V2080">
        <v>7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f>SUM(Table1[[#This Row],[Accepted_Campaign_2]]+Table1[[#This Row],[Accepted_Campaign_1]]+Table1[[#This Row],[Accepted_Campaign_5]]+Table1[[#This Row],[Accepted_Campaign_4]]+Table1[[#This Row],[Accepted_Campaign_3]])</f>
        <v>0</v>
      </c>
      <c r="AC2080">
        <v>0</v>
      </c>
      <c r="AD2080">
        <v>0</v>
      </c>
    </row>
    <row r="2081" spans="1:30" x14ac:dyDescent="0.25">
      <c r="A2081">
        <v>41223</v>
      </c>
      <c r="B2081">
        <v>7396</v>
      </c>
      <c r="C2081">
        <v>1966</v>
      </c>
      <c r="D2081" t="s">
        <v>8</v>
      </c>
      <c r="E2081" t="s">
        <v>6</v>
      </c>
      <c r="F2081" t="s">
        <v>11</v>
      </c>
      <c r="G2081">
        <v>80398</v>
      </c>
      <c r="H2081">
        <v>0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f>SUM(Table1[[#This Row],[Gold Spending]]+Table1[[#This Row],[Sweet Spending]]+Table1[[#This Row],[Fish Spending]]+Table1[[#This Row],[Meat Spending]]+Table1[[#This Row],[Fruits Spending]]+Table1[[#This Row],[Wine Spending ]])</f>
        <v>1597</v>
      </c>
      <c r="Q2081">
        <v>1</v>
      </c>
      <c r="R2081">
        <v>5</v>
      </c>
      <c r="S2081">
        <v>8</v>
      </c>
      <c r="T2081">
        <v>12</v>
      </c>
      <c r="U2081">
        <f>SUM(Table1[[#This Row],[Store_Purchases]]+Table1[[#This Row],[Catalog_Purchases]]+Table1[[#This Row],[Web_Purchases]]+Table1[[#This Row],[Deal_Purchases]])</f>
        <v>26</v>
      </c>
      <c r="V2081">
        <v>3</v>
      </c>
      <c r="W2081">
        <v>0</v>
      </c>
      <c r="X2081">
        <v>0</v>
      </c>
      <c r="Y2081">
        <v>1</v>
      </c>
      <c r="Z2081">
        <v>0</v>
      </c>
      <c r="AA2081">
        <v>0</v>
      </c>
      <c r="AB2081">
        <f>SUM(Table1[[#This Row],[Accepted_Campaign_2]]+Table1[[#This Row],[Accepted_Campaign_1]]+Table1[[#This Row],[Accepted_Campaign_5]]+Table1[[#This Row],[Accepted_Campaign_4]]+Table1[[#This Row],[Accepted_Campaign_3]])</f>
        <v>1</v>
      </c>
      <c r="AC2081">
        <v>0</v>
      </c>
      <c r="AD2081">
        <v>0</v>
      </c>
    </row>
    <row r="2082" spans="1:30" x14ac:dyDescent="0.25">
      <c r="A2082">
        <v>41221</v>
      </c>
      <c r="B2082">
        <v>3298</v>
      </c>
      <c r="C2082">
        <v>1956</v>
      </c>
      <c r="D2082" t="s">
        <v>20</v>
      </c>
      <c r="E2082" t="s">
        <v>18</v>
      </c>
      <c r="F2082" t="s">
        <v>11</v>
      </c>
      <c r="G2082">
        <v>52973</v>
      </c>
      <c r="H2082">
        <v>1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f>SUM(Table1[[#This Row],[Gold Spending]]+Table1[[#This Row],[Sweet Spending]]+Table1[[#This Row],[Fish Spending]]+Table1[[#This Row],[Meat Spending]]+Table1[[#This Row],[Fruits Spending]]+Table1[[#This Row],[Wine Spending ]])</f>
        <v>1152</v>
      </c>
      <c r="Q2082">
        <v>7</v>
      </c>
      <c r="R2082">
        <v>9</v>
      </c>
      <c r="S2082">
        <v>6</v>
      </c>
      <c r="T2082">
        <v>9</v>
      </c>
      <c r="U2082">
        <f>SUM(Table1[[#This Row],[Store_Purchases]]+Table1[[#This Row],[Catalog_Purchases]]+Table1[[#This Row],[Web_Purchases]]+Table1[[#This Row],[Deal_Purchases]])</f>
        <v>31</v>
      </c>
      <c r="V2082">
        <v>8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f>SUM(Table1[[#This Row],[Accepted_Campaign_2]]+Table1[[#This Row],[Accepted_Campaign_1]]+Table1[[#This Row],[Accepted_Campaign_5]]+Table1[[#This Row],[Accepted_Campaign_4]]+Table1[[#This Row],[Accepted_Campaign_3]])</f>
        <v>0</v>
      </c>
      <c r="AC2082">
        <v>0</v>
      </c>
      <c r="AD2082">
        <v>0</v>
      </c>
    </row>
    <row r="2083" spans="1:30" x14ac:dyDescent="0.25">
      <c r="A2083">
        <v>41216</v>
      </c>
      <c r="B2083">
        <v>6730</v>
      </c>
      <c r="C2083">
        <v>1954</v>
      </c>
      <c r="D2083" t="s">
        <v>8</v>
      </c>
      <c r="E2083" t="s">
        <v>6</v>
      </c>
      <c r="F2083" t="s">
        <v>11</v>
      </c>
      <c r="G2083">
        <v>38998</v>
      </c>
      <c r="H2083">
        <v>2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f>SUM(Table1[[#This Row],[Gold Spending]]+Table1[[#This Row],[Sweet Spending]]+Table1[[#This Row],[Fish Spending]]+Table1[[#This Row],[Meat Spending]]+Table1[[#This Row],[Fruits Spending]]+Table1[[#This Row],[Wine Spending ]])</f>
        <v>54</v>
      </c>
      <c r="Q2083">
        <v>3</v>
      </c>
      <c r="R2083">
        <v>2</v>
      </c>
      <c r="S2083">
        <v>0</v>
      </c>
      <c r="T2083">
        <v>3</v>
      </c>
      <c r="U2083">
        <f>SUM(Table1[[#This Row],[Store_Purchases]]+Table1[[#This Row],[Catalog_Purchases]]+Table1[[#This Row],[Web_Purchases]]+Table1[[#This Row],[Deal_Purchases]])</f>
        <v>8</v>
      </c>
      <c r="V2083">
        <v>8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f>SUM(Table1[[#This Row],[Accepted_Campaign_2]]+Table1[[#This Row],[Accepted_Campaign_1]]+Table1[[#This Row],[Accepted_Campaign_5]]+Table1[[#This Row],[Accepted_Campaign_4]]+Table1[[#This Row],[Accepted_Campaign_3]])</f>
        <v>0</v>
      </c>
      <c r="AC2083">
        <v>0</v>
      </c>
      <c r="AD2083">
        <v>1</v>
      </c>
    </row>
    <row r="2084" spans="1:30" x14ac:dyDescent="0.25">
      <c r="A2084">
        <v>41216</v>
      </c>
      <c r="B2084">
        <v>9916</v>
      </c>
      <c r="C2084">
        <v>1954</v>
      </c>
      <c r="D2084" t="s">
        <v>20</v>
      </c>
      <c r="E2084" t="s">
        <v>6</v>
      </c>
      <c r="F2084" t="s">
        <v>11</v>
      </c>
      <c r="G2084">
        <v>38998</v>
      </c>
      <c r="H2084">
        <v>2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f>SUM(Table1[[#This Row],[Gold Spending]]+Table1[[#This Row],[Sweet Spending]]+Table1[[#This Row],[Fish Spending]]+Table1[[#This Row],[Meat Spending]]+Table1[[#This Row],[Fruits Spending]]+Table1[[#This Row],[Wine Spending ]])</f>
        <v>54</v>
      </c>
      <c r="Q2084">
        <v>3</v>
      </c>
      <c r="R2084">
        <v>2</v>
      </c>
      <c r="S2084">
        <v>0</v>
      </c>
      <c r="T2084">
        <v>3</v>
      </c>
      <c r="U2084">
        <f>SUM(Table1[[#This Row],[Store_Purchases]]+Table1[[#This Row],[Catalog_Purchases]]+Table1[[#This Row],[Web_Purchases]]+Table1[[#This Row],[Deal_Purchases]])</f>
        <v>8</v>
      </c>
      <c r="V2084">
        <v>8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f>SUM(Table1[[#This Row],[Accepted_Campaign_2]]+Table1[[#This Row],[Accepted_Campaign_1]]+Table1[[#This Row],[Accepted_Campaign_5]]+Table1[[#This Row],[Accepted_Campaign_4]]+Table1[[#This Row],[Accepted_Campaign_3]])</f>
        <v>0</v>
      </c>
      <c r="AC2084">
        <v>0</v>
      </c>
      <c r="AD2084">
        <v>1</v>
      </c>
    </row>
    <row r="2085" spans="1:30" x14ac:dyDescent="0.25">
      <c r="A2085">
        <v>41174</v>
      </c>
      <c r="B2085">
        <v>2227</v>
      </c>
      <c r="C2085">
        <v>1958</v>
      </c>
      <c r="D2085" t="s">
        <v>20</v>
      </c>
      <c r="E2085" t="s">
        <v>15</v>
      </c>
      <c r="F2085" t="s">
        <v>12</v>
      </c>
      <c r="G2085">
        <v>26490</v>
      </c>
      <c r="H2085">
        <v>0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f>SUM(Table1[[#This Row],[Gold Spending]]+Table1[[#This Row],[Sweet Spending]]+Table1[[#This Row],[Fish Spending]]+Table1[[#This Row],[Meat Spending]]+Table1[[#This Row],[Fruits Spending]]+Table1[[#This Row],[Wine Spending ]])</f>
        <v>210</v>
      </c>
      <c r="Q2085">
        <v>2</v>
      </c>
      <c r="R2085">
        <v>3</v>
      </c>
      <c r="S2085">
        <v>1</v>
      </c>
      <c r="T2085">
        <v>5</v>
      </c>
      <c r="U2085">
        <f>SUM(Table1[[#This Row],[Store_Purchases]]+Table1[[#This Row],[Catalog_Purchases]]+Table1[[#This Row],[Web_Purchases]]+Table1[[#This Row],[Deal_Purchases]])</f>
        <v>11</v>
      </c>
      <c r="V2085">
        <v>6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f>SUM(Table1[[#This Row],[Accepted_Campaign_2]]+Table1[[#This Row],[Accepted_Campaign_1]]+Table1[[#This Row],[Accepted_Campaign_5]]+Table1[[#This Row],[Accepted_Campaign_4]]+Table1[[#This Row],[Accepted_Campaign_3]])</f>
        <v>0</v>
      </c>
      <c r="AC2085">
        <v>0</v>
      </c>
      <c r="AD2085">
        <v>0</v>
      </c>
    </row>
    <row r="2086" spans="1:30" x14ac:dyDescent="0.25">
      <c r="A2086">
        <v>41174</v>
      </c>
      <c r="B2086">
        <v>946</v>
      </c>
      <c r="C2086">
        <v>1958</v>
      </c>
      <c r="D2086" t="s">
        <v>8</v>
      </c>
      <c r="E2086" t="s">
        <v>15</v>
      </c>
      <c r="F2086" t="s">
        <v>12</v>
      </c>
      <c r="G2086">
        <v>26490</v>
      </c>
      <c r="H2086">
        <v>0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f>SUM(Table1[[#This Row],[Gold Spending]]+Table1[[#This Row],[Sweet Spending]]+Table1[[#This Row],[Fish Spending]]+Table1[[#This Row],[Meat Spending]]+Table1[[#This Row],[Fruits Spending]]+Table1[[#This Row],[Wine Spending ]])</f>
        <v>210</v>
      </c>
      <c r="Q2086">
        <v>2</v>
      </c>
      <c r="R2086">
        <v>3</v>
      </c>
      <c r="S2086">
        <v>1</v>
      </c>
      <c r="T2086">
        <v>5</v>
      </c>
      <c r="U2086">
        <f>SUM(Table1[[#This Row],[Store_Purchases]]+Table1[[#This Row],[Catalog_Purchases]]+Table1[[#This Row],[Web_Purchases]]+Table1[[#This Row],[Deal_Purchases]])</f>
        <v>11</v>
      </c>
      <c r="V2086">
        <v>6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f>SUM(Table1[[#This Row],[Accepted_Campaign_2]]+Table1[[#This Row],[Accepted_Campaign_1]]+Table1[[#This Row],[Accepted_Campaign_5]]+Table1[[#This Row],[Accepted_Campaign_4]]+Table1[[#This Row],[Accepted_Campaign_3]])</f>
        <v>0</v>
      </c>
      <c r="AC2086">
        <v>0</v>
      </c>
      <c r="AD2086">
        <v>0</v>
      </c>
    </row>
    <row r="2087" spans="1:30" x14ac:dyDescent="0.25">
      <c r="A2087">
        <v>41156</v>
      </c>
      <c r="B2087">
        <v>3745</v>
      </c>
      <c r="C2087">
        <v>1988</v>
      </c>
      <c r="D2087" t="s">
        <v>17</v>
      </c>
      <c r="E2087" t="s">
        <v>15</v>
      </c>
      <c r="F2087" t="s">
        <v>11</v>
      </c>
      <c r="G2087">
        <v>23331</v>
      </c>
      <c r="H2087">
        <v>1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f>SUM(Table1[[#This Row],[Gold Spending]]+Table1[[#This Row],[Sweet Spending]]+Table1[[#This Row],[Fish Spending]]+Table1[[#This Row],[Meat Spending]]+Table1[[#This Row],[Fruits Spending]]+Table1[[#This Row],[Wine Spending ]])</f>
        <v>103</v>
      </c>
      <c r="Q2087">
        <v>2</v>
      </c>
      <c r="R2087">
        <v>3</v>
      </c>
      <c r="S2087">
        <v>0</v>
      </c>
      <c r="T2087">
        <v>3</v>
      </c>
      <c r="U2087">
        <f>SUM(Table1[[#This Row],[Store_Purchases]]+Table1[[#This Row],[Catalog_Purchases]]+Table1[[#This Row],[Web_Purchases]]+Table1[[#This Row],[Deal_Purchases]])</f>
        <v>8</v>
      </c>
      <c r="V2087">
        <v>8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f>SUM(Table1[[#This Row],[Accepted_Campaign_2]]+Table1[[#This Row],[Accepted_Campaign_1]]+Table1[[#This Row],[Accepted_Campaign_5]]+Table1[[#This Row],[Accepted_Campaign_4]]+Table1[[#This Row],[Accepted_Campaign_3]])</f>
        <v>0</v>
      </c>
      <c r="AC2087">
        <v>0</v>
      </c>
      <c r="AD2087">
        <v>0</v>
      </c>
    </row>
    <row r="2088" spans="1:30" x14ac:dyDescent="0.25">
      <c r="A2088">
        <v>41146</v>
      </c>
      <c r="B2088">
        <v>4094</v>
      </c>
      <c r="C2088">
        <v>1961</v>
      </c>
      <c r="D2088" t="s">
        <v>13</v>
      </c>
      <c r="E2088" t="s">
        <v>6</v>
      </c>
      <c r="F2088" t="s">
        <v>11</v>
      </c>
      <c r="G2088">
        <v>60544</v>
      </c>
      <c r="H2088">
        <v>2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f>SUM(Table1[[#This Row],[Gold Spending]]+Table1[[#This Row],[Sweet Spending]]+Table1[[#This Row],[Fish Spending]]+Table1[[#This Row],[Meat Spending]]+Table1[[#This Row],[Fruits Spending]]+Table1[[#This Row],[Wine Spending ]])</f>
        <v>289</v>
      </c>
      <c r="Q2088">
        <v>4</v>
      </c>
      <c r="R2088">
        <v>5</v>
      </c>
      <c r="S2088">
        <v>1</v>
      </c>
      <c r="T2088">
        <v>5</v>
      </c>
      <c r="U2088">
        <f>SUM(Table1[[#This Row],[Store_Purchases]]+Table1[[#This Row],[Catalog_Purchases]]+Table1[[#This Row],[Web_Purchases]]+Table1[[#This Row],[Deal_Purchases]])</f>
        <v>15</v>
      </c>
      <c r="V2088">
        <v>6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f>SUM(Table1[[#This Row],[Accepted_Campaign_2]]+Table1[[#This Row],[Accepted_Campaign_1]]+Table1[[#This Row],[Accepted_Campaign_5]]+Table1[[#This Row],[Accepted_Campaign_4]]+Table1[[#This Row],[Accepted_Campaign_3]])</f>
        <v>0</v>
      </c>
      <c r="AC2088">
        <v>0</v>
      </c>
      <c r="AD2088">
        <v>0</v>
      </c>
    </row>
    <row r="2089" spans="1:30" x14ac:dyDescent="0.25">
      <c r="A2089">
        <v>41146</v>
      </c>
      <c r="B2089">
        <v>8588</v>
      </c>
      <c r="C2089">
        <v>1961</v>
      </c>
      <c r="D2089" t="s">
        <v>16</v>
      </c>
      <c r="E2089" t="s">
        <v>6</v>
      </c>
      <c r="F2089" t="s">
        <v>11</v>
      </c>
      <c r="G2089">
        <v>60544</v>
      </c>
      <c r="H2089">
        <v>2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f>SUM(Table1[[#This Row],[Gold Spending]]+Table1[[#This Row],[Sweet Spending]]+Table1[[#This Row],[Fish Spending]]+Table1[[#This Row],[Meat Spending]]+Table1[[#This Row],[Fruits Spending]]+Table1[[#This Row],[Wine Spending ]])</f>
        <v>289</v>
      </c>
      <c r="Q2089">
        <v>4</v>
      </c>
      <c r="R2089">
        <v>5</v>
      </c>
      <c r="S2089">
        <v>1</v>
      </c>
      <c r="T2089">
        <v>5</v>
      </c>
      <c r="U2089">
        <f>SUM(Table1[[#This Row],[Store_Purchases]]+Table1[[#This Row],[Catalog_Purchases]]+Table1[[#This Row],[Web_Purchases]]+Table1[[#This Row],[Deal_Purchases]])</f>
        <v>15</v>
      </c>
      <c r="V2089">
        <v>6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f>SUM(Table1[[#This Row],[Accepted_Campaign_2]]+Table1[[#This Row],[Accepted_Campaign_1]]+Table1[[#This Row],[Accepted_Campaign_5]]+Table1[[#This Row],[Accepted_Campaign_4]]+Table1[[#This Row],[Accepted_Campaign_3]])</f>
        <v>0</v>
      </c>
      <c r="AC2089">
        <v>0</v>
      </c>
      <c r="AD2089">
        <v>0</v>
      </c>
    </row>
    <row r="2090" spans="1:30" x14ac:dyDescent="0.25">
      <c r="A2090">
        <v>41136</v>
      </c>
      <c r="B2090">
        <v>3916</v>
      </c>
      <c r="C2090">
        <v>1971</v>
      </c>
      <c r="D2090" t="s">
        <v>8</v>
      </c>
      <c r="E2090" t="s">
        <v>14</v>
      </c>
      <c r="F2090" t="s">
        <v>12</v>
      </c>
      <c r="G2090">
        <v>49269</v>
      </c>
      <c r="H2090">
        <v>1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f>SUM(Table1[[#This Row],[Gold Spending]]+Table1[[#This Row],[Sweet Spending]]+Table1[[#This Row],[Fish Spending]]+Table1[[#This Row],[Meat Spending]]+Table1[[#This Row],[Fruits Spending]]+Table1[[#This Row],[Wine Spending ]])</f>
        <v>890</v>
      </c>
      <c r="Q2090">
        <v>3</v>
      </c>
      <c r="R2090">
        <v>7</v>
      </c>
      <c r="S2090">
        <v>3</v>
      </c>
      <c r="T2090">
        <v>12</v>
      </c>
      <c r="U2090">
        <f>SUM(Table1[[#This Row],[Store_Purchases]]+Table1[[#This Row],[Catalog_Purchases]]+Table1[[#This Row],[Web_Purchases]]+Table1[[#This Row],[Deal_Purchases]])</f>
        <v>25</v>
      </c>
      <c r="V2090">
        <v>7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f>SUM(Table1[[#This Row],[Accepted_Campaign_2]]+Table1[[#This Row],[Accepted_Campaign_1]]+Table1[[#This Row],[Accepted_Campaign_5]]+Table1[[#This Row],[Accepted_Campaign_4]]+Table1[[#This Row],[Accepted_Campaign_3]])</f>
        <v>0</v>
      </c>
      <c r="AC2090">
        <v>0</v>
      </c>
      <c r="AD2090">
        <v>0</v>
      </c>
    </row>
    <row r="2091" spans="1:30" x14ac:dyDescent="0.25">
      <c r="A2091">
        <v>41127</v>
      </c>
      <c r="B2091">
        <v>9135</v>
      </c>
      <c r="C2091">
        <v>1950</v>
      </c>
      <c r="D2091" t="s">
        <v>8</v>
      </c>
      <c r="E2091" t="s">
        <v>6</v>
      </c>
      <c r="F2091" t="s">
        <v>12</v>
      </c>
      <c r="G2091">
        <v>27203</v>
      </c>
      <c r="H2091">
        <v>2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f>SUM(Table1[[#This Row],[Gold Spending]]+Table1[[#This Row],[Sweet Spending]]+Table1[[#This Row],[Fish Spending]]+Table1[[#This Row],[Meat Spending]]+Table1[[#This Row],[Fruits Spending]]+Table1[[#This Row],[Wine Spending ]])</f>
        <v>64</v>
      </c>
      <c r="Q2091">
        <v>2</v>
      </c>
      <c r="R2091">
        <v>1</v>
      </c>
      <c r="S2091">
        <v>1</v>
      </c>
      <c r="T2091">
        <v>2</v>
      </c>
      <c r="U2091">
        <f>SUM(Table1[[#This Row],[Store_Purchases]]+Table1[[#This Row],[Catalog_Purchases]]+Table1[[#This Row],[Web_Purchases]]+Table1[[#This Row],[Deal_Purchases]])</f>
        <v>6</v>
      </c>
      <c r="V2091">
        <v>8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f>SUM(Table1[[#This Row],[Accepted_Campaign_2]]+Table1[[#This Row],[Accepted_Campaign_1]]+Table1[[#This Row],[Accepted_Campaign_5]]+Table1[[#This Row],[Accepted_Campaign_4]]+Table1[[#This Row],[Accepted_Campaign_3]])</f>
        <v>0</v>
      </c>
      <c r="AC2091">
        <v>0</v>
      </c>
      <c r="AD2091">
        <v>0</v>
      </c>
    </row>
    <row r="2092" spans="1:30" x14ac:dyDescent="0.25">
      <c r="A2092">
        <v>41740</v>
      </c>
      <c r="B2092">
        <v>1755</v>
      </c>
      <c r="C2092">
        <v>1988</v>
      </c>
      <c r="D2092" t="s">
        <v>20</v>
      </c>
      <c r="E2092" t="s">
        <v>15</v>
      </c>
      <c r="F2092" t="s">
        <v>12</v>
      </c>
      <c r="G2092">
        <v>45204</v>
      </c>
      <c r="H2092">
        <v>1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f>SUM(Table1[[#This Row],[Gold Spending]]+Table1[[#This Row],[Sweet Spending]]+Table1[[#This Row],[Fish Spending]]+Table1[[#This Row],[Meat Spending]]+Table1[[#This Row],[Fruits Spending]]+Table1[[#This Row],[Wine Spending ]])</f>
        <v>114</v>
      </c>
      <c r="Q2092">
        <v>1</v>
      </c>
      <c r="R2092">
        <v>1</v>
      </c>
      <c r="S2092">
        <v>1</v>
      </c>
      <c r="T2092">
        <v>4</v>
      </c>
      <c r="U2092">
        <f>SUM(Table1[[#This Row],[Store_Purchases]]+Table1[[#This Row],[Catalog_Purchases]]+Table1[[#This Row],[Web_Purchases]]+Table1[[#This Row],[Deal_Purchases]])</f>
        <v>7</v>
      </c>
      <c r="V2092">
        <v>3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f>SUM(Table1[[#This Row],[Accepted_Campaign_2]]+Table1[[#This Row],[Accepted_Campaign_1]]+Table1[[#This Row],[Accepted_Campaign_5]]+Table1[[#This Row],[Accepted_Campaign_4]]+Table1[[#This Row],[Accepted_Campaign_3]])</f>
        <v>0</v>
      </c>
      <c r="AC2092">
        <v>0</v>
      </c>
      <c r="AD2092">
        <v>0</v>
      </c>
    </row>
    <row r="2093" spans="1:30" x14ac:dyDescent="0.25">
      <c r="A2093">
        <v>41702</v>
      </c>
      <c r="B2093">
        <v>2875</v>
      </c>
      <c r="C2093">
        <v>1978</v>
      </c>
      <c r="D2093" t="s">
        <v>8</v>
      </c>
      <c r="E2093" t="s">
        <v>6</v>
      </c>
      <c r="F2093" t="s">
        <v>11</v>
      </c>
      <c r="G2093">
        <v>67023</v>
      </c>
      <c r="H2093">
        <v>0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f>SUM(Table1[[#This Row],[Gold Spending]]+Table1[[#This Row],[Sweet Spending]]+Table1[[#This Row],[Fish Spending]]+Table1[[#This Row],[Meat Spending]]+Table1[[#This Row],[Fruits Spending]]+Table1[[#This Row],[Wine Spending ]])</f>
        <v>906</v>
      </c>
      <c r="Q2093">
        <v>1</v>
      </c>
      <c r="R2093">
        <v>3</v>
      </c>
      <c r="S2093">
        <v>7</v>
      </c>
      <c r="T2093">
        <v>13</v>
      </c>
      <c r="U2093">
        <f>SUM(Table1[[#This Row],[Store_Purchases]]+Table1[[#This Row],[Catalog_Purchases]]+Table1[[#This Row],[Web_Purchases]]+Table1[[#This Row],[Deal_Purchases]])</f>
        <v>24</v>
      </c>
      <c r="V2093">
        <v>2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f>SUM(Table1[[#This Row],[Accepted_Campaign_2]]+Table1[[#This Row],[Accepted_Campaign_1]]+Table1[[#This Row],[Accepted_Campaign_5]]+Table1[[#This Row],[Accepted_Campaign_4]]+Table1[[#This Row],[Accepted_Campaign_3]])</f>
        <v>0</v>
      </c>
      <c r="AC2093">
        <v>0</v>
      </c>
      <c r="AD2093">
        <v>1</v>
      </c>
    </row>
    <row r="2094" spans="1:30" x14ac:dyDescent="0.25">
      <c r="A2094">
        <v>41680</v>
      </c>
      <c r="B2094">
        <v>2008</v>
      </c>
      <c r="C2094">
        <v>1978</v>
      </c>
      <c r="D2094" t="s">
        <v>20</v>
      </c>
      <c r="E2094" t="s">
        <v>6</v>
      </c>
      <c r="F2094" t="s">
        <v>11</v>
      </c>
      <c r="G2094">
        <v>77583</v>
      </c>
      <c r="H2094">
        <v>0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f>SUM(Table1[[#This Row],[Gold Spending]]+Table1[[#This Row],[Sweet Spending]]+Table1[[#This Row],[Fish Spending]]+Table1[[#This Row],[Meat Spending]]+Table1[[#This Row],[Fruits Spending]]+Table1[[#This Row],[Wine Spending ]])</f>
        <v>1149</v>
      </c>
      <c r="Q2094">
        <v>1</v>
      </c>
      <c r="R2094">
        <v>4</v>
      </c>
      <c r="S2094">
        <v>5</v>
      </c>
      <c r="T2094">
        <v>9</v>
      </c>
      <c r="U2094">
        <f>SUM(Table1[[#This Row],[Store_Purchases]]+Table1[[#This Row],[Catalog_Purchases]]+Table1[[#This Row],[Web_Purchases]]+Table1[[#This Row],[Deal_Purchases]])</f>
        <v>19</v>
      </c>
      <c r="V2094">
        <v>2</v>
      </c>
      <c r="W2094">
        <v>0</v>
      </c>
      <c r="X2094">
        <v>0</v>
      </c>
      <c r="Y2094">
        <v>0</v>
      </c>
      <c r="Z2094">
        <v>1</v>
      </c>
      <c r="AA2094">
        <v>0</v>
      </c>
      <c r="AB2094">
        <f>SUM(Table1[[#This Row],[Accepted_Campaign_2]]+Table1[[#This Row],[Accepted_Campaign_1]]+Table1[[#This Row],[Accepted_Campaign_5]]+Table1[[#This Row],[Accepted_Campaign_4]]+Table1[[#This Row],[Accepted_Campaign_3]])</f>
        <v>1</v>
      </c>
      <c r="AC2094">
        <v>0</v>
      </c>
      <c r="AD2094">
        <v>0</v>
      </c>
    </row>
    <row r="2095" spans="1:30" x14ac:dyDescent="0.25">
      <c r="A2095">
        <v>41653</v>
      </c>
      <c r="B2095">
        <v>10925</v>
      </c>
      <c r="C2095">
        <v>1983</v>
      </c>
      <c r="D2095" t="s">
        <v>20</v>
      </c>
      <c r="E2095" t="s">
        <v>6</v>
      </c>
      <c r="F2095" t="s">
        <v>11</v>
      </c>
      <c r="G2095">
        <v>76630</v>
      </c>
      <c r="H2095">
        <v>0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f>SUM(Table1[[#This Row],[Gold Spending]]+Table1[[#This Row],[Sweet Spending]]+Table1[[#This Row],[Fish Spending]]+Table1[[#This Row],[Meat Spending]]+Table1[[#This Row],[Fruits Spending]]+Table1[[#This Row],[Wine Spending ]])</f>
        <v>1003</v>
      </c>
      <c r="Q2095">
        <v>1</v>
      </c>
      <c r="R2095">
        <v>3</v>
      </c>
      <c r="S2095">
        <v>10</v>
      </c>
      <c r="T2095">
        <v>11</v>
      </c>
      <c r="U2095">
        <f>SUM(Table1[[#This Row],[Store_Purchases]]+Table1[[#This Row],[Catalog_Purchases]]+Table1[[#This Row],[Web_Purchases]]+Table1[[#This Row],[Deal_Purchases]])</f>
        <v>25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f>SUM(Table1[[#This Row],[Accepted_Campaign_2]]+Table1[[#This Row],[Accepted_Campaign_1]]+Table1[[#This Row],[Accepted_Campaign_5]]+Table1[[#This Row],[Accepted_Campaign_4]]+Table1[[#This Row],[Accepted_Campaign_3]])</f>
        <v>0</v>
      </c>
      <c r="AC2095">
        <v>0</v>
      </c>
      <c r="AD2095">
        <v>0</v>
      </c>
    </row>
    <row r="2096" spans="1:30" x14ac:dyDescent="0.25">
      <c r="A2096">
        <v>41591</v>
      </c>
      <c r="B2096">
        <v>1604</v>
      </c>
      <c r="C2096">
        <v>1960</v>
      </c>
      <c r="D2096" t="s">
        <v>8</v>
      </c>
      <c r="E2096" t="s">
        <v>18</v>
      </c>
      <c r="F2096" t="s">
        <v>11</v>
      </c>
      <c r="G2096">
        <v>47353</v>
      </c>
      <c r="H2096">
        <v>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f>SUM(Table1[[#This Row],[Gold Spending]]+Table1[[#This Row],[Sweet Spending]]+Table1[[#This Row],[Fish Spending]]+Table1[[#This Row],[Meat Spending]]+Table1[[#This Row],[Fruits Spending]]+Table1[[#This Row],[Wine Spending ]])</f>
        <v>225</v>
      </c>
      <c r="Q2096">
        <v>3</v>
      </c>
      <c r="R2096">
        <v>2</v>
      </c>
      <c r="S2096">
        <v>2</v>
      </c>
      <c r="T2096">
        <v>6</v>
      </c>
      <c r="U2096">
        <f>SUM(Table1[[#This Row],[Store_Purchases]]+Table1[[#This Row],[Catalog_Purchases]]+Table1[[#This Row],[Web_Purchases]]+Table1[[#This Row],[Deal_Purchases]])</f>
        <v>13</v>
      </c>
      <c r="V2096">
        <v>5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f>SUM(Table1[[#This Row],[Accepted_Campaign_2]]+Table1[[#This Row],[Accepted_Campaign_1]]+Table1[[#This Row],[Accepted_Campaign_5]]+Table1[[#This Row],[Accepted_Campaign_4]]+Table1[[#This Row],[Accepted_Campaign_3]])</f>
        <v>0</v>
      </c>
      <c r="AC2096">
        <v>0</v>
      </c>
      <c r="AD2096">
        <v>0</v>
      </c>
    </row>
    <row r="2097" spans="1:30" x14ac:dyDescent="0.25">
      <c r="A2097">
        <v>41567</v>
      </c>
      <c r="B2097">
        <v>5389</v>
      </c>
      <c r="C2097">
        <v>1964</v>
      </c>
      <c r="D2097" t="s">
        <v>8</v>
      </c>
      <c r="E2097" t="s">
        <v>6</v>
      </c>
      <c r="F2097" t="s">
        <v>11</v>
      </c>
      <c r="G2097">
        <v>48920</v>
      </c>
      <c r="H2097">
        <v>2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f>SUM(Table1[[#This Row],[Gold Spending]]+Table1[[#This Row],[Sweet Spending]]+Table1[[#This Row],[Fish Spending]]+Table1[[#This Row],[Meat Spending]]+Table1[[#This Row],[Fruits Spending]]+Table1[[#This Row],[Wine Spending ]])</f>
        <v>347</v>
      </c>
      <c r="Q2097">
        <v>3</v>
      </c>
      <c r="R2097">
        <v>6</v>
      </c>
      <c r="S2097">
        <v>2</v>
      </c>
      <c r="T2097">
        <v>5</v>
      </c>
      <c r="U2097">
        <f>SUM(Table1[[#This Row],[Store_Purchases]]+Table1[[#This Row],[Catalog_Purchases]]+Table1[[#This Row],[Web_Purchases]]+Table1[[#This Row],[Deal_Purchases]])</f>
        <v>16</v>
      </c>
      <c r="V2097">
        <v>7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f>SUM(Table1[[#This Row],[Accepted_Campaign_2]]+Table1[[#This Row],[Accepted_Campaign_1]]+Table1[[#This Row],[Accepted_Campaign_5]]+Table1[[#This Row],[Accepted_Campaign_4]]+Table1[[#This Row],[Accepted_Campaign_3]])</f>
        <v>1</v>
      </c>
      <c r="AC2097">
        <v>0</v>
      </c>
      <c r="AD2097">
        <v>0</v>
      </c>
    </row>
    <row r="2098" spans="1:30" x14ac:dyDescent="0.25">
      <c r="A2098">
        <v>41545</v>
      </c>
      <c r="B2098">
        <v>2878</v>
      </c>
      <c r="C2098">
        <v>1947</v>
      </c>
      <c r="D2098" t="s">
        <v>8</v>
      </c>
      <c r="E2098" t="s">
        <v>14</v>
      </c>
      <c r="F2098" t="s">
        <v>11</v>
      </c>
      <c r="G2098">
        <v>67472</v>
      </c>
      <c r="H2098">
        <v>1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f>SUM(Table1[[#This Row],[Gold Spending]]+Table1[[#This Row],[Sweet Spending]]+Table1[[#This Row],[Fish Spending]]+Table1[[#This Row],[Meat Spending]]+Table1[[#This Row],[Fruits Spending]]+Table1[[#This Row],[Wine Spending ]])</f>
        <v>414</v>
      </c>
      <c r="Q2098">
        <v>2</v>
      </c>
      <c r="R2098">
        <v>4</v>
      </c>
      <c r="S2098">
        <v>2</v>
      </c>
      <c r="T2098">
        <v>7</v>
      </c>
      <c r="U2098">
        <f>SUM(Table1[[#This Row],[Store_Purchases]]+Table1[[#This Row],[Catalog_Purchases]]+Table1[[#This Row],[Web_Purchases]]+Table1[[#This Row],[Deal_Purchases]])</f>
        <v>15</v>
      </c>
      <c r="V2098">
        <v>3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f>SUM(Table1[[#This Row],[Accepted_Campaign_2]]+Table1[[#This Row],[Accepted_Campaign_1]]+Table1[[#This Row],[Accepted_Campaign_5]]+Table1[[#This Row],[Accepted_Campaign_4]]+Table1[[#This Row],[Accepted_Campaign_3]])</f>
        <v>0</v>
      </c>
      <c r="AC2098">
        <v>0</v>
      </c>
      <c r="AD2098">
        <v>0</v>
      </c>
    </row>
    <row r="2099" spans="1:30" x14ac:dyDescent="0.25">
      <c r="A2099">
        <v>41527</v>
      </c>
      <c r="B2099">
        <v>4440</v>
      </c>
      <c r="C2099">
        <v>1964</v>
      </c>
      <c r="D2099" t="s">
        <v>20</v>
      </c>
      <c r="E2099" t="s">
        <v>18</v>
      </c>
      <c r="F2099" t="s">
        <v>11</v>
      </c>
      <c r="G2099">
        <v>64100</v>
      </c>
      <c r="H2099">
        <v>1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f>SUM(Table1[[#This Row],[Gold Spending]]+Table1[[#This Row],[Sweet Spending]]+Table1[[#This Row],[Fish Spending]]+Table1[[#This Row],[Meat Spending]]+Table1[[#This Row],[Fruits Spending]]+Table1[[#This Row],[Wine Spending ]])</f>
        <v>546</v>
      </c>
      <c r="Q2099">
        <v>1</v>
      </c>
      <c r="R2099">
        <v>8</v>
      </c>
      <c r="S2099">
        <v>3</v>
      </c>
      <c r="T2099">
        <v>6</v>
      </c>
      <c r="U2099">
        <f>SUM(Table1[[#This Row],[Store_Purchases]]+Table1[[#This Row],[Catalog_Purchases]]+Table1[[#This Row],[Web_Purchases]]+Table1[[#This Row],[Deal_Purchases]])</f>
        <v>18</v>
      </c>
      <c r="V2099">
        <v>7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f>SUM(Table1[[#This Row],[Accepted_Campaign_2]]+Table1[[#This Row],[Accepted_Campaign_1]]+Table1[[#This Row],[Accepted_Campaign_5]]+Table1[[#This Row],[Accepted_Campaign_4]]+Table1[[#This Row],[Accepted_Campaign_3]])</f>
        <v>1</v>
      </c>
      <c r="AC2099">
        <v>0</v>
      </c>
      <c r="AD2099">
        <v>0</v>
      </c>
    </row>
    <row r="2100" spans="1:30" x14ac:dyDescent="0.25">
      <c r="A2100">
        <v>41424</v>
      </c>
      <c r="B2100">
        <v>1324</v>
      </c>
      <c r="C2100">
        <v>1988</v>
      </c>
      <c r="D2100" t="s">
        <v>17</v>
      </c>
      <c r="E2100" t="s">
        <v>6</v>
      </c>
      <c r="F2100" t="s">
        <v>11</v>
      </c>
      <c r="G2100">
        <v>38872</v>
      </c>
      <c r="H2100">
        <v>1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f>SUM(Table1[[#This Row],[Gold Spending]]+Table1[[#This Row],[Sweet Spending]]+Table1[[#This Row],[Fish Spending]]+Table1[[#This Row],[Meat Spending]]+Table1[[#This Row],[Fruits Spending]]+Table1[[#This Row],[Wine Spending ]])</f>
        <v>91</v>
      </c>
      <c r="Q2100">
        <v>2</v>
      </c>
      <c r="R2100">
        <v>3</v>
      </c>
      <c r="S2100">
        <v>0</v>
      </c>
      <c r="T2100">
        <v>3</v>
      </c>
      <c r="U2100">
        <f>SUM(Table1[[#This Row],[Store_Purchases]]+Table1[[#This Row],[Catalog_Purchases]]+Table1[[#This Row],[Web_Purchases]]+Table1[[#This Row],[Deal_Purchases]])</f>
        <v>8</v>
      </c>
      <c r="V2100">
        <v>8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f>SUM(Table1[[#This Row],[Accepted_Campaign_2]]+Table1[[#This Row],[Accepted_Campaign_1]]+Table1[[#This Row],[Accepted_Campaign_5]]+Table1[[#This Row],[Accepted_Campaign_4]]+Table1[[#This Row],[Accepted_Campaign_3]])</f>
        <v>0</v>
      </c>
      <c r="AC2100">
        <v>0</v>
      </c>
      <c r="AD2100">
        <v>0</v>
      </c>
    </row>
    <row r="2101" spans="1:30" x14ac:dyDescent="0.25">
      <c r="A2101">
        <v>41374</v>
      </c>
      <c r="B2101">
        <v>6262</v>
      </c>
      <c r="C2101">
        <v>1962</v>
      </c>
      <c r="D2101" t="s">
        <v>16</v>
      </c>
      <c r="E2101" t="s">
        <v>18</v>
      </c>
      <c r="F2101" t="s">
        <v>9</v>
      </c>
      <c r="G2101">
        <v>72217</v>
      </c>
      <c r="H2101">
        <v>0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f>SUM(Table1[[#This Row],[Gold Spending]]+Table1[[#This Row],[Sweet Spending]]+Table1[[#This Row],[Fish Spending]]+Table1[[#This Row],[Meat Spending]]+Table1[[#This Row],[Fruits Spending]]+Table1[[#This Row],[Wine Spending ]])</f>
        <v>1573</v>
      </c>
      <c r="Q2101">
        <v>1</v>
      </c>
      <c r="R2101">
        <v>3</v>
      </c>
      <c r="S2101">
        <v>10</v>
      </c>
      <c r="T2101">
        <v>8</v>
      </c>
      <c r="U2101">
        <f>SUM(Table1[[#This Row],[Store_Purchases]]+Table1[[#This Row],[Catalog_Purchases]]+Table1[[#This Row],[Web_Purchases]]+Table1[[#This Row],[Deal_Purchases]])</f>
        <v>22</v>
      </c>
      <c r="V2101">
        <v>2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f>SUM(Table1[[#This Row],[Accepted_Campaign_2]]+Table1[[#This Row],[Accepted_Campaign_1]]+Table1[[#This Row],[Accepted_Campaign_5]]+Table1[[#This Row],[Accepted_Campaign_4]]+Table1[[#This Row],[Accepted_Campaign_3]])</f>
        <v>0</v>
      </c>
      <c r="AC2101">
        <v>0</v>
      </c>
      <c r="AD2101">
        <v>0</v>
      </c>
    </row>
    <row r="2102" spans="1:30" x14ac:dyDescent="0.25">
      <c r="A2102">
        <v>41303</v>
      </c>
      <c r="B2102">
        <v>3628</v>
      </c>
      <c r="C2102">
        <v>1987</v>
      </c>
      <c r="D2102" t="s">
        <v>8</v>
      </c>
      <c r="E2102" t="s">
        <v>21</v>
      </c>
      <c r="F2102" t="s">
        <v>9</v>
      </c>
      <c r="G2102">
        <v>15038</v>
      </c>
      <c r="H2102">
        <v>1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f>SUM(Table1[[#This Row],[Gold Spending]]+Table1[[#This Row],[Sweet Spending]]+Table1[[#This Row],[Fish Spending]]+Table1[[#This Row],[Meat Spending]]+Table1[[#This Row],[Fruits Spending]]+Table1[[#This Row],[Wine Spending ]])</f>
        <v>80</v>
      </c>
      <c r="Q2102">
        <v>2</v>
      </c>
      <c r="R2102">
        <v>2</v>
      </c>
      <c r="S2102">
        <v>1</v>
      </c>
      <c r="T2102">
        <v>2</v>
      </c>
      <c r="U2102">
        <f>SUM(Table1[[#This Row],[Store_Purchases]]+Table1[[#This Row],[Catalog_Purchases]]+Table1[[#This Row],[Web_Purchases]]+Table1[[#This Row],[Deal_Purchases]])</f>
        <v>7</v>
      </c>
      <c r="V2102">
        <v>9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f>SUM(Table1[[#This Row],[Accepted_Campaign_2]]+Table1[[#This Row],[Accepted_Campaign_1]]+Table1[[#This Row],[Accepted_Campaign_5]]+Table1[[#This Row],[Accepted_Campaign_4]]+Table1[[#This Row],[Accepted_Campaign_3]])</f>
        <v>0</v>
      </c>
      <c r="AC2102">
        <v>0</v>
      </c>
      <c r="AD2102">
        <v>0</v>
      </c>
    </row>
    <row r="2103" spans="1:30" x14ac:dyDescent="0.25">
      <c r="A2103">
        <v>41294</v>
      </c>
      <c r="B2103">
        <v>3641</v>
      </c>
      <c r="C2103">
        <v>1976</v>
      </c>
      <c r="D2103" t="s">
        <v>8</v>
      </c>
      <c r="E2103" t="s">
        <v>6</v>
      </c>
      <c r="F2103" t="s">
        <v>11</v>
      </c>
      <c r="G2103">
        <v>13624</v>
      </c>
      <c r="H2103">
        <v>1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f>SUM(Table1[[#This Row],[Gold Spending]]+Table1[[#This Row],[Sweet Spending]]+Table1[[#This Row],[Fish Spending]]+Table1[[#This Row],[Meat Spending]]+Table1[[#This Row],[Fruits Spending]]+Table1[[#This Row],[Wine Spending ]])</f>
        <v>36</v>
      </c>
      <c r="Q2103">
        <v>2</v>
      </c>
      <c r="R2103">
        <v>2</v>
      </c>
      <c r="S2103">
        <v>0</v>
      </c>
      <c r="T2103">
        <v>3</v>
      </c>
      <c r="U2103">
        <f>SUM(Table1[[#This Row],[Store_Purchases]]+Table1[[#This Row],[Catalog_Purchases]]+Table1[[#This Row],[Web_Purchases]]+Table1[[#This Row],[Deal_Purchases]])</f>
        <v>7</v>
      </c>
      <c r="V2103">
        <v>6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f>SUM(Table1[[#This Row],[Accepted_Campaign_2]]+Table1[[#This Row],[Accepted_Campaign_1]]+Table1[[#This Row],[Accepted_Campaign_5]]+Table1[[#This Row],[Accepted_Campaign_4]]+Table1[[#This Row],[Accepted_Campaign_3]])</f>
        <v>0</v>
      </c>
      <c r="AC2103">
        <v>0</v>
      </c>
      <c r="AD2103">
        <v>0</v>
      </c>
    </row>
    <row r="2104" spans="1:30" x14ac:dyDescent="0.25">
      <c r="A2104">
        <v>41286</v>
      </c>
      <c r="B2104">
        <v>322</v>
      </c>
      <c r="C2104">
        <v>1978</v>
      </c>
      <c r="D2104" t="s">
        <v>13</v>
      </c>
      <c r="E2104" t="s">
        <v>6</v>
      </c>
      <c r="F2104" t="s">
        <v>12</v>
      </c>
      <c r="G2104">
        <v>42554</v>
      </c>
      <c r="H2104">
        <v>2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f>SUM(Table1[[#This Row],[Gold Spending]]+Table1[[#This Row],[Sweet Spending]]+Table1[[#This Row],[Fish Spending]]+Table1[[#This Row],[Meat Spending]]+Table1[[#This Row],[Fruits Spending]]+Table1[[#This Row],[Wine Spending ]])</f>
        <v>41</v>
      </c>
      <c r="Q2104">
        <v>2</v>
      </c>
      <c r="R2104">
        <v>2</v>
      </c>
      <c r="S2104">
        <v>0</v>
      </c>
      <c r="T2104">
        <v>3</v>
      </c>
      <c r="U2104">
        <f>SUM(Table1[[#This Row],[Store_Purchases]]+Table1[[#This Row],[Catalog_Purchases]]+Table1[[#This Row],[Web_Purchases]]+Table1[[#This Row],[Deal_Purchases]])</f>
        <v>7</v>
      </c>
      <c r="V2104">
        <v>4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f>SUM(Table1[[#This Row],[Accepted_Campaign_2]]+Table1[[#This Row],[Accepted_Campaign_1]]+Table1[[#This Row],[Accepted_Campaign_5]]+Table1[[#This Row],[Accepted_Campaign_4]]+Table1[[#This Row],[Accepted_Campaign_3]])</f>
        <v>0</v>
      </c>
      <c r="AC2104">
        <v>0</v>
      </c>
      <c r="AD2104">
        <v>0</v>
      </c>
    </row>
    <row r="2105" spans="1:30" x14ac:dyDescent="0.25">
      <c r="A2105">
        <v>41284</v>
      </c>
      <c r="B2105">
        <v>175</v>
      </c>
      <c r="C2105">
        <v>1986</v>
      </c>
      <c r="D2105" t="s">
        <v>8</v>
      </c>
      <c r="E2105" t="s">
        <v>6</v>
      </c>
      <c r="F2105" t="s">
        <v>11</v>
      </c>
      <c r="G2105">
        <v>71952</v>
      </c>
      <c r="H2105">
        <v>1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f>SUM(Table1[[#This Row],[Gold Spending]]+Table1[[#This Row],[Sweet Spending]]+Table1[[#This Row],[Fish Spending]]+Table1[[#This Row],[Meat Spending]]+Table1[[#This Row],[Fruits Spending]]+Table1[[#This Row],[Wine Spending ]])</f>
        <v>1443</v>
      </c>
      <c r="Q2105">
        <v>2</v>
      </c>
      <c r="R2105">
        <v>8</v>
      </c>
      <c r="S2105">
        <v>4</v>
      </c>
      <c r="T2105">
        <v>8</v>
      </c>
      <c r="U2105">
        <f>SUM(Table1[[#This Row],[Store_Purchases]]+Table1[[#This Row],[Catalog_Purchases]]+Table1[[#This Row],[Web_Purchases]]+Table1[[#This Row],[Deal_Purchases]])</f>
        <v>22</v>
      </c>
      <c r="V2105">
        <v>4</v>
      </c>
      <c r="W2105">
        <v>1</v>
      </c>
      <c r="X2105">
        <v>0</v>
      </c>
      <c r="Y2105">
        <v>1</v>
      </c>
      <c r="Z2105">
        <v>0</v>
      </c>
      <c r="AA2105">
        <v>0</v>
      </c>
      <c r="AB2105">
        <f>SUM(Table1[[#This Row],[Accepted_Campaign_2]]+Table1[[#This Row],[Accepted_Campaign_1]]+Table1[[#This Row],[Accepted_Campaign_5]]+Table1[[#This Row],[Accepted_Campaign_4]]+Table1[[#This Row],[Accepted_Campaign_3]])</f>
        <v>2</v>
      </c>
      <c r="AC2105">
        <v>0</v>
      </c>
      <c r="AD2105">
        <v>0</v>
      </c>
    </row>
    <row r="2106" spans="1:30" x14ac:dyDescent="0.25">
      <c r="A2106">
        <v>41284</v>
      </c>
      <c r="B2106">
        <v>6988</v>
      </c>
      <c r="C2106">
        <v>1986</v>
      </c>
      <c r="D2106" t="s">
        <v>13</v>
      </c>
      <c r="E2106" t="s">
        <v>6</v>
      </c>
      <c r="F2106" t="s">
        <v>11</v>
      </c>
      <c r="G2106">
        <v>71952</v>
      </c>
      <c r="H2106">
        <v>1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f>SUM(Table1[[#This Row],[Gold Spending]]+Table1[[#This Row],[Sweet Spending]]+Table1[[#This Row],[Fish Spending]]+Table1[[#This Row],[Meat Spending]]+Table1[[#This Row],[Fruits Spending]]+Table1[[#This Row],[Wine Spending ]])</f>
        <v>1443</v>
      </c>
      <c r="Q2106">
        <v>2</v>
      </c>
      <c r="R2106">
        <v>8</v>
      </c>
      <c r="S2106">
        <v>4</v>
      </c>
      <c r="T2106">
        <v>8</v>
      </c>
      <c r="U2106">
        <f>SUM(Table1[[#This Row],[Store_Purchases]]+Table1[[#This Row],[Catalog_Purchases]]+Table1[[#This Row],[Web_Purchases]]+Table1[[#This Row],[Deal_Purchases]])</f>
        <v>22</v>
      </c>
      <c r="V2106">
        <v>4</v>
      </c>
      <c r="W2106">
        <v>1</v>
      </c>
      <c r="X2106">
        <v>0</v>
      </c>
      <c r="Y2106">
        <v>1</v>
      </c>
      <c r="Z2106">
        <v>0</v>
      </c>
      <c r="AA2106">
        <v>0</v>
      </c>
      <c r="AB2106">
        <f>SUM(Table1[[#This Row],[Accepted_Campaign_2]]+Table1[[#This Row],[Accepted_Campaign_1]]+Table1[[#This Row],[Accepted_Campaign_5]]+Table1[[#This Row],[Accepted_Campaign_4]]+Table1[[#This Row],[Accepted_Campaign_3]])</f>
        <v>2</v>
      </c>
      <c r="AC2106">
        <v>0</v>
      </c>
      <c r="AD2106">
        <v>0</v>
      </c>
    </row>
    <row r="2107" spans="1:30" x14ac:dyDescent="0.25">
      <c r="A2107">
        <v>41259</v>
      </c>
      <c r="B2107">
        <v>8204</v>
      </c>
      <c r="C2107">
        <v>1971</v>
      </c>
      <c r="D2107" t="s">
        <v>16</v>
      </c>
      <c r="E2107" t="s">
        <v>15</v>
      </c>
      <c r="F2107" t="s">
        <v>11</v>
      </c>
      <c r="G2107">
        <v>78041</v>
      </c>
      <c r="H2107">
        <v>0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f>SUM(Table1[[#This Row],[Gold Spending]]+Table1[[#This Row],[Sweet Spending]]+Table1[[#This Row],[Fish Spending]]+Table1[[#This Row],[Meat Spending]]+Table1[[#This Row],[Fruits Spending]]+Table1[[#This Row],[Wine Spending ]])</f>
        <v>1319</v>
      </c>
      <c r="Q2107">
        <v>1</v>
      </c>
      <c r="R2107">
        <v>4</v>
      </c>
      <c r="S2107">
        <v>4</v>
      </c>
      <c r="T2107">
        <v>9</v>
      </c>
      <c r="U2107">
        <f>SUM(Table1[[#This Row],[Store_Purchases]]+Table1[[#This Row],[Catalog_Purchases]]+Table1[[#This Row],[Web_Purchases]]+Table1[[#This Row],[Deal_Purchases]])</f>
        <v>18</v>
      </c>
      <c r="V2107">
        <v>2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f>SUM(Table1[[#This Row],[Accepted_Campaign_2]]+Table1[[#This Row],[Accepted_Campaign_1]]+Table1[[#This Row],[Accepted_Campaign_5]]+Table1[[#This Row],[Accepted_Campaign_4]]+Table1[[#This Row],[Accepted_Campaign_3]])</f>
        <v>0</v>
      </c>
      <c r="AC2107">
        <v>0</v>
      </c>
      <c r="AD2107">
        <v>0</v>
      </c>
    </row>
    <row r="2108" spans="1:30" x14ac:dyDescent="0.25">
      <c r="A2108">
        <v>41245</v>
      </c>
      <c r="B2108">
        <v>7476</v>
      </c>
      <c r="C2108">
        <v>1964</v>
      </c>
      <c r="D2108" t="s">
        <v>20</v>
      </c>
      <c r="E2108" t="s">
        <v>18</v>
      </c>
      <c r="F2108" t="s">
        <v>9</v>
      </c>
      <c r="G2108">
        <v>63972</v>
      </c>
      <c r="H2108">
        <v>1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f>SUM(Table1[[#This Row],[Gold Spending]]+Table1[[#This Row],[Sweet Spending]]+Table1[[#This Row],[Fish Spending]]+Table1[[#This Row],[Meat Spending]]+Table1[[#This Row],[Fruits Spending]]+Table1[[#This Row],[Wine Spending ]])</f>
        <v>1269</v>
      </c>
      <c r="Q2108">
        <v>4</v>
      </c>
      <c r="R2108">
        <v>5</v>
      </c>
      <c r="S2108">
        <v>4</v>
      </c>
      <c r="T2108">
        <v>10</v>
      </c>
      <c r="U2108">
        <f>SUM(Table1[[#This Row],[Store_Purchases]]+Table1[[#This Row],[Catalog_Purchases]]+Table1[[#This Row],[Web_Purchases]]+Table1[[#This Row],[Deal_Purchases]])</f>
        <v>23</v>
      </c>
      <c r="V2108">
        <v>4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f>SUM(Table1[[#This Row],[Accepted_Campaign_2]]+Table1[[#This Row],[Accepted_Campaign_1]]+Table1[[#This Row],[Accepted_Campaign_5]]+Table1[[#This Row],[Accepted_Campaign_4]]+Table1[[#This Row],[Accepted_Campaign_3]])</f>
        <v>1</v>
      </c>
      <c r="AC2108">
        <v>0</v>
      </c>
      <c r="AD2108">
        <v>0</v>
      </c>
    </row>
    <row r="2109" spans="1:30" x14ac:dyDescent="0.25">
      <c r="A2109">
        <v>41244</v>
      </c>
      <c r="B2109">
        <v>5221</v>
      </c>
      <c r="C2109">
        <v>1957</v>
      </c>
      <c r="D2109" t="s">
        <v>16</v>
      </c>
      <c r="E2109" t="s">
        <v>6</v>
      </c>
      <c r="F2109" t="s">
        <v>11</v>
      </c>
      <c r="G2109">
        <v>52852</v>
      </c>
      <c r="H2109">
        <v>1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f>SUM(Table1[[#This Row],[Gold Spending]]+Table1[[#This Row],[Sweet Spending]]+Table1[[#This Row],[Fish Spending]]+Table1[[#This Row],[Meat Spending]]+Table1[[#This Row],[Fruits Spending]]+Table1[[#This Row],[Wine Spending ]])</f>
        <v>879</v>
      </c>
      <c r="Q2109">
        <v>4</v>
      </c>
      <c r="R2109">
        <v>10</v>
      </c>
      <c r="S2109">
        <v>7</v>
      </c>
      <c r="T2109">
        <v>5</v>
      </c>
      <c r="U2109">
        <f>SUM(Table1[[#This Row],[Store_Purchases]]+Table1[[#This Row],[Catalog_Purchases]]+Table1[[#This Row],[Web_Purchases]]+Table1[[#This Row],[Deal_Purchases]])</f>
        <v>26</v>
      </c>
      <c r="V2109">
        <v>8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f>SUM(Table1[[#This Row],[Accepted_Campaign_2]]+Table1[[#This Row],[Accepted_Campaign_1]]+Table1[[#This Row],[Accepted_Campaign_5]]+Table1[[#This Row],[Accepted_Campaign_4]]+Table1[[#This Row],[Accepted_Campaign_3]])</f>
        <v>1</v>
      </c>
      <c r="AC2109">
        <v>0</v>
      </c>
      <c r="AD2109">
        <v>0</v>
      </c>
    </row>
    <row r="2110" spans="1:30" x14ac:dyDescent="0.25">
      <c r="A2110">
        <v>41205</v>
      </c>
      <c r="B2110">
        <v>8970</v>
      </c>
      <c r="C2110">
        <v>1972</v>
      </c>
      <c r="D2110" t="s">
        <v>8</v>
      </c>
      <c r="E2110" t="s">
        <v>14</v>
      </c>
      <c r="F2110" t="s">
        <v>11</v>
      </c>
      <c r="G2110">
        <v>62010</v>
      </c>
      <c r="H2110">
        <v>1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f>SUM(Table1[[#This Row],[Gold Spending]]+Table1[[#This Row],[Sweet Spending]]+Table1[[#This Row],[Fish Spending]]+Table1[[#This Row],[Meat Spending]]+Table1[[#This Row],[Fruits Spending]]+Table1[[#This Row],[Wine Spending ]])</f>
        <v>530</v>
      </c>
      <c r="Q2110">
        <v>4</v>
      </c>
      <c r="R2110">
        <v>6</v>
      </c>
      <c r="S2110">
        <v>2</v>
      </c>
      <c r="T2110">
        <v>7</v>
      </c>
      <c r="U2110">
        <f>SUM(Table1[[#This Row],[Store_Purchases]]+Table1[[#This Row],[Catalog_Purchases]]+Table1[[#This Row],[Web_Purchases]]+Table1[[#This Row],[Deal_Purchases]])</f>
        <v>19</v>
      </c>
      <c r="V2110">
        <v>5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f>SUM(Table1[[#This Row],[Accepted_Campaign_2]]+Table1[[#This Row],[Accepted_Campaign_1]]+Table1[[#This Row],[Accepted_Campaign_5]]+Table1[[#This Row],[Accepted_Campaign_4]]+Table1[[#This Row],[Accepted_Campaign_3]])</f>
        <v>0</v>
      </c>
      <c r="AC2110">
        <v>0</v>
      </c>
      <c r="AD2110">
        <v>0</v>
      </c>
    </row>
    <row r="2111" spans="1:30" x14ac:dyDescent="0.25">
      <c r="A2111">
        <v>41192</v>
      </c>
      <c r="B2111">
        <v>9286</v>
      </c>
      <c r="C2111">
        <v>1960</v>
      </c>
      <c r="D2111" t="s">
        <v>8</v>
      </c>
      <c r="E2111" t="s">
        <v>18</v>
      </c>
      <c r="F2111" t="s">
        <v>12</v>
      </c>
      <c r="G2111">
        <v>83151</v>
      </c>
      <c r="H2111">
        <v>0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f>SUM(Table1[[#This Row],[Gold Spending]]+Table1[[#This Row],[Sweet Spending]]+Table1[[#This Row],[Fish Spending]]+Table1[[#This Row],[Meat Spending]]+Table1[[#This Row],[Fruits Spending]]+Table1[[#This Row],[Wine Spending ]])</f>
        <v>747</v>
      </c>
      <c r="Q2111">
        <v>1</v>
      </c>
      <c r="R2111">
        <v>5</v>
      </c>
      <c r="S2111">
        <v>9</v>
      </c>
      <c r="T2111">
        <v>4</v>
      </c>
      <c r="U2111">
        <f>SUM(Table1[[#This Row],[Store_Purchases]]+Table1[[#This Row],[Catalog_Purchases]]+Table1[[#This Row],[Web_Purchases]]+Table1[[#This Row],[Deal_Purchases]])</f>
        <v>19</v>
      </c>
      <c r="V2111">
        <v>3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f>SUM(Table1[[#This Row],[Accepted_Campaign_2]]+Table1[[#This Row],[Accepted_Campaign_1]]+Table1[[#This Row],[Accepted_Campaign_5]]+Table1[[#This Row],[Accepted_Campaign_4]]+Table1[[#This Row],[Accepted_Campaign_3]])</f>
        <v>0</v>
      </c>
      <c r="AC2111">
        <v>0</v>
      </c>
      <c r="AD2111">
        <v>0</v>
      </c>
    </row>
    <row r="2112" spans="1:30" x14ac:dyDescent="0.25">
      <c r="A2112">
        <v>41143</v>
      </c>
      <c r="B2112">
        <v>5831</v>
      </c>
      <c r="C2112">
        <v>1967</v>
      </c>
      <c r="D2112" t="s">
        <v>8</v>
      </c>
      <c r="E2112" t="s">
        <v>6</v>
      </c>
      <c r="F2112" t="s">
        <v>11</v>
      </c>
      <c r="G2112">
        <v>77870</v>
      </c>
      <c r="H2112">
        <v>1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f>SUM(Table1[[#This Row],[Gold Spending]]+Table1[[#This Row],[Sweet Spending]]+Table1[[#This Row],[Fish Spending]]+Table1[[#This Row],[Meat Spending]]+Table1[[#This Row],[Fruits Spending]]+Table1[[#This Row],[Wine Spending ]])</f>
        <v>1815</v>
      </c>
      <c r="Q2112">
        <v>3</v>
      </c>
      <c r="R2112">
        <v>5</v>
      </c>
      <c r="S2112">
        <v>5</v>
      </c>
      <c r="T2112">
        <v>5</v>
      </c>
      <c r="U2112">
        <f>SUM(Table1[[#This Row],[Store_Purchases]]+Table1[[#This Row],[Catalog_Purchases]]+Table1[[#This Row],[Web_Purchases]]+Table1[[#This Row],[Deal_Purchases]])</f>
        <v>18</v>
      </c>
      <c r="V2112">
        <v>8</v>
      </c>
      <c r="W2112">
        <v>0</v>
      </c>
      <c r="X2112">
        <v>1</v>
      </c>
      <c r="Y2112">
        <v>0</v>
      </c>
      <c r="Z2112">
        <v>1</v>
      </c>
      <c r="AA2112">
        <v>0</v>
      </c>
      <c r="AB2112">
        <f>SUM(Table1[[#This Row],[Accepted_Campaign_2]]+Table1[[#This Row],[Accepted_Campaign_1]]+Table1[[#This Row],[Accepted_Campaign_5]]+Table1[[#This Row],[Accepted_Campaign_4]]+Table1[[#This Row],[Accepted_Campaign_3]])</f>
        <v>2</v>
      </c>
      <c r="AC2112">
        <v>1</v>
      </c>
      <c r="AD2112">
        <v>0</v>
      </c>
    </row>
    <row r="2113" spans="1:30" x14ac:dyDescent="0.25">
      <c r="A2113">
        <v>41753</v>
      </c>
      <c r="B2113">
        <v>1010</v>
      </c>
      <c r="C2113">
        <v>1977</v>
      </c>
      <c r="D2113" t="s">
        <v>8</v>
      </c>
      <c r="E2113" t="s">
        <v>6</v>
      </c>
      <c r="F2113" t="s">
        <v>12</v>
      </c>
      <c r="G2113">
        <v>46931</v>
      </c>
      <c r="H2113">
        <v>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f>SUM(Table1[[#This Row],[Gold Spending]]+Table1[[#This Row],[Sweet Spending]]+Table1[[#This Row],[Fish Spending]]+Table1[[#This Row],[Meat Spending]]+Table1[[#This Row],[Fruits Spending]]+Table1[[#This Row],[Wine Spending ]])</f>
        <v>78</v>
      </c>
      <c r="Q2113">
        <v>2</v>
      </c>
      <c r="R2113">
        <v>1</v>
      </c>
      <c r="S2113">
        <v>1</v>
      </c>
      <c r="T2113">
        <v>3</v>
      </c>
      <c r="U2113">
        <f>SUM(Table1[[#This Row],[Store_Purchases]]+Table1[[#This Row],[Catalog_Purchases]]+Table1[[#This Row],[Web_Purchases]]+Table1[[#This Row],[Deal_Purchases]])</f>
        <v>7</v>
      </c>
      <c r="V2113">
        <v>3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f>SUM(Table1[[#This Row],[Accepted_Campaign_2]]+Table1[[#This Row],[Accepted_Campaign_1]]+Table1[[#This Row],[Accepted_Campaign_5]]+Table1[[#This Row],[Accepted_Campaign_4]]+Table1[[#This Row],[Accepted_Campaign_3]])</f>
        <v>0</v>
      </c>
      <c r="AC2113">
        <v>0</v>
      </c>
      <c r="AD2113">
        <v>0</v>
      </c>
    </row>
    <row r="2114" spans="1:30" x14ac:dyDescent="0.25">
      <c r="A2114">
        <v>41738</v>
      </c>
      <c r="B2114">
        <v>11074</v>
      </c>
      <c r="C2114">
        <v>1977</v>
      </c>
      <c r="D2114" t="s">
        <v>20</v>
      </c>
      <c r="E2114" t="s">
        <v>6</v>
      </c>
      <c r="F2114" t="s">
        <v>9</v>
      </c>
      <c r="G2114">
        <v>85072</v>
      </c>
      <c r="H2114">
        <v>0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f>SUM(Table1[[#This Row],[Gold Spending]]+Table1[[#This Row],[Sweet Spending]]+Table1[[#This Row],[Fish Spending]]+Table1[[#This Row],[Meat Spending]]+Table1[[#This Row],[Fruits Spending]]+Table1[[#This Row],[Wine Spending ]])</f>
        <v>1423</v>
      </c>
      <c r="Q2114">
        <v>1</v>
      </c>
      <c r="R2114">
        <v>3</v>
      </c>
      <c r="S2114">
        <v>4</v>
      </c>
      <c r="T2114">
        <v>10</v>
      </c>
      <c r="U2114">
        <f>SUM(Table1[[#This Row],[Store_Purchases]]+Table1[[#This Row],[Catalog_Purchases]]+Table1[[#This Row],[Web_Purchases]]+Table1[[#This Row],[Deal_Purchases]])</f>
        <v>18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f>SUM(Table1[[#This Row],[Accepted_Campaign_2]]+Table1[[#This Row],[Accepted_Campaign_1]]+Table1[[#This Row],[Accepted_Campaign_5]]+Table1[[#This Row],[Accepted_Campaign_4]]+Table1[[#This Row],[Accepted_Campaign_3]])</f>
        <v>0</v>
      </c>
      <c r="AC2114">
        <v>0</v>
      </c>
      <c r="AD2114">
        <v>0</v>
      </c>
    </row>
    <row r="2115" spans="1:30" x14ac:dyDescent="0.25">
      <c r="A2115">
        <v>41716</v>
      </c>
      <c r="B2115">
        <v>5896</v>
      </c>
      <c r="C2115">
        <v>1987</v>
      </c>
      <c r="D2115" t="s">
        <v>8</v>
      </c>
      <c r="E2115" t="s">
        <v>18</v>
      </c>
      <c r="F2115" t="s">
        <v>11</v>
      </c>
      <c r="G2115">
        <v>73395</v>
      </c>
      <c r="H2115">
        <v>0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f>SUM(Table1[[#This Row],[Gold Spending]]+Table1[[#This Row],[Sweet Spending]]+Table1[[#This Row],[Fish Spending]]+Table1[[#This Row],[Meat Spending]]+Table1[[#This Row],[Fruits Spending]]+Table1[[#This Row],[Wine Spending ]])</f>
        <v>397</v>
      </c>
      <c r="Q2115">
        <v>1</v>
      </c>
      <c r="R2115">
        <v>4</v>
      </c>
      <c r="S2115">
        <v>4</v>
      </c>
      <c r="T2115">
        <v>6</v>
      </c>
      <c r="U2115">
        <f>SUM(Table1[[#This Row],[Store_Purchases]]+Table1[[#This Row],[Catalog_Purchases]]+Table1[[#This Row],[Web_Purchases]]+Table1[[#This Row],[Deal_Purchases]])</f>
        <v>15</v>
      </c>
      <c r="V2115">
        <v>2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f>SUM(Table1[[#This Row],[Accepted_Campaign_2]]+Table1[[#This Row],[Accepted_Campaign_1]]+Table1[[#This Row],[Accepted_Campaign_5]]+Table1[[#This Row],[Accepted_Campaign_4]]+Table1[[#This Row],[Accepted_Campaign_3]])</f>
        <v>0</v>
      </c>
      <c r="AC2115">
        <v>0</v>
      </c>
      <c r="AD2115">
        <v>0</v>
      </c>
    </row>
    <row r="2116" spans="1:30" x14ac:dyDescent="0.25">
      <c r="A2116">
        <v>41687</v>
      </c>
      <c r="B2116">
        <v>3515</v>
      </c>
      <c r="C2116">
        <v>1952</v>
      </c>
      <c r="D2116" t="s">
        <v>8</v>
      </c>
      <c r="E2116" t="s">
        <v>6</v>
      </c>
      <c r="F2116" t="s">
        <v>9</v>
      </c>
      <c r="G2116">
        <v>62307</v>
      </c>
      <c r="H2116">
        <v>1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f>SUM(Table1[[#This Row],[Gold Spending]]+Table1[[#This Row],[Sweet Spending]]+Table1[[#This Row],[Fish Spending]]+Table1[[#This Row],[Meat Spending]]+Table1[[#This Row],[Fruits Spending]]+Table1[[#This Row],[Wine Spending ]])</f>
        <v>160</v>
      </c>
      <c r="Q2116">
        <v>1</v>
      </c>
      <c r="R2116">
        <v>4</v>
      </c>
      <c r="S2116">
        <v>0</v>
      </c>
      <c r="T2116">
        <v>4</v>
      </c>
      <c r="U2116">
        <f>SUM(Table1[[#This Row],[Store_Purchases]]+Table1[[#This Row],[Catalog_Purchases]]+Table1[[#This Row],[Web_Purchases]]+Table1[[#This Row],[Deal_Purchases]])</f>
        <v>9</v>
      </c>
      <c r="V2116">
        <v>5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f>SUM(Table1[[#This Row],[Accepted_Campaign_2]]+Table1[[#This Row],[Accepted_Campaign_1]]+Table1[[#This Row],[Accepted_Campaign_5]]+Table1[[#This Row],[Accepted_Campaign_4]]+Table1[[#This Row],[Accepted_Campaign_3]])</f>
        <v>0</v>
      </c>
      <c r="AC2116">
        <v>0</v>
      </c>
      <c r="AD2116">
        <v>0</v>
      </c>
    </row>
    <row r="2117" spans="1:30" x14ac:dyDescent="0.25">
      <c r="A2117">
        <v>41658</v>
      </c>
      <c r="B2117">
        <v>5324</v>
      </c>
      <c r="C2117">
        <v>1981</v>
      </c>
      <c r="D2117" t="s">
        <v>63</v>
      </c>
      <c r="E2117" t="s">
        <v>14</v>
      </c>
      <c r="F2117" t="s">
        <v>11</v>
      </c>
      <c r="G2117">
        <v>58293</v>
      </c>
      <c r="H2117">
        <v>1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f>SUM(Table1[[#This Row],[Gold Spending]]+Table1[[#This Row],[Sweet Spending]]+Table1[[#This Row],[Fish Spending]]+Table1[[#This Row],[Meat Spending]]+Table1[[#This Row],[Fruits Spending]]+Table1[[#This Row],[Wine Spending ]])</f>
        <v>422</v>
      </c>
      <c r="Q2117">
        <v>5</v>
      </c>
      <c r="R2117">
        <v>5</v>
      </c>
      <c r="S2117">
        <v>3</v>
      </c>
      <c r="T2117">
        <v>6</v>
      </c>
      <c r="U2117">
        <f>SUM(Table1[[#This Row],[Store_Purchases]]+Table1[[#This Row],[Catalog_Purchases]]+Table1[[#This Row],[Web_Purchases]]+Table1[[#This Row],[Deal_Purchases]])</f>
        <v>19</v>
      </c>
      <c r="V2117">
        <v>5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f>SUM(Table1[[#This Row],[Accepted_Campaign_2]]+Table1[[#This Row],[Accepted_Campaign_1]]+Table1[[#This Row],[Accepted_Campaign_5]]+Table1[[#This Row],[Accepted_Campaign_4]]+Table1[[#This Row],[Accepted_Campaign_3]])</f>
        <v>0</v>
      </c>
      <c r="AC2117">
        <v>0</v>
      </c>
      <c r="AD2117">
        <v>0</v>
      </c>
    </row>
    <row r="2118" spans="1:30" x14ac:dyDescent="0.25">
      <c r="A2118">
        <v>41643</v>
      </c>
      <c r="B2118">
        <v>6534</v>
      </c>
      <c r="C2118">
        <v>1974</v>
      </c>
      <c r="D2118" t="s">
        <v>20</v>
      </c>
      <c r="E2118" t="s">
        <v>6</v>
      </c>
      <c r="F2118" t="s">
        <v>12</v>
      </c>
      <c r="G2118">
        <v>47889</v>
      </c>
      <c r="H2118">
        <v>1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f>SUM(Table1[[#This Row],[Gold Spending]]+Table1[[#This Row],[Sweet Spending]]+Table1[[#This Row],[Fish Spending]]+Table1[[#This Row],[Meat Spending]]+Table1[[#This Row],[Fruits Spending]]+Table1[[#This Row],[Wine Spending ]])</f>
        <v>67</v>
      </c>
      <c r="Q2118">
        <v>1</v>
      </c>
      <c r="R2118">
        <v>2</v>
      </c>
      <c r="S2118">
        <v>0</v>
      </c>
      <c r="T2118">
        <v>3</v>
      </c>
      <c r="U2118">
        <f>SUM(Table1[[#This Row],[Store_Purchases]]+Table1[[#This Row],[Catalog_Purchases]]+Table1[[#This Row],[Web_Purchases]]+Table1[[#This Row],[Deal_Purchases]])</f>
        <v>6</v>
      </c>
      <c r="V2118">
        <v>5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f>SUM(Table1[[#This Row],[Accepted_Campaign_2]]+Table1[[#This Row],[Accepted_Campaign_1]]+Table1[[#This Row],[Accepted_Campaign_5]]+Table1[[#This Row],[Accepted_Campaign_4]]+Table1[[#This Row],[Accepted_Campaign_3]])</f>
        <v>0</v>
      </c>
      <c r="AC2118">
        <v>0</v>
      </c>
      <c r="AD2118">
        <v>0</v>
      </c>
    </row>
    <row r="2119" spans="1:30" x14ac:dyDescent="0.25">
      <c r="A2119">
        <v>41618</v>
      </c>
      <c r="B2119">
        <v>8373</v>
      </c>
      <c r="C2119">
        <v>1979</v>
      </c>
      <c r="D2119" t="s">
        <v>10</v>
      </c>
      <c r="E2119" t="s">
        <v>21</v>
      </c>
      <c r="F2119" t="s">
        <v>12</v>
      </c>
      <c r="G2119">
        <v>24594</v>
      </c>
      <c r="H2119">
        <v>1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f>SUM(Table1[[#This Row],[Gold Spending]]+Table1[[#This Row],[Sweet Spending]]+Table1[[#This Row],[Fish Spending]]+Table1[[#This Row],[Meat Spending]]+Table1[[#This Row],[Fruits Spending]]+Table1[[#This Row],[Wine Spending ]])</f>
        <v>29</v>
      </c>
      <c r="Q2119">
        <v>1</v>
      </c>
      <c r="R2119">
        <v>1</v>
      </c>
      <c r="S2119">
        <v>0</v>
      </c>
      <c r="T2119">
        <v>3</v>
      </c>
      <c r="U2119">
        <f>SUM(Table1[[#This Row],[Store_Purchases]]+Table1[[#This Row],[Catalog_Purchases]]+Table1[[#This Row],[Web_Purchases]]+Table1[[#This Row],[Deal_Purchases]])</f>
        <v>5</v>
      </c>
      <c r="V2119">
        <v>5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f>SUM(Table1[[#This Row],[Accepted_Campaign_2]]+Table1[[#This Row],[Accepted_Campaign_1]]+Table1[[#This Row],[Accepted_Campaign_5]]+Table1[[#This Row],[Accepted_Campaign_4]]+Table1[[#This Row],[Accepted_Campaign_3]])</f>
        <v>0</v>
      </c>
      <c r="AC2119">
        <v>0</v>
      </c>
      <c r="AD2119">
        <v>0</v>
      </c>
    </row>
    <row r="2120" spans="1:30" x14ac:dyDescent="0.25">
      <c r="A2120">
        <v>41618</v>
      </c>
      <c r="B2120">
        <v>3829</v>
      </c>
      <c r="C2120">
        <v>1979</v>
      </c>
      <c r="D2120" t="s">
        <v>20</v>
      </c>
      <c r="E2120" t="s">
        <v>21</v>
      </c>
      <c r="F2120" t="s">
        <v>12</v>
      </c>
      <c r="G2120">
        <v>24594</v>
      </c>
      <c r="H2120">
        <v>1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f>SUM(Table1[[#This Row],[Gold Spending]]+Table1[[#This Row],[Sweet Spending]]+Table1[[#This Row],[Fish Spending]]+Table1[[#This Row],[Meat Spending]]+Table1[[#This Row],[Fruits Spending]]+Table1[[#This Row],[Wine Spending ]])</f>
        <v>29</v>
      </c>
      <c r="Q2120">
        <v>1</v>
      </c>
      <c r="R2120">
        <v>1</v>
      </c>
      <c r="S2120">
        <v>0</v>
      </c>
      <c r="T2120">
        <v>3</v>
      </c>
      <c r="U2120">
        <f>SUM(Table1[[#This Row],[Store_Purchases]]+Table1[[#This Row],[Catalog_Purchases]]+Table1[[#This Row],[Web_Purchases]]+Table1[[#This Row],[Deal_Purchases]])</f>
        <v>5</v>
      </c>
      <c r="V2120">
        <v>5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f>SUM(Table1[[#This Row],[Accepted_Campaign_2]]+Table1[[#This Row],[Accepted_Campaign_1]]+Table1[[#This Row],[Accepted_Campaign_5]]+Table1[[#This Row],[Accepted_Campaign_4]]+Table1[[#This Row],[Accepted_Campaign_3]])</f>
        <v>0</v>
      </c>
      <c r="AC2120">
        <v>0</v>
      </c>
      <c r="AD2120">
        <v>0</v>
      </c>
    </row>
    <row r="2121" spans="1:30" x14ac:dyDescent="0.25">
      <c r="A2121">
        <v>41588</v>
      </c>
      <c r="B2121">
        <v>4501</v>
      </c>
      <c r="C2121">
        <v>1965</v>
      </c>
      <c r="D2121" t="s">
        <v>8</v>
      </c>
      <c r="E2121" t="s">
        <v>18</v>
      </c>
      <c r="F2121" t="s">
        <v>9</v>
      </c>
      <c r="G2121">
        <v>69882</v>
      </c>
      <c r="H2121">
        <v>0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f>SUM(Table1[[#This Row],[Gold Spending]]+Table1[[#This Row],[Sweet Spending]]+Table1[[#This Row],[Fish Spending]]+Table1[[#This Row],[Meat Spending]]+Table1[[#This Row],[Fruits Spending]]+Table1[[#This Row],[Wine Spending ]])</f>
        <v>1478</v>
      </c>
      <c r="Q2121">
        <v>1</v>
      </c>
      <c r="R2121">
        <v>3</v>
      </c>
      <c r="S2121">
        <v>7</v>
      </c>
      <c r="T2121">
        <v>9</v>
      </c>
      <c r="U2121">
        <f>SUM(Table1[[#This Row],[Store_Purchases]]+Table1[[#This Row],[Catalog_Purchases]]+Table1[[#This Row],[Web_Purchases]]+Table1[[#This Row],[Deal_Purchases]])</f>
        <v>20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f>SUM(Table1[[#This Row],[Accepted_Campaign_2]]+Table1[[#This Row],[Accepted_Campaign_1]]+Table1[[#This Row],[Accepted_Campaign_5]]+Table1[[#This Row],[Accepted_Campaign_4]]+Table1[[#This Row],[Accepted_Campaign_3]])</f>
        <v>0</v>
      </c>
      <c r="AC2121">
        <v>0</v>
      </c>
      <c r="AD2121">
        <v>0</v>
      </c>
    </row>
    <row r="2122" spans="1:30" x14ac:dyDescent="0.25">
      <c r="A2122">
        <v>41506</v>
      </c>
      <c r="B2122">
        <v>4179</v>
      </c>
      <c r="C2122">
        <v>1959</v>
      </c>
      <c r="D2122" t="s">
        <v>8</v>
      </c>
      <c r="E2122" t="s">
        <v>6</v>
      </c>
      <c r="F2122" t="s">
        <v>12</v>
      </c>
      <c r="G2122">
        <v>24221</v>
      </c>
      <c r="H2122">
        <v>0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2122">
        <v>1</v>
      </c>
      <c r="R2122">
        <v>1</v>
      </c>
      <c r="S2122">
        <v>1</v>
      </c>
      <c r="T2122">
        <v>3</v>
      </c>
      <c r="U2122">
        <f>SUM(Table1[[#This Row],[Store_Purchases]]+Table1[[#This Row],[Catalog_Purchases]]+Table1[[#This Row],[Web_Purchases]]+Table1[[#This Row],[Deal_Purchases]])</f>
        <v>6</v>
      </c>
      <c r="V2122">
        <v>4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f>SUM(Table1[[#This Row],[Accepted_Campaign_2]]+Table1[[#This Row],[Accepted_Campaign_1]]+Table1[[#This Row],[Accepted_Campaign_5]]+Table1[[#This Row],[Accepted_Campaign_4]]+Table1[[#This Row],[Accepted_Campaign_3]])</f>
        <v>0</v>
      </c>
      <c r="AC2122">
        <v>0</v>
      </c>
      <c r="AD2122">
        <v>0</v>
      </c>
    </row>
    <row r="2123" spans="1:30" x14ac:dyDescent="0.25">
      <c r="A2123">
        <v>41488</v>
      </c>
      <c r="B2123">
        <v>2292</v>
      </c>
      <c r="C2123">
        <v>1985</v>
      </c>
      <c r="D2123" t="s">
        <v>8</v>
      </c>
      <c r="E2123" t="s">
        <v>6</v>
      </c>
      <c r="F2123" t="s">
        <v>9</v>
      </c>
      <c r="G2123">
        <v>22327</v>
      </c>
      <c r="H2123">
        <v>1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f>SUM(Table1[[#This Row],[Gold Spending]]+Table1[[#This Row],[Sweet Spending]]+Table1[[#This Row],[Fish Spending]]+Table1[[#This Row],[Meat Spending]]+Table1[[#This Row],[Fruits Spending]]+Table1[[#This Row],[Wine Spending ]])</f>
        <v>24</v>
      </c>
      <c r="Q2123">
        <v>1</v>
      </c>
      <c r="R2123">
        <v>1</v>
      </c>
      <c r="S2123">
        <v>0</v>
      </c>
      <c r="T2123">
        <v>3</v>
      </c>
      <c r="U2123">
        <f>SUM(Table1[[#This Row],[Store_Purchases]]+Table1[[#This Row],[Catalog_Purchases]]+Table1[[#This Row],[Web_Purchases]]+Table1[[#This Row],[Deal_Purchases]])</f>
        <v>5</v>
      </c>
      <c r="V2123">
        <v>5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f>SUM(Table1[[#This Row],[Accepted_Campaign_2]]+Table1[[#This Row],[Accepted_Campaign_1]]+Table1[[#This Row],[Accepted_Campaign_5]]+Table1[[#This Row],[Accepted_Campaign_4]]+Table1[[#This Row],[Accepted_Campaign_3]])</f>
        <v>0</v>
      </c>
      <c r="AC2123">
        <v>0</v>
      </c>
      <c r="AD2123">
        <v>0</v>
      </c>
    </row>
    <row r="2124" spans="1:30" x14ac:dyDescent="0.25">
      <c r="A2124">
        <v>41481</v>
      </c>
      <c r="B2124">
        <v>9239</v>
      </c>
      <c r="C2124">
        <v>1961</v>
      </c>
      <c r="D2124" t="s">
        <v>63</v>
      </c>
      <c r="E2124" t="s">
        <v>18</v>
      </c>
      <c r="F2124" t="s">
        <v>11</v>
      </c>
      <c r="G2124">
        <v>61923</v>
      </c>
      <c r="H2124">
        <v>2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f>SUM(Table1[[#This Row],[Gold Spending]]+Table1[[#This Row],[Sweet Spending]]+Table1[[#This Row],[Fish Spending]]+Table1[[#This Row],[Meat Spending]]+Table1[[#This Row],[Fruits Spending]]+Table1[[#This Row],[Wine Spending ]])</f>
        <v>126</v>
      </c>
      <c r="Q2124">
        <v>1</v>
      </c>
      <c r="R2124">
        <v>2</v>
      </c>
      <c r="S2124">
        <v>1</v>
      </c>
      <c r="T2124">
        <v>4</v>
      </c>
      <c r="U2124">
        <f>SUM(Table1[[#This Row],[Store_Purchases]]+Table1[[#This Row],[Catalog_Purchases]]+Table1[[#This Row],[Web_Purchases]]+Table1[[#This Row],[Deal_Purchases]])</f>
        <v>8</v>
      </c>
      <c r="V2124">
        <v>3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f>SUM(Table1[[#This Row],[Accepted_Campaign_2]]+Table1[[#This Row],[Accepted_Campaign_1]]+Table1[[#This Row],[Accepted_Campaign_5]]+Table1[[#This Row],[Accepted_Campaign_4]]+Table1[[#This Row],[Accepted_Campaign_3]])</f>
        <v>0</v>
      </c>
      <c r="AC2124">
        <v>0</v>
      </c>
      <c r="AD2124">
        <v>0</v>
      </c>
    </row>
    <row r="2125" spans="1:30" x14ac:dyDescent="0.25">
      <c r="A2125">
        <v>41400</v>
      </c>
      <c r="B2125">
        <v>8953</v>
      </c>
      <c r="C2125">
        <v>1965</v>
      </c>
      <c r="D2125" t="s">
        <v>8</v>
      </c>
      <c r="E2125" t="s">
        <v>18</v>
      </c>
      <c r="F2125" t="s">
        <v>9</v>
      </c>
      <c r="G2125">
        <v>35791</v>
      </c>
      <c r="H2125">
        <v>3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f>SUM(Table1[[#This Row],[Gold Spending]]+Table1[[#This Row],[Sweet Spending]]+Table1[[#This Row],[Fish Spending]]+Table1[[#This Row],[Meat Spending]]+Table1[[#This Row],[Fruits Spending]]+Table1[[#This Row],[Wine Spending ]])</f>
        <v>35</v>
      </c>
      <c r="Q2125">
        <v>2</v>
      </c>
      <c r="R2125">
        <v>1</v>
      </c>
      <c r="S2125">
        <v>0</v>
      </c>
      <c r="T2125">
        <v>3</v>
      </c>
      <c r="U2125">
        <f>SUM(Table1[[#This Row],[Store_Purchases]]+Table1[[#This Row],[Catalog_Purchases]]+Table1[[#This Row],[Web_Purchases]]+Table1[[#This Row],[Deal_Purchases]])</f>
        <v>6</v>
      </c>
      <c r="V2125">
        <v>8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f>SUM(Table1[[#This Row],[Accepted_Campaign_2]]+Table1[[#This Row],[Accepted_Campaign_1]]+Table1[[#This Row],[Accepted_Campaign_5]]+Table1[[#This Row],[Accepted_Campaign_4]]+Table1[[#This Row],[Accepted_Campaign_3]])</f>
        <v>0</v>
      </c>
      <c r="AC2125">
        <v>0</v>
      </c>
      <c r="AD2125">
        <v>0</v>
      </c>
    </row>
    <row r="2126" spans="1:30" x14ac:dyDescent="0.25">
      <c r="A2126">
        <v>41400</v>
      </c>
      <c r="B2126">
        <v>10258</v>
      </c>
      <c r="C2126">
        <v>1965</v>
      </c>
      <c r="D2126" t="s">
        <v>63</v>
      </c>
      <c r="E2126" t="s">
        <v>18</v>
      </c>
      <c r="F2126" t="s">
        <v>9</v>
      </c>
      <c r="G2126">
        <v>35791</v>
      </c>
      <c r="H2126">
        <v>3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f>SUM(Table1[[#This Row],[Gold Spending]]+Table1[[#This Row],[Sweet Spending]]+Table1[[#This Row],[Fish Spending]]+Table1[[#This Row],[Meat Spending]]+Table1[[#This Row],[Fruits Spending]]+Table1[[#This Row],[Wine Spending ]])</f>
        <v>35</v>
      </c>
      <c r="Q2126">
        <v>2</v>
      </c>
      <c r="R2126">
        <v>1</v>
      </c>
      <c r="S2126">
        <v>0</v>
      </c>
      <c r="T2126">
        <v>3</v>
      </c>
      <c r="U2126">
        <f>SUM(Table1[[#This Row],[Store_Purchases]]+Table1[[#This Row],[Catalog_Purchases]]+Table1[[#This Row],[Web_Purchases]]+Table1[[#This Row],[Deal_Purchases]])</f>
        <v>6</v>
      </c>
      <c r="V2126">
        <v>8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f>SUM(Table1[[#This Row],[Accepted_Campaign_2]]+Table1[[#This Row],[Accepted_Campaign_1]]+Table1[[#This Row],[Accepted_Campaign_5]]+Table1[[#This Row],[Accepted_Campaign_4]]+Table1[[#This Row],[Accepted_Campaign_3]])</f>
        <v>0</v>
      </c>
      <c r="AC2126">
        <v>0</v>
      </c>
      <c r="AD2126">
        <v>0</v>
      </c>
    </row>
    <row r="2127" spans="1:30" x14ac:dyDescent="0.25">
      <c r="A2127">
        <v>41360</v>
      </c>
      <c r="B2127">
        <v>3520</v>
      </c>
      <c r="C2127">
        <v>1990</v>
      </c>
      <c r="D2127" t="s">
        <v>10</v>
      </c>
      <c r="E2127" t="s">
        <v>18</v>
      </c>
      <c r="F2127" t="s">
        <v>9</v>
      </c>
      <c r="G2127">
        <v>91172</v>
      </c>
      <c r="H2127">
        <v>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f>SUM(Table1[[#This Row],[Gold Spending]]+Table1[[#This Row],[Sweet Spending]]+Table1[[#This Row],[Fish Spending]]+Table1[[#This Row],[Meat Spending]]+Table1[[#This Row],[Fruits Spending]]+Table1[[#This Row],[Wine Spending ]])</f>
        <v>1092</v>
      </c>
      <c r="Q2127">
        <v>0</v>
      </c>
      <c r="R2127">
        <v>4</v>
      </c>
      <c r="S2127">
        <v>3</v>
      </c>
      <c r="T2127">
        <v>7</v>
      </c>
      <c r="U2127">
        <f>SUM(Table1[[#This Row],[Store_Purchases]]+Table1[[#This Row],[Catalog_Purchases]]+Table1[[#This Row],[Web_Purchases]]+Table1[[#This Row],[Deal_Purchases]])</f>
        <v>14</v>
      </c>
      <c r="V2127">
        <v>3</v>
      </c>
      <c r="W2127">
        <v>1</v>
      </c>
      <c r="X2127">
        <v>0</v>
      </c>
      <c r="Y2127">
        <v>1</v>
      </c>
      <c r="Z2127">
        <v>1</v>
      </c>
      <c r="AA2127">
        <v>1</v>
      </c>
      <c r="AB2127">
        <f>SUM(Table1[[#This Row],[Accepted_Campaign_2]]+Table1[[#This Row],[Accepted_Campaign_1]]+Table1[[#This Row],[Accepted_Campaign_5]]+Table1[[#This Row],[Accepted_Campaign_4]]+Table1[[#This Row],[Accepted_Campaign_3]])</f>
        <v>4</v>
      </c>
      <c r="AC2127">
        <v>1</v>
      </c>
      <c r="AD2127">
        <v>0</v>
      </c>
    </row>
    <row r="2128" spans="1:30" x14ac:dyDescent="0.25">
      <c r="A2128">
        <v>41319</v>
      </c>
      <c r="B2128">
        <v>10402</v>
      </c>
      <c r="C2128">
        <v>1967</v>
      </c>
      <c r="D2128" t="s">
        <v>10</v>
      </c>
      <c r="E2128" t="s">
        <v>6</v>
      </c>
      <c r="F2128" t="s">
        <v>11</v>
      </c>
      <c r="G2128">
        <v>35441</v>
      </c>
      <c r="H2128">
        <v>2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f>SUM(Table1[[#This Row],[Gold Spending]]+Table1[[#This Row],[Sweet Spending]]+Table1[[#This Row],[Fish Spending]]+Table1[[#This Row],[Meat Spending]]+Table1[[#This Row],[Fruits Spending]]+Table1[[#This Row],[Wine Spending ]])</f>
        <v>39</v>
      </c>
      <c r="Q2128">
        <v>2</v>
      </c>
      <c r="R2128">
        <v>1</v>
      </c>
      <c r="S2128">
        <v>0</v>
      </c>
      <c r="T2128">
        <v>3</v>
      </c>
      <c r="U2128">
        <f>SUM(Table1[[#This Row],[Store_Purchases]]+Table1[[#This Row],[Catalog_Purchases]]+Table1[[#This Row],[Web_Purchases]]+Table1[[#This Row],[Deal_Purchases]])</f>
        <v>6</v>
      </c>
      <c r="V2128">
        <v>8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f>SUM(Table1[[#This Row],[Accepted_Campaign_2]]+Table1[[#This Row],[Accepted_Campaign_1]]+Table1[[#This Row],[Accepted_Campaign_5]]+Table1[[#This Row],[Accepted_Campaign_4]]+Table1[[#This Row],[Accepted_Campaign_3]])</f>
        <v>0</v>
      </c>
      <c r="AC2128">
        <v>0</v>
      </c>
      <c r="AD2128">
        <v>0</v>
      </c>
    </row>
    <row r="2129" spans="1:30" x14ac:dyDescent="0.25">
      <c r="A2129">
        <v>41313</v>
      </c>
      <c r="B2129">
        <v>11114</v>
      </c>
      <c r="C2129">
        <v>1970</v>
      </c>
      <c r="D2129" t="s">
        <v>8</v>
      </c>
      <c r="E2129" t="s">
        <v>6</v>
      </c>
      <c r="F2129" t="s">
        <v>12</v>
      </c>
      <c r="G2129">
        <v>19656</v>
      </c>
      <c r="H2129">
        <v>1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f>SUM(Table1[[#This Row],[Gold Spending]]+Table1[[#This Row],[Sweet Spending]]+Table1[[#This Row],[Fish Spending]]+Table1[[#This Row],[Meat Spending]]+Table1[[#This Row],[Fruits Spending]]+Table1[[#This Row],[Wine Spending ]])</f>
        <v>84</v>
      </c>
      <c r="Q2129">
        <v>3</v>
      </c>
      <c r="R2129">
        <v>2</v>
      </c>
      <c r="S2129">
        <v>1</v>
      </c>
      <c r="T2129">
        <v>3</v>
      </c>
      <c r="U2129">
        <f>SUM(Table1[[#This Row],[Store_Purchases]]+Table1[[#This Row],[Catalog_Purchases]]+Table1[[#This Row],[Web_Purchases]]+Table1[[#This Row],[Deal_Purchases]])</f>
        <v>9</v>
      </c>
      <c r="V2129">
        <v>7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f>SUM(Table1[[#This Row],[Accepted_Campaign_2]]+Table1[[#This Row],[Accepted_Campaign_1]]+Table1[[#This Row],[Accepted_Campaign_5]]+Table1[[#This Row],[Accepted_Campaign_4]]+Table1[[#This Row],[Accepted_Campaign_3]])</f>
        <v>0</v>
      </c>
      <c r="AC2129">
        <v>0</v>
      </c>
      <c r="AD2129">
        <v>0</v>
      </c>
    </row>
    <row r="2130" spans="1:30" x14ac:dyDescent="0.25">
      <c r="A2130">
        <v>41283</v>
      </c>
      <c r="B2130">
        <v>9553</v>
      </c>
      <c r="C2130">
        <v>1987</v>
      </c>
      <c r="D2130" t="s">
        <v>17</v>
      </c>
      <c r="E2130" t="s">
        <v>6</v>
      </c>
      <c r="F2130" t="s">
        <v>11</v>
      </c>
      <c r="G2130">
        <v>7500</v>
      </c>
      <c r="H2130">
        <v>0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f>SUM(Table1[[#This Row],[Gold Spending]]+Table1[[#This Row],[Sweet Spending]]+Table1[[#This Row],[Fish Spending]]+Table1[[#This Row],[Meat Spending]]+Table1[[#This Row],[Fruits Spending]]+Table1[[#This Row],[Wine Spending ]])</f>
        <v>15</v>
      </c>
      <c r="Q2130">
        <v>1</v>
      </c>
      <c r="R2130">
        <v>0</v>
      </c>
      <c r="S2130">
        <v>0</v>
      </c>
      <c r="T2130">
        <v>3</v>
      </c>
      <c r="U2130">
        <f>SUM(Table1[[#This Row],[Store_Purchases]]+Table1[[#This Row],[Catalog_Purchases]]+Table1[[#This Row],[Web_Purchases]]+Table1[[#This Row],[Deal_Purchases]])</f>
        <v>4</v>
      </c>
      <c r="V2130">
        <v>6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f>SUM(Table1[[#This Row],[Accepted_Campaign_2]]+Table1[[#This Row],[Accepted_Campaign_1]]+Table1[[#This Row],[Accepted_Campaign_5]]+Table1[[#This Row],[Accepted_Campaign_4]]+Table1[[#This Row],[Accepted_Campaign_3]])</f>
        <v>0</v>
      </c>
      <c r="AC2130">
        <v>0</v>
      </c>
      <c r="AD2130">
        <v>0</v>
      </c>
    </row>
    <row r="2131" spans="1:30" x14ac:dyDescent="0.25">
      <c r="A2131">
        <v>41214</v>
      </c>
      <c r="B2131">
        <v>6055</v>
      </c>
      <c r="C2131">
        <v>1979</v>
      </c>
      <c r="D2131" t="s">
        <v>8</v>
      </c>
      <c r="E2131" t="s">
        <v>6</v>
      </c>
      <c r="F2131" t="s">
        <v>11</v>
      </c>
      <c r="G2131">
        <v>71626</v>
      </c>
      <c r="H2131">
        <v>0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f>SUM(Table1[[#This Row],[Gold Spending]]+Table1[[#This Row],[Sweet Spending]]+Table1[[#This Row],[Fish Spending]]+Table1[[#This Row],[Meat Spending]]+Table1[[#This Row],[Fruits Spending]]+Table1[[#This Row],[Wine Spending ]])</f>
        <v>1305</v>
      </c>
      <c r="Q2131">
        <v>1</v>
      </c>
      <c r="R2131">
        <v>5</v>
      </c>
      <c r="S2131">
        <v>5</v>
      </c>
      <c r="T2131">
        <v>8</v>
      </c>
      <c r="U2131">
        <f>SUM(Table1[[#This Row],[Store_Purchases]]+Table1[[#This Row],[Catalog_Purchases]]+Table1[[#This Row],[Web_Purchases]]+Table1[[#This Row],[Deal_Purchases]])</f>
        <v>19</v>
      </c>
      <c r="V2131">
        <v>3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f>SUM(Table1[[#This Row],[Accepted_Campaign_2]]+Table1[[#This Row],[Accepted_Campaign_1]]+Table1[[#This Row],[Accepted_Campaign_5]]+Table1[[#This Row],[Accepted_Campaign_4]]+Table1[[#This Row],[Accepted_Campaign_3]])</f>
        <v>1</v>
      </c>
      <c r="AC2131">
        <v>0</v>
      </c>
      <c r="AD2131">
        <v>0</v>
      </c>
    </row>
    <row r="2132" spans="1:30" x14ac:dyDescent="0.25">
      <c r="A2132">
        <v>41186</v>
      </c>
      <c r="B2132">
        <v>4786</v>
      </c>
      <c r="C2132">
        <v>1977</v>
      </c>
      <c r="D2132" t="s">
        <v>63</v>
      </c>
      <c r="E2132" t="s">
        <v>6</v>
      </c>
      <c r="F2132" t="s">
        <v>11</v>
      </c>
      <c r="G2132">
        <v>75330</v>
      </c>
      <c r="H2132">
        <v>2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f>SUM(Table1[[#This Row],[Gold Spending]]+Table1[[#This Row],[Sweet Spending]]+Table1[[#This Row],[Fish Spending]]+Table1[[#This Row],[Meat Spending]]+Table1[[#This Row],[Fruits Spending]]+Table1[[#This Row],[Wine Spending ]])</f>
        <v>1109</v>
      </c>
      <c r="Q2132">
        <v>4</v>
      </c>
      <c r="R2132">
        <v>10</v>
      </c>
      <c r="S2132">
        <v>3</v>
      </c>
      <c r="T2132">
        <v>12</v>
      </c>
      <c r="U2132">
        <f>SUM(Table1[[#This Row],[Store_Purchases]]+Table1[[#This Row],[Catalog_Purchases]]+Table1[[#This Row],[Web_Purchases]]+Table1[[#This Row],[Deal_Purchases]])</f>
        <v>29</v>
      </c>
      <c r="V2132">
        <v>6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f>SUM(Table1[[#This Row],[Accepted_Campaign_2]]+Table1[[#This Row],[Accepted_Campaign_1]]+Table1[[#This Row],[Accepted_Campaign_5]]+Table1[[#This Row],[Accepted_Campaign_4]]+Table1[[#This Row],[Accepted_Campaign_3]])</f>
        <v>0</v>
      </c>
      <c r="AC2132">
        <v>0</v>
      </c>
      <c r="AD2132">
        <v>0</v>
      </c>
    </row>
    <row r="2133" spans="1:30" x14ac:dyDescent="0.25">
      <c r="A2133">
        <v>41166</v>
      </c>
      <c r="B2133">
        <v>5015</v>
      </c>
      <c r="C2133">
        <v>1976</v>
      </c>
      <c r="D2133" t="s">
        <v>8</v>
      </c>
      <c r="E2133" t="s">
        <v>18</v>
      </c>
      <c r="F2133" t="s">
        <v>11</v>
      </c>
      <c r="G2133">
        <v>34529</v>
      </c>
      <c r="H2133">
        <v>1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f>SUM(Table1[[#This Row],[Gold Spending]]+Table1[[#This Row],[Sweet Spending]]+Table1[[#This Row],[Fish Spending]]+Table1[[#This Row],[Meat Spending]]+Table1[[#This Row],[Fruits Spending]]+Table1[[#This Row],[Wine Spending ]])</f>
        <v>162</v>
      </c>
      <c r="Q2133">
        <v>2</v>
      </c>
      <c r="R2133">
        <v>2</v>
      </c>
      <c r="S2133">
        <v>2</v>
      </c>
      <c r="T2133">
        <v>3</v>
      </c>
      <c r="U2133">
        <f>SUM(Table1[[#This Row],[Store_Purchases]]+Table1[[#This Row],[Catalog_Purchases]]+Table1[[#This Row],[Web_Purchases]]+Table1[[#This Row],[Deal_Purchases]])</f>
        <v>9</v>
      </c>
      <c r="V2133">
        <v>7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f>SUM(Table1[[#This Row],[Accepted_Campaign_2]]+Table1[[#This Row],[Accepted_Campaign_1]]+Table1[[#This Row],[Accepted_Campaign_5]]+Table1[[#This Row],[Accepted_Campaign_4]]+Table1[[#This Row],[Accepted_Campaign_3]])</f>
        <v>0</v>
      </c>
      <c r="AC2133">
        <v>0</v>
      </c>
      <c r="AD2133">
        <v>0</v>
      </c>
    </row>
    <row r="2134" spans="1:30" x14ac:dyDescent="0.25">
      <c r="A2134">
        <v>41162</v>
      </c>
      <c r="B2134">
        <v>8560</v>
      </c>
      <c r="C2134">
        <v>1992</v>
      </c>
      <c r="D2134" t="s">
        <v>10</v>
      </c>
      <c r="E2134" t="s">
        <v>6</v>
      </c>
      <c r="F2134" t="s">
        <v>9</v>
      </c>
      <c r="G2134">
        <v>48789</v>
      </c>
      <c r="H2134">
        <v>0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f>SUM(Table1[[#This Row],[Gold Spending]]+Table1[[#This Row],[Sweet Spending]]+Table1[[#This Row],[Fish Spending]]+Table1[[#This Row],[Meat Spending]]+Table1[[#This Row],[Fruits Spending]]+Table1[[#This Row],[Wine Spending ]])</f>
        <v>680</v>
      </c>
      <c r="Q2134">
        <v>1</v>
      </c>
      <c r="R2134">
        <v>6</v>
      </c>
      <c r="S2134">
        <v>4</v>
      </c>
      <c r="T2134">
        <v>7</v>
      </c>
      <c r="U2134">
        <f>SUM(Table1[[#This Row],[Store_Purchases]]+Table1[[#This Row],[Catalog_Purchases]]+Table1[[#This Row],[Web_Purchases]]+Table1[[#This Row],[Deal_Purchases]])</f>
        <v>18</v>
      </c>
      <c r="V2134">
        <v>6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f>SUM(Table1[[#This Row],[Accepted_Campaign_2]]+Table1[[#This Row],[Accepted_Campaign_1]]+Table1[[#This Row],[Accepted_Campaign_5]]+Table1[[#This Row],[Accepted_Campaign_4]]+Table1[[#This Row],[Accepted_Campaign_3]])</f>
        <v>0</v>
      </c>
      <c r="AC2134">
        <v>0</v>
      </c>
      <c r="AD2134">
        <v>0</v>
      </c>
    </row>
    <row r="2135" spans="1:30" x14ac:dyDescent="0.25">
      <c r="A2135">
        <v>41158</v>
      </c>
      <c r="B2135">
        <v>3469</v>
      </c>
      <c r="C2135">
        <v>1977</v>
      </c>
      <c r="D2135" t="s">
        <v>8</v>
      </c>
      <c r="E2135" t="s">
        <v>14</v>
      </c>
      <c r="F2135" t="s">
        <v>7</v>
      </c>
      <c r="G2135">
        <v>34487</v>
      </c>
      <c r="H2135">
        <v>2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f>SUM(Table1[[#This Row],[Gold Spending]]+Table1[[#This Row],[Sweet Spending]]+Table1[[#This Row],[Fish Spending]]+Table1[[#This Row],[Meat Spending]]+Table1[[#This Row],[Fruits Spending]]+Table1[[#This Row],[Wine Spending ]])</f>
        <v>103</v>
      </c>
      <c r="Q2135">
        <v>3</v>
      </c>
      <c r="R2135">
        <v>3</v>
      </c>
      <c r="S2135">
        <v>0</v>
      </c>
      <c r="T2135">
        <v>3</v>
      </c>
      <c r="U2135">
        <f>SUM(Table1[[#This Row],[Store_Purchases]]+Table1[[#This Row],[Catalog_Purchases]]+Table1[[#This Row],[Web_Purchases]]+Table1[[#This Row],[Deal_Purchases]])</f>
        <v>9</v>
      </c>
      <c r="V2135">
        <v>9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f>SUM(Table1[[#This Row],[Accepted_Campaign_2]]+Table1[[#This Row],[Accepted_Campaign_1]]+Table1[[#This Row],[Accepted_Campaign_5]]+Table1[[#This Row],[Accepted_Campaign_4]]+Table1[[#This Row],[Accepted_Campaign_3]])</f>
        <v>0</v>
      </c>
      <c r="AC2135">
        <v>0</v>
      </c>
      <c r="AD2135">
        <v>0</v>
      </c>
    </row>
    <row r="2136" spans="1:30" x14ac:dyDescent="0.25">
      <c r="A2136">
        <v>41143</v>
      </c>
      <c r="B2136">
        <v>5885</v>
      </c>
      <c r="C2136">
        <v>1973</v>
      </c>
      <c r="D2136" t="s">
        <v>10</v>
      </c>
      <c r="E2136" t="s">
        <v>15</v>
      </c>
      <c r="F2136" t="s">
        <v>11</v>
      </c>
      <c r="G2136">
        <v>35688</v>
      </c>
      <c r="H2136">
        <v>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f>SUM(Table1[[#This Row],[Gold Spending]]+Table1[[#This Row],[Sweet Spending]]+Table1[[#This Row],[Fish Spending]]+Table1[[#This Row],[Meat Spending]]+Table1[[#This Row],[Fruits Spending]]+Table1[[#This Row],[Wine Spending ]])</f>
        <v>211</v>
      </c>
      <c r="Q2136">
        <v>7</v>
      </c>
      <c r="R2136">
        <v>4</v>
      </c>
      <c r="S2136">
        <v>1</v>
      </c>
      <c r="T2136">
        <v>4</v>
      </c>
      <c r="U2136">
        <f>SUM(Table1[[#This Row],[Store_Purchases]]+Table1[[#This Row],[Catalog_Purchases]]+Table1[[#This Row],[Web_Purchases]]+Table1[[#This Row],[Deal_Purchases]])</f>
        <v>16</v>
      </c>
      <c r="V2136">
        <v>8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f>SUM(Table1[[#This Row],[Accepted_Campaign_2]]+Table1[[#This Row],[Accepted_Campaign_1]]+Table1[[#This Row],[Accepted_Campaign_5]]+Table1[[#This Row],[Accepted_Campaign_4]]+Table1[[#This Row],[Accepted_Campaign_3]])</f>
        <v>0</v>
      </c>
      <c r="AC2136">
        <v>0</v>
      </c>
      <c r="AD2136">
        <v>0</v>
      </c>
    </row>
    <row r="2137" spans="1:30" x14ac:dyDescent="0.25">
      <c r="A2137">
        <v>41143</v>
      </c>
      <c r="B2137">
        <v>3310</v>
      </c>
      <c r="C2137">
        <v>1973</v>
      </c>
      <c r="D2137" t="s">
        <v>8</v>
      </c>
      <c r="E2137" t="s">
        <v>15</v>
      </c>
      <c r="F2137" t="s">
        <v>11</v>
      </c>
      <c r="G2137">
        <v>35688</v>
      </c>
      <c r="H2137">
        <v>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f>SUM(Table1[[#This Row],[Gold Spending]]+Table1[[#This Row],[Sweet Spending]]+Table1[[#This Row],[Fish Spending]]+Table1[[#This Row],[Meat Spending]]+Table1[[#This Row],[Fruits Spending]]+Table1[[#This Row],[Wine Spending ]])</f>
        <v>211</v>
      </c>
      <c r="Q2137">
        <v>7</v>
      </c>
      <c r="R2137">
        <v>4</v>
      </c>
      <c r="S2137">
        <v>1</v>
      </c>
      <c r="T2137">
        <v>4</v>
      </c>
      <c r="U2137">
        <f>SUM(Table1[[#This Row],[Store_Purchases]]+Table1[[#This Row],[Catalog_Purchases]]+Table1[[#This Row],[Web_Purchases]]+Table1[[#This Row],[Deal_Purchases]])</f>
        <v>16</v>
      </c>
      <c r="V2137">
        <v>8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f>SUM(Table1[[#This Row],[Accepted_Campaign_2]]+Table1[[#This Row],[Accepted_Campaign_1]]+Table1[[#This Row],[Accepted_Campaign_5]]+Table1[[#This Row],[Accepted_Campaign_4]]+Table1[[#This Row],[Accepted_Campaign_3]])</f>
        <v>0</v>
      </c>
      <c r="AC2137">
        <v>0</v>
      </c>
      <c r="AD2137">
        <v>0</v>
      </c>
    </row>
    <row r="2138" spans="1:30" x14ac:dyDescent="0.25">
      <c r="A2138">
        <v>41138</v>
      </c>
      <c r="B2138">
        <v>2134</v>
      </c>
      <c r="C2138">
        <v>1952</v>
      </c>
      <c r="D2138" t="s">
        <v>20</v>
      </c>
      <c r="E2138" t="s">
        <v>6</v>
      </c>
      <c r="F2138" t="s">
        <v>9</v>
      </c>
      <c r="G2138">
        <v>53700</v>
      </c>
      <c r="H2138">
        <v>1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f>SUM(Table1[[#This Row],[Gold Spending]]+Table1[[#This Row],[Sweet Spending]]+Table1[[#This Row],[Fish Spending]]+Table1[[#This Row],[Meat Spending]]+Table1[[#This Row],[Fruits Spending]]+Table1[[#This Row],[Wine Spending ]])</f>
        <v>694</v>
      </c>
      <c r="Q2138">
        <v>4</v>
      </c>
      <c r="R2138">
        <v>5</v>
      </c>
      <c r="S2138">
        <v>5</v>
      </c>
      <c r="T2138">
        <v>8</v>
      </c>
      <c r="U2138">
        <f>SUM(Table1[[#This Row],[Store_Purchases]]+Table1[[#This Row],[Catalog_Purchases]]+Table1[[#This Row],[Web_Purchases]]+Table1[[#This Row],[Deal_Purchases]])</f>
        <v>22</v>
      </c>
      <c r="V2138">
        <v>5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f>SUM(Table1[[#This Row],[Accepted_Campaign_2]]+Table1[[#This Row],[Accepted_Campaign_1]]+Table1[[#This Row],[Accepted_Campaign_5]]+Table1[[#This Row],[Accepted_Campaign_4]]+Table1[[#This Row],[Accepted_Campaign_3]])</f>
        <v>0</v>
      </c>
      <c r="AC2138">
        <v>0</v>
      </c>
      <c r="AD2138">
        <v>0</v>
      </c>
    </row>
    <row r="2139" spans="1:30" x14ac:dyDescent="0.25">
      <c r="A2139">
        <v>41699</v>
      </c>
      <c r="B2139">
        <v>2532</v>
      </c>
      <c r="C2139">
        <v>1987</v>
      </c>
      <c r="D2139" t="s">
        <v>8</v>
      </c>
      <c r="E2139" t="s">
        <v>18</v>
      </c>
      <c r="F2139" t="s">
        <v>9</v>
      </c>
      <c r="G2139">
        <v>73454</v>
      </c>
      <c r="H2139">
        <v>0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f>SUM(Table1[[#This Row],[Gold Spending]]+Table1[[#This Row],[Sweet Spending]]+Table1[[#This Row],[Fish Spending]]+Table1[[#This Row],[Meat Spending]]+Table1[[#This Row],[Fruits Spending]]+Table1[[#This Row],[Wine Spending ]])</f>
        <v>1651</v>
      </c>
      <c r="Q2139">
        <v>1</v>
      </c>
      <c r="R2139">
        <v>2</v>
      </c>
      <c r="S2139">
        <v>4</v>
      </c>
      <c r="T2139">
        <v>6</v>
      </c>
      <c r="U2139">
        <f>SUM(Table1[[#This Row],[Store_Purchases]]+Table1[[#This Row],[Catalog_Purchases]]+Table1[[#This Row],[Web_Purchases]]+Table1[[#This Row],[Deal_Purchases]])</f>
        <v>13</v>
      </c>
      <c r="V2139">
        <v>5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f>SUM(Table1[[#This Row],[Accepted_Campaign_2]]+Table1[[#This Row],[Accepted_Campaign_1]]+Table1[[#This Row],[Accepted_Campaign_5]]+Table1[[#This Row],[Accepted_Campaign_4]]+Table1[[#This Row],[Accepted_Campaign_3]])</f>
        <v>1</v>
      </c>
      <c r="AC2139">
        <v>0</v>
      </c>
      <c r="AD2139">
        <v>0</v>
      </c>
    </row>
    <row r="2140" spans="1:30" x14ac:dyDescent="0.25">
      <c r="A2140">
        <v>41625</v>
      </c>
      <c r="B2140">
        <v>2579</v>
      </c>
      <c r="C2140">
        <v>1957</v>
      </c>
      <c r="D2140" t="s">
        <v>8</v>
      </c>
      <c r="E2140" t="s">
        <v>6</v>
      </c>
      <c r="F2140" t="s">
        <v>11</v>
      </c>
      <c r="G2140">
        <v>71113</v>
      </c>
      <c r="H2140">
        <v>1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f>SUM(Table1[[#This Row],[Gold Spending]]+Table1[[#This Row],[Sweet Spending]]+Table1[[#This Row],[Fish Spending]]+Table1[[#This Row],[Meat Spending]]+Table1[[#This Row],[Fruits Spending]]+Table1[[#This Row],[Wine Spending ]])</f>
        <v>835</v>
      </c>
      <c r="Q2140">
        <v>4</v>
      </c>
      <c r="R2140">
        <v>6</v>
      </c>
      <c r="S2140">
        <v>7</v>
      </c>
      <c r="T2140">
        <v>9</v>
      </c>
      <c r="U2140">
        <f>SUM(Table1[[#This Row],[Store_Purchases]]+Table1[[#This Row],[Catalog_Purchases]]+Table1[[#This Row],[Web_Purchases]]+Table1[[#This Row],[Deal_Purchases]])</f>
        <v>26</v>
      </c>
      <c r="V2140">
        <v>4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f>SUM(Table1[[#This Row],[Accepted_Campaign_2]]+Table1[[#This Row],[Accepted_Campaign_1]]+Table1[[#This Row],[Accepted_Campaign_5]]+Table1[[#This Row],[Accepted_Campaign_4]]+Table1[[#This Row],[Accepted_Campaign_3]])</f>
        <v>0</v>
      </c>
      <c r="AC2140">
        <v>0</v>
      </c>
      <c r="AD2140">
        <v>0</v>
      </c>
    </row>
    <row r="2141" spans="1:30" x14ac:dyDescent="0.25">
      <c r="A2141">
        <v>41565</v>
      </c>
      <c r="B2141">
        <v>3117</v>
      </c>
      <c r="C2141">
        <v>1955</v>
      </c>
      <c r="D2141" t="s">
        <v>13</v>
      </c>
      <c r="E2141" t="s">
        <v>6</v>
      </c>
      <c r="F2141" t="s">
        <v>9</v>
      </c>
      <c r="G2141">
        <v>53790.45</v>
      </c>
      <c r="H2141">
        <v>1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f>SUM(Table1[[#This Row],[Gold Spending]]+Table1[[#This Row],[Sweet Spending]]+Table1[[#This Row],[Fish Spending]]+Table1[[#This Row],[Meat Spending]]+Table1[[#This Row],[Fruits Spending]]+Table1[[#This Row],[Wine Spending ]])</f>
        <v>450</v>
      </c>
      <c r="Q2141">
        <v>3</v>
      </c>
      <c r="R2141">
        <v>6</v>
      </c>
      <c r="S2141">
        <v>1</v>
      </c>
      <c r="T2141">
        <v>5</v>
      </c>
      <c r="U2141">
        <f>SUM(Table1[[#This Row],[Store_Purchases]]+Table1[[#This Row],[Catalog_Purchases]]+Table1[[#This Row],[Web_Purchases]]+Table1[[#This Row],[Deal_Purchases]])</f>
        <v>15</v>
      </c>
      <c r="V2141">
        <v>7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f>SUM(Table1[[#This Row],[Accepted_Campaign_2]]+Table1[[#This Row],[Accepted_Campaign_1]]+Table1[[#This Row],[Accepted_Campaign_5]]+Table1[[#This Row],[Accepted_Campaign_4]]+Table1[[#This Row],[Accepted_Campaign_3]])</f>
        <v>0</v>
      </c>
      <c r="AC2141">
        <v>0</v>
      </c>
      <c r="AD2141">
        <v>0</v>
      </c>
    </row>
    <row r="2142" spans="1:30" x14ac:dyDescent="0.25">
      <c r="A2142">
        <v>41543</v>
      </c>
      <c r="B2142">
        <v>5623</v>
      </c>
      <c r="C2142">
        <v>1980</v>
      </c>
      <c r="D2142" t="s">
        <v>8</v>
      </c>
      <c r="E2142" t="s">
        <v>18</v>
      </c>
      <c r="F2142" t="s">
        <v>11</v>
      </c>
      <c r="G2142">
        <v>31535</v>
      </c>
      <c r="H2142">
        <v>1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f>SUM(Table1[[#This Row],[Gold Spending]]+Table1[[#This Row],[Sweet Spending]]+Table1[[#This Row],[Fish Spending]]+Table1[[#This Row],[Meat Spending]]+Table1[[#This Row],[Fruits Spending]]+Table1[[#This Row],[Wine Spending ]])</f>
        <v>51</v>
      </c>
      <c r="Q2142">
        <v>1</v>
      </c>
      <c r="R2142">
        <v>1</v>
      </c>
      <c r="S2142">
        <v>1</v>
      </c>
      <c r="T2142">
        <v>2</v>
      </c>
      <c r="U2142">
        <f>SUM(Table1[[#This Row],[Store_Purchases]]+Table1[[#This Row],[Catalog_Purchases]]+Table1[[#This Row],[Web_Purchases]]+Table1[[#This Row],[Deal_Purchases]])</f>
        <v>5</v>
      </c>
      <c r="V2142">
        <v>7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f>SUM(Table1[[#This Row],[Accepted_Campaign_2]]+Table1[[#This Row],[Accepted_Campaign_1]]+Table1[[#This Row],[Accepted_Campaign_5]]+Table1[[#This Row],[Accepted_Campaign_4]]+Table1[[#This Row],[Accepted_Campaign_3]])</f>
        <v>1</v>
      </c>
      <c r="AC2142">
        <v>0</v>
      </c>
      <c r="AD2142">
        <v>0</v>
      </c>
    </row>
    <row r="2143" spans="1:30" x14ac:dyDescent="0.25">
      <c r="A2143">
        <v>41534</v>
      </c>
      <c r="B2143">
        <v>4789</v>
      </c>
      <c r="C2143">
        <v>1953</v>
      </c>
      <c r="D2143" t="s">
        <v>17</v>
      </c>
      <c r="E2143" t="s">
        <v>6</v>
      </c>
      <c r="F2143" t="s">
        <v>12</v>
      </c>
      <c r="G2143">
        <v>80812</v>
      </c>
      <c r="H2143">
        <v>0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f>SUM(Table1[[#This Row],[Gold Spending]]+Table1[[#This Row],[Sweet Spending]]+Table1[[#This Row],[Fish Spending]]+Table1[[#This Row],[Meat Spending]]+Table1[[#This Row],[Fruits Spending]]+Table1[[#This Row],[Wine Spending ]])</f>
        <v>1677</v>
      </c>
      <c r="Q2143">
        <v>1</v>
      </c>
      <c r="R2143">
        <v>4</v>
      </c>
      <c r="S2143">
        <v>8</v>
      </c>
      <c r="T2143">
        <v>5</v>
      </c>
      <c r="U2143">
        <f>SUM(Table1[[#This Row],[Store_Purchases]]+Table1[[#This Row],[Catalog_Purchases]]+Table1[[#This Row],[Web_Purchases]]+Table1[[#This Row],[Deal_Purchases]])</f>
        <v>18</v>
      </c>
      <c r="V2143">
        <v>2</v>
      </c>
      <c r="W2143">
        <v>1</v>
      </c>
      <c r="X2143">
        <v>0</v>
      </c>
      <c r="Y2143">
        <v>1</v>
      </c>
      <c r="Z2143">
        <v>1</v>
      </c>
      <c r="AA2143">
        <v>0</v>
      </c>
      <c r="AB2143">
        <f>SUM(Table1[[#This Row],[Accepted_Campaign_2]]+Table1[[#This Row],[Accepted_Campaign_1]]+Table1[[#This Row],[Accepted_Campaign_5]]+Table1[[#This Row],[Accepted_Campaign_4]]+Table1[[#This Row],[Accepted_Campaign_3]])</f>
        <v>3</v>
      </c>
      <c r="AC2143">
        <v>0</v>
      </c>
      <c r="AD2143">
        <v>0</v>
      </c>
    </row>
    <row r="2144" spans="1:30" x14ac:dyDescent="0.25">
      <c r="A2144">
        <v>41503</v>
      </c>
      <c r="B2144">
        <v>9523</v>
      </c>
      <c r="C2144">
        <v>1982</v>
      </c>
      <c r="D2144" t="s">
        <v>8</v>
      </c>
      <c r="E2144" t="s">
        <v>6</v>
      </c>
      <c r="F2144" t="s">
        <v>12</v>
      </c>
      <c r="G2144">
        <v>40479</v>
      </c>
      <c r="H2144">
        <v>1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f>SUM(Table1[[#This Row],[Gold Spending]]+Table1[[#This Row],[Sweet Spending]]+Table1[[#This Row],[Fish Spending]]+Table1[[#This Row],[Meat Spending]]+Table1[[#This Row],[Fruits Spending]]+Table1[[#This Row],[Wine Spending ]])</f>
        <v>15</v>
      </c>
      <c r="Q2144">
        <v>1</v>
      </c>
      <c r="R2144">
        <v>0</v>
      </c>
      <c r="S2144">
        <v>0</v>
      </c>
      <c r="T2144">
        <v>3</v>
      </c>
      <c r="U2144">
        <f>SUM(Table1[[#This Row],[Store_Purchases]]+Table1[[#This Row],[Catalog_Purchases]]+Table1[[#This Row],[Web_Purchases]]+Table1[[#This Row],[Deal_Purchases]])</f>
        <v>4</v>
      </c>
      <c r="V2144">
        <v>4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f>SUM(Table1[[#This Row],[Accepted_Campaign_2]]+Table1[[#This Row],[Accepted_Campaign_1]]+Table1[[#This Row],[Accepted_Campaign_5]]+Table1[[#This Row],[Accepted_Campaign_4]]+Table1[[#This Row],[Accepted_Campaign_3]])</f>
        <v>0</v>
      </c>
      <c r="AC2144">
        <v>0</v>
      </c>
      <c r="AD2144">
        <v>0</v>
      </c>
    </row>
    <row r="2145" spans="1:30" x14ac:dyDescent="0.25">
      <c r="A2145">
        <v>41497</v>
      </c>
      <c r="B2145">
        <v>5268</v>
      </c>
      <c r="C2145">
        <v>1960</v>
      </c>
      <c r="D2145" t="s">
        <v>16</v>
      </c>
      <c r="E2145" t="s">
        <v>6</v>
      </c>
      <c r="F2145" t="s">
        <v>11</v>
      </c>
      <c r="G2145">
        <v>29440</v>
      </c>
      <c r="H2145">
        <v>2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f>SUM(Table1[[#This Row],[Gold Spending]]+Table1[[#This Row],[Sweet Spending]]+Table1[[#This Row],[Fish Spending]]+Table1[[#This Row],[Meat Spending]]+Table1[[#This Row],[Fruits Spending]]+Table1[[#This Row],[Wine Spending ]])</f>
        <v>56</v>
      </c>
      <c r="Q2145">
        <v>2</v>
      </c>
      <c r="R2145">
        <v>1</v>
      </c>
      <c r="S2145">
        <v>0</v>
      </c>
      <c r="T2145">
        <v>4</v>
      </c>
      <c r="U2145">
        <f>SUM(Table1[[#This Row],[Store_Purchases]]+Table1[[#This Row],[Catalog_Purchases]]+Table1[[#This Row],[Web_Purchases]]+Table1[[#This Row],[Deal_Purchases]])</f>
        <v>7</v>
      </c>
      <c r="V2145">
        <v>7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f>SUM(Table1[[#This Row],[Accepted_Campaign_2]]+Table1[[#This Row],[Accepted_Campaign_1]]+Table1[[#This Row],[Accepted_Campaign_5]]+Table1[[#This Row],[Accepted_Campaign_4]]+Table1[[#This Row],[Accepted_Campaign_3]])</f>
        <v>0</v>
      </c>
      <c r="AC2145">
        <v>0</v>
      </c>
      <c r="AD2145">
        <v>0</v>
      </c>
    </row>
    <row r="2146" spans="1:30" x14ac:dyDescent="0.25">
      <c r="A2146">
        <v>41488</v>
      </c>
      <c r="B2146">
        <v>1545</v>
      </c>
      <c r="C2146">
        <v>1986</v>
      </c>
      <c r="D2146" t="s">
        <v>8</v>
      </c>
      <c r="E2146" t="s">
        <v>6</v>
      </c>
      <c r="F2146" t="s">
        <v>11</v>
      </c>
      <c r="G2146">
        <v>38508</v>
      </c>
      <c r="H2146">
        <v>1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f>SUM(Table1[[#This Row],[Gold Spending]]+Table1[[#This Row],[Sweet Spending]]+Table1[[#This Row],[Fish Spending]]+Table1[[#This Row],[Meat Spending]]+Table1[[#This Row],[Fruits Spending]]+Table1[[#This Row],[Wine Spending ]])</f>
        <v>443</v>
      </c>
      <c r="Q2146">
        <v>6</v>
      </c>
      <c r="R2146">
        <v>7</v>
      </c>
      <c r="S2146">
        <v>2</v>
      </c>
      <c r="T2146">
        <v>5</v>
      </c>
      <c r="U2146">
        <f>SUM(Table1[[#This Row],[Store_Purchases]]+Table1[[#This Row],[Catalog_Purchases]]+Table1[[#This Row],[Web_Purchases]]+Table1[[#This Row],[Deal_Purchases]])</f>
        <v>20</v>
      </c>
      <c r="V2146">
        <v>8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f>SUM(Table1[[#This Row],[Accepted_Campaign_2]]+Table1[[#This Row],[Accepted_Campaign_1]]+Table1[[#This Row],[Accepted_Campaign_5]]+Table1[[#This Row],[Accepted_Campaign_4]]+Table1[[#This Row],[Accepted_Campaign_3]])</f>
        <v>0</v>
      </c>
      <c r="AC2146">
        <v>0</v>
      </c>
      <c r="AD2146">
        <v>0</v>
      </c>
    </row>
    <row r="2147" spans="1:30" x14ac:dyDescent="0.25">
      <c r="A2147">
        <v>41462</v>
      </c>
      <c r="B2147">
        <v>2254</v>
      </c>
      <c r="C2147">
        <v>1983</v>
      </c>
      <c r="D2147" t="s">
        <v>13</v>
      </c>
      <c r="E2147" t="s">
        <v>6</v>
      </c>
      <c r="F2147" t="s">
        <v>11</v>
      </c>
      <c r="G2147">
        <v>69520</v>
      </c>
      <c r="H2147">
        <v>0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f>SUM(Table1[[#This Row],[Gold Spending]]+Table1[[#This Row],[Sweet Spending]]+Table1[[#This Row],[Fish Spending]]+Table1[[#This Row],[Meat Spending]]+Table1[[#This Row],[Fruits Spending]]+Table1[[#This Row],[Wine Spending ]])</f>
        <v>1455</v>
      </c>
      <c r="Q2147">
        <v>1</v>
      </c>
      <c r="R2147">
        <v>9</v>
      </c>
      <c r="S2147">
        <v>6</v>
      </c>
      <c r="T2147">
        <v>5</v>
      </c>
      <c r="U2147">
        <f>SUM(Table1[[#This Row],[Store_Purchases]]+Table1[[#This Row],[Catalog_Purchases]]+Table1[[#This Row],[Web_Purchases]]+Table1[[#This Row],[Deal_Purchases]])</f>
        <v>21</v>
      </c>
      <c r="V2147">
        <v>5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f>SUM(Table1[[#This Row],[Accepted_Campaign_2]]+Table1[[#This Row],[Accepted_Campaign_1]]+Table1[[#This Row],[Accepted_Campaign_5]]+Table1[[#This Row],[Accepted_Campaign_4]]+Table1[[#This Row],[Accepted_Campaign_3]])</f>
        <v>0</v>
      </c>
      <c r="AC2147">
        <v>0</v>
      </c>
      <c r="AD2147">
        <v>0</v>
      </c>
    </row>
    <row r="2148" spans="1:30" x14ac:dyDescent="0.25">
      <c r="A2148">
        <v>41429</v>
      </c>
      <c r="B2148">
        <v>2661</v>
      </c>
      <c r="C2148">
        <v>1964</v>
      </c>
      <c r="D2148" t="s">
        <v>20</v>
      </c>
      <c r="E2148" t="s">
        <v>6</v>
      </c>
      <c r="F2148" t="s">
        <v>9</v>
      </c>
      <c r="G2148">
        <v>18701</v>
      </c>
      <c r="H2148">
        <v>2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2148">
        <v>4</v>
      </c>
      <c r="R2148">
        <v>2</v>
      </c>
      <c r="S2148">
        <v>0</v>
      </c>
      <c r="T2148">
        <v>4</v>
      </c>
      <c r="U2148">
        <f>SUM(Table1[[#This Row],[Store_Purchases]]+Table1[[#This Row],[Catalog_Purchases]]+Table1[[#This Row],[Web_Purchases]]+Table1[[#This Row],[Deal_Purchases]])</f>
        <v>10</v>
      </c>
      <c r="V2148">
        <v>5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f>SUM(Table1[[#This Row],[Accepted_Campaign_2]]+Table1[[#This Row],[Accepted_Campaign_1]]+Table1[[#This Row],[Accepted_Campaign_5]]+Table1[[#This Row],[Accepted_Campaign_4]]+Table1[[#This Row],[Accepted_Campaign_3]])</f>
        <v>0</v>
      </c>
      <c r="AC2148">
        <v>0</v>
      </c>
      <c r="AD2148">
        <v>0</v>
      </c>
    </row>
    <row r="2149" spans="1:30" x14ac:dyDescent="0.25">
      <c r="A2149">
        <v>41429</v>
      </c>
      <c r="B2149">
        <v>3130</v>
      </c>
      <c r="C2149">
        <v>1964</v>
      </c>
      <c r="D2149" t="s">
        <v>8</v>
      </c>
      <c r="E2149" t="s">
        <v>6</v>
      </c>
      <c r="F2149" t="s">
        <v>9</v>
      </c>
      <c r="G2149">
        <v>18701</v>
      </c>
      <c r="H2149">
        <v>2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f>SUM(Table1[[#This Row],[Gold Spending]]+Table1[[#This Row],[Sweet Spending]]+Table1[[#This Row],[Fish Spending]]+Table1[[#This Row],[Meat Spending]]+Table1[[#This Row],[Fruits Spending]]+Table1[[#This Row],[Wine Spending ]])</f>
        <v>44</v>
      </c>
      <c r="Q2149">
        <v>4</v>
      </c>
      <c r="R2149">
        <v>2</v>
      </c>
      <c r="S2149">
        <v>0</v>
      </c>
      <c r="T2149">
        <v>4</v>
      </c>
      <c r="U2149">
        <f>SUM(Table1[[#This Row],[Store_Purchases]]+Table1[[#This Row],[Catalog_Purchases]]+Table1[[#This Row],[Web_Purchases]]+Table1[[#This Row],[Deal_Purchases]])</f>
        <v>10</v>
      </c>
      <c r="V2149">
        <v>5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f>SUM(Table1[[#This Row],[Accepted_Campaign_2]]+Table1[[#This Row],[Accepted_Campaign_1]]+Table1[[#This Row],[Accepted_Campaign_5]]+Table1[[#This Row],[Accepted_Campaign_4]]+Table1[[#This Row],[Accepted_Campaign_3]])</f>
        <v>0</v>
      </c>
      <c r="AC2149">
        <v>0</v>
      </c>
      <c r="AD2149">
        <v>0</v>
      </c>
    </row>
    <row r="2150" spans="1:30" x14ac:dyDescent="0.25">
      <c r="A2150">
        <v>41423</v>
      </c>
      <c r="B2150">
        <v>5847</v>
      </c>
      <c r="C2150">
        <v>1969</v>
      </c>
      <c r="D2150" t="s">
        <v>8</v>
      </c>
      <c r="E2150" t="s">
        <v>6</v>
      </c>
      <c r="F2150" t="s">
        <v>7</v>
      </c>
      <c r="G2150">
        <v>69901</v>
      </c>
      <c r="H2150">
        <v>1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f>SUM(Table1[[#This Row],[Gold Spending]]+Table1[[#This Row],[Sweet Spending]]+Table1[[#This Row],[Fish Spending]]+Table1[[#This Row],[Meat Spending]]+Table1[[#This Row],[Fruits Spending]]+Table1[[#This Row],[Wine Spending ]])</f>
        <v>882</v>
      </c>
      <c r="Q2150">
        <v>3</v>
      </c>
      <c r="R2150">
        <v>7</v>
      </c>
      <c r="S2150">
        <v>3</v>
      </c>
      <c r="T2150">
        <v>10</v>
      </c>
      <c r="U2150">
        <f>SUM(Table1[[#This Row],[Store_Purchases]]+Table1[[#This Row],[Catalog_Purchases]]+Table1[[#This Row],[Web_Purchases]]+Table1[[#This Row],[Deal_Purchases]])</f>
        <v>23</v>
      </c>
      <c r="V2150">
        <v>5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f>SUM(Table1[[#This Row],[Accepted_Campaign_2]]+Table1[[#This Row],[Accepted_Campaign_1]]+Table1[[#This Row],[Accepted_Campaign_5]]+Table1[[#This Row],[Accepted_Campaign_4]]+Table1[[#This Row],[Accepted_Campaign_3]])</f>
        <v>0</v>
      </c>
      <c r="AC2150">
        <v>0</v>
      </c>
      <c r="AD2150">
        <v>0</v>
      </c>
    </row>
    <row r="2151" spans="1:30" x14ac:dyDescent="0.25">
      <c r="A2151">
        <v>41423</v>
      </c>
      <c r="B2151">
        <v>5863</v>
      </c>
      <c r="C2151">
        <v>1953</v>
      </c>
      <c r="D2151" t="s">
        <v>8</v>
      </c>
      <c r="E2151" t="s">
        <v>6</v>
      </c>
      <c r="F2151" t="s">
        <v>11</v>
      </c>
      <c r="G2151">
        <v>47703</v>
      </c>
      <c r="H2151">
        <v>1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f>SUM(Table1[[#This Row],[Gold Spending]]+Table1[[#This Row],[Sweet Spending]]+Table1[[#This Row],[Fish Spending]]+Table1[[#This Row],[Meat Spending]]+Table1[[#This Row],[Fruits Spending]]+Table1[[#This Row],[Wine Spending ]])</f>
        <v>655</v>
      </c>
      <c r="Q2151">
        <v>4</v>
      </c>
      <c r="R2151">
        <v>6</v>
      </c>
      <c r="S2151">
        <v>3</v>
      </c>
      <c r="T2151">
        <v>8</v>
      </c>
      <c r="U2151">
        <f>SUM(Table1[[#This Row],[Store_Purchases]]+Table1[[#This Row],[Catalog_Purchases]]+Table1[[#This Row],[Web_Purchases]]+Table1[[#This Row],[Deal_Purchases]])</f>
        <v>21</v>
      </c>
      <c r="V2151">
        <v>5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f>SUM(Table1[[#This Row],[Accepted_Campaign_2]]+Table1[[#This Row],[Accepted_Campaign_1]]+Table1[[#This Row],[Accepted_Campaign_5]]+Table1[[#This Row],[Accepted_Campaign_4]]+Table1[[#This Row],[Accepted_Campaign_3]])</f>
        <v>0</v>
      </c>
      <c r="AC2151">
        <v>0</v>
      </c>
      <c r="AD2151">
        <v>0</v>
      </c>
    </row>
    <row r="2152" spans="1:30" x14ac:dyDescent="0.25">
      <c r="A2152">
        <v>41276</v>
      </c>
      <c r="B2152">
        <v>999</v>
      </c>
      <c r="C2152">
        <v>1991</v>
      </c>
      <c r="D2152" t="s">
        <v>10</v>
      </c>
      <c r="E2152" t="s">
        <v>6</v>
      </c>
      <c r="F2152" t="s">
        <v>9</v>
      </c>
      <c r="G2152">
        <v>86037</v>
      </c>
      <c r="H2152">
        <v>0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f>SUM(Table1[[#This Row],[Gold Spending]]+Table1[[#This Row],[Sweet Spending]]+Table1[[#This Row],[Fish Spending]]+Table1[[#This Row],[Meat Spending]]+Table1[[#This Row],[Fruits Spending]]+Table1[[#This Row],[Wine Spending ]])</f>
        <v>730</v>
      </c>
      <c r="Q2152">
        <v>1</v>
      </c>
      <c r="R2152">
        <v>6</v>
      </c>
      <c r="S2152">
        <v>7</v>
      </c>
      <c r="T2152">
        <v>11</v>
      </c>
      <c r="U2152">
        <f>SUM(Table1[[#This Row],[Store_Purchases]]+Table1[[#This Row],[Catalog_Purchases]]+Table1[[#This Row],[Web_Purchases]]+Table1[[#This Row],[Deal_Purchases]])</f>
        <v>25</v>
      </c>
      <c r="V2152">
        <v>3</v>
      </c>
      <c r="W2152">
        <v>0</v>
      </c>
      <c r="X2152">
        <v>1</v>
      </c>
      <c r="Y2152">
        <v>1</v>
      </c>
      <c r="Z2152">
        <v>0</v>
      </c>
      <c r="AA2152">
        <v>0</v>
      </c>
      <c r="AB2152">
        <f>SUM(Table1[[#This Row],[Accepted_Campaign_2]]+Table1[[#This Row],[Accepted_Campaign_1]]+Table1[[#This Row],[Accepted_Campaign_5]]+Table1[[#This Row],[Accepted_Campaign_4]]+Table1[[#This Row],[Accepted_Campaign_3]])</f>
        <v>2</v>
      </c>
      <c r="AC2152">
        <v>1</v>
      </c>
      <c r="AD2152">
        <v>0</v>
      </c>
    </row>
    <row r="2153" spans="1:30" x14ac:dyDescent="0.25">
      <c r="A2153">
        <v>41173</v>
      </c>
      <c r="B2153">
        <v>2931</v>
      </c>
      <c r="C2153">
        <v>1978</v>
      </c>
      <c r="D2153" t="s">
        <v>8</v>
      </c>
      <c r="E2153" t="s">
        <v>6</v>
      </c>
      <c r="F2153" t="s">
        <v>7</v>
      </c>
      <c r="G2153">
        <v>71847</v>
      </c>
      <c r="H2153">
        <v>0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f>SUM(Table1[[#This Row],[Gold Spending]]+Table1[[#This Row],[Sweet Spending]]+Table1[[#This Row],[Fish Spending]]+Table1[[#This Row],[Meat Spending]]+Table1[[#This Row],[Fruits Spending]]+Table1[[#This Row],[Wine Spending ]])</f>
        <v>1192</v>
      </c>
      <c r="Q2153">
        <v>0</v>
      </c>
      <c r="R2153">
        <v>6</v>
      </c>
      <c r="S2153">
        <v>7</v>
      </c>
      <c r="T2153">
        <v>9</v>
      </c>
      <c r="U2153">
        <f>SUM(Table1[[#This Row],[Store_Purchases]]+Table1[[#This Row],[Catalog_Purchases]]+Table1[[#This Row],[Web_Purchases]]+Table1[[#This Row],[Deal_Purchases]])</f>
        <v>22</v>
      </c>
      <c r="V2153">
        <v>3</v>
      </c>
      <c r="W2153">
        <v>0</v>
      </c>
      <c r="X2153">
        <v>0</v>
      </c>
      <c r="Y2153">
        <v>0</v>
      </c>
      <c r="Z2153">
        <v>1</v>
      </c>
      <c r="AA2153">
        <v>0</v>
      </c>
      <c r="AB2153">
        <f>SUM(Table1[[#This Row],[Accepted_Campaign_2]]+Table1[[#This Row],[Accepted_Campaign_1]]+Table1[[#This Row],[Accepted_Campaign_5]]+Table1[[#This Row],[Accepted_Campaign_4]]+Table1[[#This Row],[Accepted_Campaign_3]])</f>
        <v>1</v>
      </c>
      <c r="AC2153">
        <v>0</v>
      </c>
      <c r="AD2153">
        <v>0</v>
      </c>
    </row>
    <row r="2154" spans="1:30" x14ac:dyDescent="0.25">
      <c r="A2154">
        <v>41171</v>
      </c>
      <c r="B2154">
        <v>1890</v>
      </c>
      <c r="C2154">
        <v>1971</v>
      </c>
      <c r="D2154" t="s">
        <v>8</v>
      </c>
      <c r="E2154" t="s">
        <v>15</v>
      </c>
      <c r="F2154" t="s">
        <v>12</v>
      </c>
      <c r="G2154">
        <v>42033</v>
      </c>
      <c r="H2154">
        <v>2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f>SUM(Table1[[#This Row],[Gold Spending]]+Table1[[#This Row],[Sweet Spending]]+Table1[[#This Row],[Fish Spending]]+Table1[[#This Row],[Meat Spending]]+Table1[[#This Row],[Fruits Spending]]+Table1[[#This Row],[Wine Spending ]])</f>
        <v>25</v>
      </c>
      <c r="Q2154">
        <v>1</v>
      </c>
      <c r="R2154">
        <v>1</v>
      </c>
      <c r="S2154">
        <v>0</v>
      </c>
      <c r="T2154">
        <v>2</v>
      </c>
      <c r="U2154">
        <f>SUM(Table1[[#This Row],[Store_Purchases]]+Table1[[#This Row],[Catalog_Purchases]]+Table1[[#This Row],[Web_Purchases]]+Table1[[#This Row],[Deal_Purchases]])</f>
        <v>4</v>
      </c>
      <c r="V2154">
        <v>7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f>SUM(Table1[[#This Row],[Accepted_Campaign_2]]+Table1[[#This Row],[Accepted_Campaign_1]]+Table1[[#This Row],[Accepted_Campaign_5]]+Table1[[#This Row],[Accepted_Campaign_4]]+Table1[[#This Row],[Accepted_Campaign_3]])</f>
        <v>0</v>
      </c>
      <c r="AC2154">
        <v>0</v>
      </c>
      <c r="AD2154">
        <v>0</v>
      </c>
    </row>
    <row r="2155" spans="1:30" x14ac:dyDescent="0.25">
      <c r="A2155">
        <v>41152</v>
      </c>
      <c r="B2155">
        <v>5589</v>
      </c>
      <c r="C2155">
        <v>1964</v>
      </c>
      <c r="D2155" t="s">
        <v>17</v>
      </c>
      <c r="E2155" t="s">
        <v>6</v>
      </c>
      <c r="F2155" t="s">
        <v>7</v>
      </c>
      <c r="G2155">
        <v>51983</v>
      </c>
      <c r="H2155">
        <v>1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f>SUM(Table1[[#This Row],[Gold Spending]]+Table1[[#This Row],[Sweet Spending]]+Table1[[#This Row],[Fish Spending]]+Table1[[#This Row],[Meat Spending]]+Table1[[#This Row],[Fruits Spending]]+Table1[[#This Row],[Wine Spending ]])</f>
        <v>793</v>
      </c>
      <c r="Q2155">
        <v>3</v>
      </c>
      <c r="R2155">
        <v>9</v>
      </c>
      <c r="S2155">
        <v>2</v>
      </c>
      <c r="T2155">
        <v>10</v>
      </c>
      <c r="U2155">
        <f>SUM(Table1[[#This Row],[Store_Purchases]]+Table1[[#This Row],[Catalog_Purchases]]+Table1[[#This Row],[Web_Purchases]]+Table1[[#This Row],[Deal_Purchases]])</f>
        <v>24</v>
      </c>
      <c r="V2155">
        <v>7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f>SUM(Table1[[#This Row],[Accepted_Campaign_2]]+Table1[[#This Row],[Accepted_Campaign_1]]+Table1[[#This Row],[Accepted_Campaign_5]]+Table1[[#This Row],[Accepted_Campaign_4]]+Table1[[#This Row],[Accepted_Campaign_3]])</f>
        <v>0</v>
      </c>
      <c r="AC2155">
        <v>0</v>
      </c>
      <c r="AD2155">
        <v>0</v>
      </c>
    </row>
    <row r="2156" spans="1:30" x14ac:dyDescent="0.25">
      <c r="A2156">
        <v>41131</v>
      </c>
      <c r="B2156">
        <v>10172</v>
      </c>
      <c r="C2156">
        <v>1988</v>
      </c>
      <c r="D2156" t="s">
        <v>8</v>
      </c>
      <c r="E2156" t="s">
        <v>6</v>
      </c>
      <c r="F2156" t="s">
        <v>9</v>
      </c>
      <c r="G2156">
        <v>68655</v>
      </c>
      <c r="H2156">
        <v>0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f>SUM(Table1[[#This Row],[Gold Spending]]+Table1[[#This Row],[Sweet Spending]]+Table1[[#This Row],[Fish Spending]]+Table1[[#This Row],[Meat Spending]]+Table1[[#This Row],[Fruits Spending]]+Table1[[#This Row],[Wine Spending ]])</f>
        <v>1538</v>
      </c>
      <c r="Q2156">
        <v>1</v>
      </c>
      <c r="R2156">
        <v>4</v>
      </c>
      <c r="S2156">
        <v>5</v>
      </c>
      <c r="T2156">
        <v>11</v>
      </c>
      <c r="U2156">
        <f>SUM(Table1[[#This Row],[Store_Purchases]]+Table1[[#This Row],[Catalog_Purchases]]+Table1[[#This Row],[Web_Purchases]]+Table1[[#This Row],[Deal_Purchases]])</f>
        <v>21</v>
      </c>
      <c r="V2156">
        <v>3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f>SUM(Table1[[#This Row],[Accepted_Campaign_2]]+Table1[[#This Row],[Accepted_Campaign_1]]+Table1[[#This Row],[Accepted_Campaign_5]]+Table1[[#This Row],[Accepted_Campaign_4]]+Table1[[#This Row],[Accepted_Campaign_3]])</f>
        <v>0</v>
      </c>
      <c r="AC2156">
        <v>0</v>
      </c>
      <c r="AD2156">
        <v>0</v>
      </c>
    </row>
    <row r="2157" spans="1:30" x14ac:dyDescent="0.25">
      <c r="A2157">
        <v>41131</v>
      </c>
      <c r="B2157">
        <v>6729</v>
      </c>
      <c r="C2157">
        <v>1988</v>
      </c>
      <c r="D2157" t="s">
        <v>20</v>
      </c>
      <c r="E2157" t="s">
        <v>6</v>
      </c>
      <c r="F2157" t="s">
        <v>9</v>
      </c>
      <c r="G2157">
        <v>68655</v>
      </c>
      <c r="H2157">
        <v>0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f>SUM(Table1[[#This Row],[Gold Spending]]+Table1[[#This Row],[Sweet Spending]]+Table1[[#This Row],[Fish Spending]]+Table1[[#This Row],[Meat Spending]]+Table1[[#This Row],[Fruits Spending]]+Table1[[#This Row],[Wine Spending ]])</f>
        <v>1538</v>
      </c>
      <c r="Q2157">
        <v>1</v>
      </c>
      <c r="R2157">
        <v>4</v>
      </c>
      <c r="S2157">
        <v>5</v>
      </c>
      <c r="T2157">
        <v>11</v>
      </c>
      <c r="U2157">
        <f>SUM(Table1[[#This Row],[Store_Purchases]]+Table1[[#This Row],[Catalog_Purchases]]+Table1[[#This Row],[Web_Purchases]]+Table1[[#This Row],[Deal_Purchases]])</f>
        <v>21</v>
      </c>
      <c r="V2157">
        <v>3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f>SUM(Table1[[#This Row],[Accepted_Campaign_2]]+Table1[[#This Row],[Accepted_Campaign_1]]+Table1[[#This Row],[Accepted_Campaign_5]]+Table1[[#This Row],[Accepted_Campaign_4]]+Table1[[#This Row],[Accepted_Campaign_3]])</f>
        <v>0</v>
      </c>
      <c r="AC2157">
        <v>0</v>
      </c>
      <c r="AD2157">
        <v>0</v>
      </c>
    </row>
    <row r="2158" spans="1:30" x14ac:dyDescent="0.25">
      <c r="A2158">
        <v>41814</v>
      </c>
      <c r="B2158">
        <v>10492</v>
      </c>
      <c r="C2158">
        <v>1959</v>
      </c>
      <c r="D2158" t="s">
        <v>17</v>
      </c>
      <c r="E2158" t="s">
        <v>6</v>
      </c>
      <c r="F2158" t="s">
        <v>12</v>
      </c>
      <c r="G2158">
        <v>38285</v>
      </c>
      <c r="H2158">
        <v>3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f>SUM(Table1[[#This Row],[Gold Spending]]+Table1[[#This Row],[Sweet Spending]]+Table1[[#This Row],[Fish Spending]]+Table1[[#This Row],[Meat Spending]]+Table1[[#This Row],[Fruits Spending]]+Table1[[#This Row],[Wine Spending ]])</f>
        <v>10</v>
      </c>
      <c r="Q2158">
        <v>1</v>
      </c>
      <c r="R2158">
        <v>0</v>
      </c>
      <c r="S2158">
        <v>0</v>
      </c>
      <c r="T2158">
        <v>3</v>
      </c>
      <c r="U2158">
        <f>SUM(Table1[[#This Row],[Store_Purchases]]+Table1[[#This Row],[Catalog_Purchases]]+Table1[[#This Row],[Web_Purchases]]+Table1[[#This Row],[Deal_Purchases]])</f>
        <v>4</v>
      </c>
      <c r="V2158">
        <v>2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f>SUM(Table1[[#This Row],[Accepted_Campaign_2]]+Table1[[#This Row],[Accepted_Campaign_1]]+Table1[[#This Row],[Accepted_Campaign_5]]+Table1[[#This Row],[Accepted_Campaign_4]]+Table1[[#This Row],[Accepted_Campaign_3]])</f>
        <v>0</v>
      </c>
      <c r="AC2158">
        <v>0</v>
      </c>
      <c r="AD2158">
        <v>0</v>
      </c>
    </row>
    <row r="2159" spans="1:30" x14ac:dyDescent="0.25">
      <c r="A2159">
        <v>41812</v>
      </c>
      <c r="B2159">
        <v>2939</v>
      </c>
      <c r="C2159">
        <v>1970</v>
      </c>
      <c r="D2159" t="s">
        <v>10</v>
      </c>
      <c r="E2159" t="s">
        <v>18</v>
      </c>
      <c r="F2159" t="s">
        <v>12</v>
      </c>
      <c r="G2159">
        <v>79419</v>
      </c>
      <c r="H2159">
        <v>0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f>SUM(Table1[[#This Row],[Gold Spending]]+Table1[[#This Row],[Sweet Spending]]+Table1[[#This Row],[Fish Spending]]+Table1[[#This Row],[Meat Spending]]+Table1[[#This Row],[Fruits Spending]]+Table1[[#This Row],[Wine Spending ]])</f>
        <v>1631</v>
      </c>
      <c r="Q2159">
        <v>1</v>
      </c>
      <c r="R2159">
        <v>4</v>
      </c>
      <c r="S2159">
        <v>6</v>
      </c>
      <c r="T2159">
        <v>4</v>
      </c>
      <c r="U2159">
        <f>SUM(Table1[[#This Row],[Store_Purchases]]+Table1[[#This Row],[Catalog_Purchases]]+Table1[[#This Row],[Web_Purchases]]+Table1[[#This Row],[Deal_Purchases]])</f>
        <v>15</v>
      </c>
      <c r="V2159">
        <v>2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f>SUM(Table1[[#This Row],[Accepted_Campaign_2]]+Table1[[#This Row],[Accepted_Campaign_1]]+Table1[[#This Row],[Accepted_Campaign_5]]+Table1[[#This Row],[Accepted_Campaign_4]]+Table1[[#This Row],[Accepted_Campaign_3]])</f>
        <v>0</v>
      </c>
      <c r="AC2159">
        <v>0</v>
      </c>
      <c r="AD2159">
        <v>0</v>
      </c>
    </row>
    <row r="2160" spans="1:30" x14ac:dyDescent="0.25">
      <c r="A2160">
        <v>41758</v>
      </c>
      <c r="B2160">
        <v>5948</v>
      </c>
      <c r="C2160">
        <v>1975</v>
      </c>
      <c r="D2160" t="s">
        <v>63</v>
      </c>
      <c r="E2160" t="s">
        <v>6</v>
      </c>
      <c r="F2160" t="s">
        <v>9</v>
      </c>
      <c r="G2160">
        <v>57338</v>
      </c>
      <c r="H2160">
        <v>1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f>SUM(Table1[[#This Row],[Gold Spending]]+Table1[[#This Row],[Sweet Spending]]+Table1[[#This Row],[Fish Spending]]+Table1[[#This Row],[Meat Spending]]+Table1[[#This Row],[Fruits Spending]]+Table1[[#This Row],[Wine Spending ]])</f>
        <v>237</v>
      </c>
      <c r="Q2160">
        <v>2</v>
      </c>
      <c r="R2160">
        <v>4</v>
      </c>
      <c r="S2160">
        <v>1</v>
      </c>
      <c r="T2160">
        <v>5</v>
      </c>
      <c r="U2160">
        <f>SUM(Table1[[#This Row],[Store_Purchases]]+Table1[[#This Row],[Catalog_Purchases]]+Table1[[#This Row],[Web_Purchases]]+Table1[[#This Row],[Deal_Purchases]])</f>
        <v>12</v>
      </c>
      <c r="V2160">
        <v>5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f>SUM(Table1[[#This Row],[Accepted_Campaign_2]]+Table1[[#This Row],[Accepted_Campaign_1]]+Table1[[#This Row],[Accepted_Campaign_5]]+Table1[[#This Row],[Accepted_Campaign_4]]+Table1[[#This Row],[Accepted_Campaign_3]])</f>
        <v>0</v>
      </c>
      <c r="AC2160">
        <v>0</v>
      </c>
      <c r="AD2160">
        <v>0</v>
      </c>
    </row>
    <row r="2161" spans="1:30" x14ac:dyDescent="0.25">
      <c r="A2161">
        <v>41752</v>
      </c>
      <c r="B2161">
        <v>574</v>
      </c>
      <c r="C2161">
        <v>1964</v>
      </c>
      <c r="D2161" t="s">
        <v>16</v>
      </c>
      <c r="E2161" t="s">
        <v>6</v>
      </c>
      <c r="F2161" t="s">
        <v>11</v>
      </c>
      <c r="G2161">
        <v>42523</v>
      </c>
      <c r="H2161">
        <v>0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f>SUM(Table1[[#This Row],[Gold Spending]]+Table1[[#This Row],[Sweet Spending]]+Table1[[#This Row],[Fish Spending]]+Table1[[#This Row],[Meat Spending]]+Table1[[#This Row],[Fruits Spending]]+Table1[[#This Row],[Wine Spending ]])</f>
        <v>125</v>
      </c>
      <c r="Q2161">
        <v>1</v>
      </c>
      <c r="R2161">
        <v>1</v>
      </c>
      <c r="S2161">
        <v>1</v>
      </c>
      <c r="T2161">
        <v>4</v>
      </c>
      <c r="U2161">
        <f>SUM(Table1[[#This Row],[Store_Purchases]]+Table1[[#This Row],[Catalog_Purchases]]+Table1[[#This Row],[Web_Purchases]]+Table1[[#This Row],[Deal_Purchases]])</f>
        <v>7</v>
      </c>
      <c r="V2161">
        <v>2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f>SUM(Table1[[#This Row],[Accepted_Campaign_2]]+Table1[[#This Row],[Accepted_Campaign_1]]+Table1[[#This Row],[Accepted_Campaign_5]]+Table1[[#This Row],[Accepted_Campaign_4]]+Table1[[#This Row],[Accepted_Campaign_3]])</f>
        <v>0</v>
      </c>
      <c r="AC2161">
        <v>0</v>
      </c>
      <c r="AD2161">
        <v>0</v>
      </c>
    </row>
    <row r="2162" spans="1:30" x14ac:dyDescent="0.25">
      <c r="A2162">
        <v>41752</v>
      </c>
      <c r="B2162">
        <v>3266</v>
      </c>
      <c r="C2162">
        <v>1964</v>
      </c>
      <c r="D2162" t="s">
        <v>10</v>
      </c>
      <c r="E2162" t="s">
        <v>6</v>
      </c>
      <c r="F2162" t="s">
        <v>11</v>
      </c>
      <c r="G2162">
        <v>42523</v>
      </c>
      <c r="H2162">
        <v>0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f>SUM(Table1[[#This Row],[Gold Spending]]+Table1[[#This Row],[Sweet Spending]]+Table1[[#This Row],[Fish Spending]]+Table1[[#This Row],[Meat Spending]]+Table1[[#This Row],[Fruits Spending]]+Table1[[#This Row],[Wine Spending ]])</f>
        <v>125</v>
      </c>
      <c r="Q2162">
        <v>1</v>
      </c>
      <c r="R2162">
        <v>1</v>
      </c>
      <c r="S2162">
        <v>1</v>
      </c>
      <c r="T2162">
        <v>4</v>
      </c>
      <c r="U2162">
        <f>SUM(Table1[[#This Row],[Store_Purchases]]+Table1[[#This Row],[Catalog_Purchases]]+Table1[[#This Row],[Web_Purchases]]+Table1[[#This Row],[Deal_Purchases]])</f>
        <v>7</v>
      </c>
      <c r="V2162">
        <v>2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f>SUM(Table1[[#This Row],[Accepted_Campaign_2]]+Table1[[#This Row],[Accepted_Campaign_1]]+Table1[[#This Row],[Accepted_Campaign_5]]+Table1[[#This Row],[Accepted_Campaign_4]]+Table1[[#This Row],[Accepted_Campaign_3]])</f>
        <v>0</v>
      </c>
      <c r="AC2162">
        <v>0</v>
      </c>
      <c r="AD2162">
        <v>0</v>
      </c>
    </row>
    <row r="2163" spans="1:30" x14ac:dyDescent="0.25">
      <c r="A2163">
        <v>41734</v>
      </c>
      <c r="B2163">
        <v>10500</v>
      </c>
      <c r="C2163">
        <v>1984</v>
      </c>
      <c r="D2163" t="s">
        <v>13</v>
      </c>
      <c r="E2163" t="s">
        <v>6</v>
      </c>
      <c r="F2163" t="s">
        <v>11</v>
      </c>
      <c r="G2163">
        <v>31761</v>
      </c>
      <c r="H2163">
        <v>1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f>SUM(Table1[[#This Row],[Gold Spending]]+Table1[[#This Row],[Sweet Spending]]+Table1[[#This Row],[Fish Spending]]+Table1[[#This Row],[Meat Spending]]+Table1[[#This Row],[Fruits Spending]]+Table1[[#This Row],[Wine Spending ]])</f>
        <v>98</v>
      </c>
      <c r="Q2163">
        <v>2</v>
      </c>
      <c r="R2163">
        <v>3</v>
      </c>
      <c r="S2163">
        <v>0</v>
      </c>
      <c r="T2163">
        <v>4</v>
      </c>
      <c r="U2163">
        <f>SUM(Table1[[#This Row],[Store_Purchases]]+Table1[[#This Row],[Catalog_Purchases]]+Table1[[#This Row],[Web_Purchases]]+Table1[[#This Row],[Deal_Purchases]])</f>
        <v>9</v>
      </c>
      <c r="V2163">
        <v>5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f>SUM(Table1[[#This Row],[Accepted_Campaign_2]]+Table1[[#This Row],[Accepted_Campaign_1]]+Table1[[#This Row],[Accepted_Campaign_5]]+Table1[[#This Row],[Accepted_Campaign_4]]+Table1[[#This Row],[Accepted_Campaign_3]])</f>
        <v>0</v>
      </c>
      <c r="AC2163">
        <v>0</v>
      </c>
      <c r="AD2163">
        <v>0</v>
      </c>
    </row>
    <row r="2164" spans="1:30" x14ac:dyDescent="0.25">
      <c r="A2164">
        <v>41705</v>
      </c>
      <c r="B2164">
        <v>7987</v>
      </c>
      <c r="C2164">
        <v>1969</v>
      </c>
      <c r="D2164" t="s">
        <v>10</v>
      </c>
      <c r="E2164" t="s">
        <v>6</v>
      </c>
      <c r="F2164" t="s">
        <v>11</v>
      </c>
      <c r="G2164">
        <v>65747</v>
      </c>
      <c r="H2164">
        <v>1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f>SUM(Table1[[#This Row],[Gold Spending]]+Table1[[#This Row],[Sweet Spending]]+Table1[[#This Row],[Fish Spending]]+Table1[[#This Row],[Meat Spending]]+Table1[[#This Row],[Fruits Spending]]+Table1[[#This Row],[Wine Spending ]])</f>
        <v>460</v>
      </c>
      <c r="Q2164">
        <v>4</v>
      </c>
      <c r="R2164">
        <v>8</v>
      </c>
      <c r="S2164">
        <v>1</v>
      </c>
      <c r="T2164">
        <v>6</v>
      </c>
      <c r="U2164">
        <f>SUM(Table1[[#This Row],[Store_Purchases]]+Table1[[#This Row],[Catalog_Purchases]]+Table1[[#This Row],[Web_Purchases]]+Table1[[#This Row],[Deal_Purchases]])</f>
        <v>19</v>
      </c>
      <c r="V2164">
        <v>6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f>SUM(Table1[[#This Row],[Accepted_Campaign_2]]+Table1[[#This Row],[Accepted_Campaign_1]]+Table1[[#This Row],[Accepted_Campaign_5]]+Table1[[#This Row],[Accepted_Campaign_4]]+Table1[[#This Row],[Accepted_Campaign_3]])</f>
        <v>1</v>
      </c>
      <c r="AC2164">
        <v>0</v>
      </c>
      <c r="AD2164">
        <v>0</v>
      </c>
    </row>
    <row r="2165" spans="1:30" x14ac:dyDescent="0.25">
      <c r="A2165">
        <v>41685</v>
      </c>
      <c r="B2165">
        <v>1135</v>
      </c>
      <c r="C2165">
        <v>1960</v>
      </c>
      <c r="D2165" t="s">
        <v>10</v>
      </c>
      <c r="E2165" t="s">
        <v>18</v>
      </c>
      <c r="F2165" t="s">
        <v>12</v>
      </c>
      <c r="G2165">
        <v>17144</v>
      </c>
      <c r="H2165">
        <v>2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f>SUM(Table1[[#This Row],[Gold Spending]]+Table1[[#This Row],[Sweet Spending]]+Table1[[#This Row],[Fish Spending]]+Table1[[#This Row],[Meat Spending]]+Table1[[#This Row],[Fruits Spending]]+Table1[[#This Row],[Wine Spending ]])</f>
        <v>47</v>
      </c>
      <c r="Q2165">
        <v>5</v>
      </c>
      <c r="R2165">
        <v>3</v>
      </c>
      <c r="S2165">
        <v>0</v>
      </c>
      <c r="T2165">
        <v>4</v>
      </c>
      <c r="U2165">
        <f>SUM(Table1[[#This Row],[Store_Purchases]]+Table1[[#This Row],[Catalog_Purchases]]+Table1[[#This Row],[Web_Purchases]]+Table1[[#This Row],[Deal_Purchases]])</f>
        <v>12</v>
      </c>
      <c r="V2165">
        <v>7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f>SUM(Table1[[#This Row],[Accepted_Campaign_2]]+Table1[[#This Row],[Accepted_Campaign_1]]+Table1[[#This Row],[Accepted_Campaign_5]]+Table1[[#This Row],[Accepted_Campaign_4]]+Table1[[#This Row],[Accepted_Campaign_3]])</f>
        <v>0</v>
      </c>
      <c r="AC2165">
        <v>0</v>
      </c>
      <c r="AD2165">
        <v>0</v>
      </c>
    </row>
    <row r="2166" spans="1:30" x14ac:dyDescent="0.25">
      <c r="A2166">
        <v>41685</v>
      </c>
      <c r="B2166">
        <v>24</v>
      </c>
      <c r="C2166">
        <v>1960</v>
      </c>
      <c r="D2166" t="s">
        <v>20</v>
      </c>
      <c r="E2166" t="s">
        <v>18</v>
      </c>
      <c r="F2166" t="s">
        <v>12</v>
      </c>
      <c r="G2166">
        <v>17144</v>
      </c>
      <c r="H2166">
        <v>2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f>SUM(Table1[[#This Row],[Gold Spending]]+Table1[[#This Row],[Sweet Spending]]+Table1[[#This Row],[Fish Spending]]+Table1[[#This Row],[Meat Spending]]+Table1[[#This Row],[Fruits Spending]]+Table1[[#This Row],[Wine Spending ]])</f>
        <v>47</v>
      </c>
      <c r="Q2166">
        <v>5</v>
      </c>
      <c r="R2166">
        <v>3</v>
      </c>
      <c r="S2166">
        <v>0</v>
      </c>
      <c r="T2166">
        <v>4</v>
      </c>
      <c r="U2166">
        <f>SUM(Table1[[#This Row],[Store_Purchases]]+Table1[[#This Row],[Catalog_Purchases]]+Table1[[#This Row],[Web_Purchases]]+Table1[[#This Row],[Deal_Purchases]])</f>
        <v>12</v>
      </c>
      <c r="V2166">
        <v>7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f>SUM(Table1[[#This Row],[Accepted_Campaign_2]]+Table1[[#This Row],[Accepted_Campaign_1]]+Table1[[#This Row],[Accepted_Campaign_5]]+Table1[[#This Row],[Accepted_Campaign_4]]+Table1[[#This Row],[Accepted_Campaign_3]])</f>
        <v>0</v>
      </c>
      <c r="AC2166">
        <v>0</v>
      </c>
      <c r="AD2166">
        <v>0</v>
      </c>
    </row>
    <row r="2167" spans="1:30" x14ac:dyDescent="0.25">
      <c r="A2167">
        <v>41640</v>
      </c>
      <c r="B2167">
        <v>7244</v>
      </c>
      <c r="C2167">
        <v>1951</v>
      </c>
      <c r="D2167" t="s">
        <v>13</v>
      </c>
      <c r="E2167" t="s">
        <v>6</v>
      </c>
      <c r="F2167" t="s">
        <v>9</v>
      </c>
      <c r="G2167">
        <v>53790.45</v>
      </c>
      <c r="H2167">
        <v>3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f>SUM(Table1[[#This Row],[Gold Spending]]+Table1[[#This Row],[Sweet Spending]]+Table1[[#This Row],[Fish Spending]]+Table1[[#This Row],[Meat Spending]]+Table1[[#This Row],[Fruits Spending]]+Table1[[#This Row],[Wine Spending ]])</f>
        <v>124</v>
      </c>
      <c r="Q2167">
        <v>3</v>
      </c>
      <c r="R2167">
        <v>2</v>
      </c>
      <c r="S2167">
        <v>1</v>
      </c>
      <c r="T2167">
        <v>4</v>
      </c>
      <c r="U2167">
        <f>SUM(Table1[[#This Row],[Store_Purchases]]+Table1[[#This Row],[Catalog_Purchases]]+Table1[[#This Row],[Web_Purchases]]+Table1[[#This Row],[Deal_Purchases]])</f>
        <v>10</v>
      </c>
      <c r="V2167">
        <v>6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f>SUM(Table1[[#This Row],[Accepted_Campaign_2]]+Table1[[#This Row],[Accepted_Campaign_1]]+Table1[[#This Row],[Accepted_Campaign_5]]+Table1[[#This Row],[Accepted_Campaign_4]]+Table1[[#This Row],[Accepted_Campaign_3]])</f>
        <v>0</v>
      </c>
      <c r="AC2167">
        <v>0</v>
      </c>
      <c r="AD2167">
        <v>0</v>
      </c>
    </row>
    <row r="2168" spans="1:30" x14ac:dyDescent="0.25">
      <c r="A2168">
        <v>41600</v>
      </c>
      <c r="B2168">
        <v>1966</v>
      </c>
      <c r="C2168">
        <v>1965</v>
      </c>
      <c r="D2168" t="s">
        <v>13</v>
      </c>
      <c r="E2168" t="s">
        <v>14</v>
      </c>
      <c r="F2168" t="s">
        <v>11</v>
      </c>
      <c r="G2168">
        <v>84618</v>
      </c>
      <c r="H2168">
        <v>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f>SUM(Table1[[#This Row],[Gold Spending]]+Table1[[#This Row],[Sweet Spending]]+Table1[[#This Row],[Fish Spending]]+Table1[[#This Row],[Meat Spending]]+Table1[[#This Row],[Fruits Spending]]+Table1[[#This Row],[Wine Spending ]])</f>
        <v>1672</v>
      </c>
      <c r="Q2168">
        <v>1</v>
      </c>
      <c r="R2168">
        <v>6</v>
      </c>
      <c r="S2168">
        <v>9</v>
      </c>
      <c r="T2168">
        <v>10</v>
      </c>
      <c r="U2168">
        <f>SUM(Table1[[#This Row],[Store_Purchases]]+Table1[[#This Row],[Catalog_Purchases]]+Table1[[#This Row],[Web_Purchases]]+Table1[[#This Row],[Deal_Purchases]])</f>
        <v>26</v>
      </c>
      <c r="V2168">
        <v>2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f>SUM(Table1[[#This Row],[Accepted_Campaign_2]]+Table1[[#This Row],[Accepted_Campaign_1]]+Table1[[#This Row],[Accepted_Campaign_5]]+Table1[[#This Row],[Accepted_Campaign_4]]+Table1[[#This Row],[Accepted_Campaign_3]])</f>
        <v>1</v>
      </c>
      <c r="AC2168">
        <v>0</v>
      </c>
      <c r="AD2168">
        <v>0</v>
      </c>
    </row>
    <row r="2169" spans="1:30" x14ac:dyDescent="0.25">
      <c r="A2169">
        <v>41600</v>
      </c>
      <c r="B2169">
        <v>7789</v>
      </c>
      <c r="C2169">
        <v>1965</v>
      </c>
      <c r="D2169" t="s">
        <v>8</v>
      </c>
      <c r="E2169" t="s">
        <v>14</v>
      </c>
      <c r="F2169" t="s">
        <v>11</v>
      </c>
      <c r="G2169">
        <v>84618</v>
      </c>
      <c r="H2169">
        <v>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f>SUM(Table1[[#This Row],[Gold Spending]]+Table1[[#This Row],[Sweet Spending]]+Table1[[#This Row],[Fish Spending]]+Table1[[#This Row],[Meat Spending]]+Table1[[#This Row],[Fruits Spending]]+Table1[[#This Row],[Wine Spending ]])</f>
        <v>1672</v>
      </c>
      <c r="Q2169">
        <v>1</v>
      </c>
      <c r="R2169">
        <v>6</v>
      </c>
      <c r="S2169">
        <v>9</v>
      </c>
      <c r="T2169">
        <v>10</v>
      </c>
      <c r="U2169">
        <f>SUM(Table1[[#This Row],[Store_Purchases]]+Table1[[#This Row],[Catalog_Purchases]]+Table1[[#This Row],[Web_Purchases]]+Table1[[#This Row],[Deal_Purchases]])</f>
        <v>26</v>
      </c>
      <c r="V2169">
        <v>2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f>SUM(Table1[[#This Row],[Accepted_Campaign_2]]+Table1[[#This Row],[Accepted_Campaign_1]]+Table1[[#This Row],[Accepted_Campaign_5]]+Table1[[#This Row],[Accepted_Campaign_4]]+Table1[[#This Row],[Accepted_Campaign_3]])</f>
        <v>1</v>
      </c>
      <c r="AC2169">
        <v>0</v>
      </c>
      <c r="AD2169">
        <v>0</v>
      </c>
    </row>
    <row r="2170" spans="1:30" x14ac:dyDescent="0.25">
      <c r="A2170">
        <v>41599</v>
      </c>
      <c r="B2170">
        <v>3336</v>
      </c>
      <c r="C2170">
        <v>1948</v>
      </c>
      <c r="D2170" t="s">
        <v>13</v>
      </c>
      <c r="E2170" t="s">
        <v>14</v>
      </c>
      <c r="F2170" t="s">
        <v>12</v>
      </c>
      <c r="G2170">
        <v>66375</v>
      </c>
      <c r="H2170">
        <v>1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f>SUM(Table1[[#This Row],[Gold Spending]]+Table1[[#This Row],[Sweet Spending]]+Table1[[#This Row],[Fish Spending]]+Table1[[#This Row],[Meat Spending]]+Table1[[#This Row],[Fruits Spending]]+Table1[[#This Row],[Wine Spending ]])</f>
        <v>948</v>
      </c>
      <c r="Q2170">
        <v>3</v>
      </c>
      <c r="R2170">
        <v>2</v>
      </c>
      <c r="S2170">
        <v>4</v>
      </c>
      <c r="T2170">
        <v>5</v>
      </c>
      <c r="U2170">
        <f>SUM(Table1[[#This Row],[Store_Purchases]]+Table1[[#This Row],[Catalog_Purchases]]+Table1[[#This Row],[Web_Purchases]]+Table1[[#This Row],[Deal_Purchases]])</f>
        <v>14</v>
      </c>
      <c r="V2170">
        <v>7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f>SUM(Table1[[#This Row],[Accepted_Campaign_2]]+Table1[[#This Row],[Accepted_Campaign_1]]+Table1[[#This Row],[Accepted_Campaign_5]]+Table1[[#This Row],[Accepted_Campaign_4]]+Table1[[#This Row],[Accepted_Campaign_3]])</f>
        <v>1</v>
      </c>
      <c r="AC2170">
        <v>0</v>
      </c>
      <c r="AD2170">
        <v>0</v>
      </c>
    </row>
    <row r="2171" spans="1:30" x14ac:dyDescent="0.25">
      <c r="A2171">
        <v>41559</v>
      </c>
      <c r="B2171">
        <v>5644</v>
      </c>
      <c r="C2171">
        <v>1957</v>
      </c>
      <c r="D2171" t="s">
        <v>8</v>
      </c>
      <c r="E2171" t="s">
        <v>6</v>
      </c>
      <c r="F2171" t="s">
        <v>12</v>
      </c>
      <c r="G2171">
        <v>42213</v>
      </c>
      <c r="H2171">
        <v>1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f>SUM(Table1[[#This Row],[Gold Spending]]+Table1[[#This Row],[Sweet Spending]]+Table1[[#This Row],[Fish Spending]]+Table1[[#This Row],[Meat Spending]]+Table1[[#This Row],[Fruits Spending]]+Table1[[#This Row],[Wine Spending ]])</f>
        <v>363</v>
      </c>
      <c r="Q2171">
        <v>2</v>
      </c>
      <c r="R2171">
        <v>5</v>
      </c>
      <c r="S2171">
        <v>1</v>
      </c>
      <c r="T2171">
        <v>7</v>
      </c>
      <c r="U2171">
        <f>SUM(Table1[[#This Row],[Store_Purchases]]+Table1[[#This Row],[Catalog_Purchases]]+Table1[[#This Row],[Web_Purchases]]+Table1[[#This Row],[Deal_Purchases]])</f>
        <v>15</v>
      </c>
      <c r="V2171">
        <v>7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f>SUM(Table1[[#This Row],[Accepted_Campaign_2]]+Table1[[#This Row],[Accepted_Campaign_1]]+Table1[[#This Row],[Accepted_Campaign_5]]+Table1[[#This Row],[Accepted_Campaign_4]]+Table1[[#This Row],[Accepted_Campaign_3]])</f>
        <v>1</v>
      </c>
      <c r="AC2171">
        <v>0</v>
      </c>
      <c r="AD2171">
        <v>0</v>
      </c>
    </row>
    <row r="2172" spans="1:30" x14ac:dyDescent="0.25">
      <c r="A2172">
        <v>41497</v>
      </c>
      <c r="B2172">
        <v>1295</v>
      </c>
      <c r="C2172">
        <v>1963</v>
      </c>
      <c r="D2172" t="s">
        <v>10</v>
      </c>
      <c r="E2172" t="s">
        <v>6</v>
      </c>
      <c r="F2172" t="s">
        <v>11</v>
      </c>
      <c r="G2172">
        <v>53790.45</v>
      </c>
      <c r="H2172">
        <v>1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f>SUM(Table1[[#This Row],[Gold Spending]]+Table1[[#This Row],[Sweet Spending]]+Table1[[#This Row],[Fish Spending]]+Table1[[#This Row],[Meat Spending]]+Table1[[#This Row],[Fruits Spending]]+Table1[[#This Row],[Wine Spending ]])</f>
        <v>725</v>
      </c>
      <c r="Q2172">
        <v>1</v>
      </c>
      <c r="R2172">
        <v>6</v>
      </c>
      <c r="S2172">
        <v>5</v>
      </c>
      <c r="T2172">
        <v>7</v>
      </c>
      <c r="U2172">
        <f>SUM(Table1[[#This Row],[Store_Purchases]]+Table1[[#This Row],[Catalog_Purchases]]+Table1[[#This Row],[Web_Purchases]]+Table1[[#This Row],[Deal_Purchases]])</f>
        <v>19</v>
      </c>
      <c r="V2172">
        <v>4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f>SUM(Table1[[#This Row],[Accepted_Campaign_2]]+Table1[[#This Row],[Accepted_Campaign_1]]+Table1[[#This Row],[Accepted_Campaign_5]]+Table1[[#This Row],[Accepted_Campaign_4]]+Table1[[#This Row],[Accepted_Campaign_3]])</f>
        <v>0</v>
      </c>
      <c r="AC2172">
        <v>0</v>
      </c>
      <c r="AD2172">
        <v>0</v>
      </c>
    </row>
    <row r="2173" spans="1:30" x14ac:dyDescent="0.25">
      <c r="A2173">
        <v>41463</v>
      </c>
      <c r="B2173">
        <v>6663</v>
      </c>
      <c r="C2173">
        <v>1940</v>
      </c>
      <c r="D2173" t="s">
        <v>8</v>
      </c>
      <c r="E2173" t="s">
        <v>14</v>
      </c>
      <c r="F2173" t="s">
        <v>9</v>
      </c>
      <c r="G2173">
        <v>51141</v>
      </c>
      <c r="H2173">
        <v>0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f>SUM(Table1[[#This Row],[Gold Spending]]+Table1[[#This Row],[Sweet Spending]]+Table1[[#This Row],[Fish Spending]]+Table1[[#This Row],[Meat Spending]]+Table1[[#This Row],[Fruits Spending]]+Table1[[#This Row],[Wine Spending ]])</f>
        <v>157</v>
      </c>
      <c r="Q2173">
        <v>1</v>
      </c>
      <c r="R2173">
        <v>3</v>
      </c>
      <c r="S2173">
        <v>1</v>
      </c>
      <c r="T2173">
        <v>4</v>
      </c>
      <c r="U2173">
        <f>SUM(Table1[[#This Row],[Store_Purchases]]+Table1[[#This Row],[Catalog_Purchases]]+Table1[[#This Row],[Web_Purchases]]+Table1[[#This Row],[Deal_Purchases]])</f>
        <v>9</v>
      </c>
      <c r="V2173">
        <v>5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f>SUM(Table1[[#This Row],[Accepted_Campaign_2]]+Table1[[#This Row],[Accepted_Campaign_1]]+Table1[[#This Row],[Accepted_Campaign_5]]+Table1[[#This Row],[Accepted_Campaign_4]]+Table1[[#This Row],[Accepted_Campaign_3]])</f>
        <v>0</v>
      </c>
      <c r="AC2173">
        <v>0</v>
      </c>
      <c r="AD2173">
        <v>0</v>
      </c>
    </row>
    <row r="2174" spans="1:30" x14ac:dyDescent="0.25">
      <c r="A2174">
        <v>41404</v>
      </c>
      <c r="B2174">
        <v>10262</v>
      </c>
      <c r="C2174">
        <v>1980</v>
      </c>
      <c r="D2174" t="s">
        <v>17</v>
      </c>
      <c r="E2174" t="s">
        <v>6</v>
      </c>
      <c r="F2174" t="s">
        <v>11</v>
      </c>
      <c r="G2174">
        <v>15072</v>
      </c>
      <c r="H2174">
        <v>2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f>SUM(Table1[[#This Row],[Gold Spending]]+Table1[[#This Row],[Sweet Spending]]+Table1[[#This Row],[Fish Spending]]+Table1[[#This Row],[Meat Spending]]+Table1[[#This Row],[Fruits Spending]]+Table1[[#This Row],[Wine Spending ]])</f>
        <v>53</v>
      </c>
      <c r="Q2174">
        <v>4</v>
      </c>
      <c r="R2174">
        <v>3</v>
      </c>
      <c r="S2174">
        <v>1</v>
      </c>
      <c r="T2174">
        <v>3</v>
      </c>
      <c r="U2174">
        <f>SUM(Table1[[#This Row],[Store_Purchases]]+Table1[[#This Row],[Catalog_Purchases]]+Table1[[#This Row],[Web_Purchases]]+Table1[[#This Row],[Deal_Purchases]])</f>
        <v>11</v>
      </c>
      <c r="V2174">
        <v>5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f>SUM(Table1[[#This Row],[Accepted_Campaign_2]]+Table1[[#This Row],[Accepted_Campaign_1]]+Table1[[#This Row],[Accepted_Campaign_5]]+Table1[[#This Row],[Accepted_Campaign_4]]+Table1[[#This Row],[Accepted_Campaign_3]])</f>
        <v>0</v>
      </c>
      <c r="AC2174">
        <v>0</v>
      </c>
      <c r="AD2174">
        <v>0</v>
      </c>
    </row>
    <row r="2175" spans="1:30" x14ac:dyDescent="0.25">
      <c r="A2175">
        <v>41312</v>
      </c>
      <c r="B2175">
        <v>456</v>
      </c>
      <c r="C2175">
        <v>1986</v>
      </c>
      <c r="D2175" t="s">
        <v>8</v>
      </c>
      <c r="E2175" t="s">
        <v>15</v>
      </c>
      <c r="F2175" t="s">
        <v>11</v>
      </c>
      <c r="G2175">
        <v>7500</v>
      </c>
      <c r="H2175">
        <v>1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f>SUM(Table1[[#This Row],[Gold Spending]]+Table1[[#This Row],[Sweet Spending]]+Table1[[#This Row],[Fish Spending]]+Table1[[#This Row],[Meat Spending]]+Table1[[#This Row],[Fruits Spending]]+Table1[[#This Row],[Wine Spending ]])</f>
        <v>36</v>
      </c>
      <c r="Q2175">
        <v>2</v>
      </c>
      <c r="R2175">
        <v>2</v>
      </c>
      <c r="S2175">
        <v>0</v>
      </c>
      <c r="T2175">
        <v>3</v>
      </c>
      <c r="U2175">
        <f>SUM(Table1[[#This Row],[Store_Purchases]]+Table1[[#This Row],[Catalog_Purchases]]+Table1[[#This Row],[Web_Purchases]]+Table1[[#This Row],[Deal_Purchases]])</f>
        <v>7</v>
      </c>
      <c r="V2175">
        <v>8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f>SUM(Table1[[#This Row],[Accepted_Campaign_2]]+Table1[[#This Row],[Accepted_Campaign_1]]+Table1[[#This Row],[Accepted_Campaign_5]]+Table1[[#This Row],[Accepted_Campaign_4]]+Table1[[#This Row],[Accepted_Campaign_3]])</f>
        <v>0</v>
      </c>
      <c r="AC2175">
        <v>0</v>
      </c>
      <c r="AD2175">
        <v>0</v>
      </c>
    </row>
    <row r="2176" spans="1:30" x14ac:dyDescent="0.25">
      <c r="A2176">
        <v>41291</v>
      </c>
      <c r="B2176">
        <v>3270</v>
      </c>
      <c r="C2176">
        <v>1978</v>
      </c>
      <c r="D2176" t="s">
        <v>20</v>
      </c>
      <c r="E2176" t="s">
        <v>15</v>
      </c>
      <c r="F2176" t="s">
        <v>12</v>
      </c>
      <c r="G2176">
        <v>17117</v>
      </c>
      <c r="H2176">
        <v>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f>SUM(Table1[[#This Row],[Gold Spending]]+Table1[[#This Row],[Sweet Spending]]+Table1[[#This Row],[Fish Spending]]+Table1[[#This Row],[Meat Spending]]+Table1[[#This Row],[Fruits Spending]]+Table1[[#This Row],[Wine Spending ]])</f>
        <v>128</v>
      </c>
      <c r="Q2176">
        <v>4</v>
      </c>
      <c r="R2176">
        <v>3</v>
      </c>
      <c r="S2176">
        <v>1</v>
      </c>
      <c r="T2176">
        <v>3</v>
      </c>
      <c r="U2176">
        <f>SUM(Table1[[#This Row],[Store_Purchases]]+Table1[[#This Row],[Catalog_Purchases]]+Table1[[#This Row],[Web_Purchases]]+Table1[[#This Row],[Deal_Purchases]])</f>
        <v>11</v>
      </c>
      <c r="V2176">
        <v>9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f>SUM(Table1[[#This Row],[Accepted_Campaign_2]]+Table1[[#This Row],[Accepted_Campaign_1]]+Table1[[#This Row],[Accepted_Campaign_5]]+Table1[[#This Row],[Accepted_Campaign_4]]+Table1[[#This Row],[Accepted_Campaign_3]])</f>
        <v>0</v>
      </c>
      <c r="AC2176">
        <v>0</v>
      </c>
      <c r="AD2176">
        <v>0</v>
      </c>
    </row>
    <row r="2177" spans="1:30" x14ac:dyDescent="0.25">
      <c r="A2177">
        <v>41244</v>
      </c>
      <c r="B2177">
        <v>5748</v>
      </c>
      <c r="C2177">
        <v>1965</v>
      </c>
      <c r="D2177" t="s">
        <v>20</v>
      </c>
      <c r="E2177" t="s">
        <v>6</v>
      </c>
      <c r="F2177" t="s">
        <v>11</v>
      </c>
      <c r="G2177">
        <v>59754</v>
      </c>
      <c r="H2177">
        <v>1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f>SUM(Table1[[#This Row],[Gold Spending]]+Table1[[#This Row],[Sweet Spending]]+Table1[[#This Row],[Fish Spending]]+Table1[[#This Row],[Meat Spending]]+Table1[[#This Row],[Fruits Spending]]+Table1[[#This Row],[Wine Spending ]])</f>
        <v>475</v>
      </c>
      <c r="Q2177">
        <v>3</v>
      </c>
      <c r="R2177">
        <v>5</v>
      </c>
      <c r="S2177">
        <v>2</v>
      </c>
      <c r="T2177">
        <v>6</v>
      </c>
      <c r="U2177">
        <f>SUM(Table1[[#This Row],[Store_Purchases]]+Table1[[#This Row],[Catalog_Purchases]]+Table1[[#This Row],[Web_Purchases]]+Table1[[#This Row],[Deal_Purchases]])</f>
        <v>16</v>
      </c>
      <c r="V2177">
        <v>5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f>SUM(Table1[[#This Row],[Accepted_Campaign_2]]+Table1[[#This Row],[Accepted_Campaign_1]]+Table1[[#This Row],[Accepted_Campaign_5]]+Table1[[#This Row],[Accepted_Campaign_4]]+Table1[[#This Row],[Accepted_Campaign_3]])</f>
        <v>0</v>
      </c>
      <c r="AC2177">
        <v>1</v>
      </c>
      <c r="AD2177">
        <v>0</v>
      </c>
    </row>
    <row r="2178" spans="1:30" x14ac:dyDescent="0.25">
      <c r="A2178">
        <v>41218</v>
      </c>
      <c r="B2178">
        <v>8952</v>
      </c>
      <c r="C2178">
        <v>1953</v>
      </c>
      <c r="D2178" t="s">
        <v>8</v>
      </c>
      <c r="E2178" t="s">
        <v>18</v>
      </c>
      <c r="F2178" t="s">
        <v>11</v>
      </c>
      <c r="G2178">
        <v>65569</v>
      </c>
      <c r="H2178">
        <v>1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f>SUM(Table1[[#This Row],[Gold Spending]]+Table1[[#This Row],[Sweet Spending]]+Table1[[#This Row],[Fish Spending]]+Table1[[#This Row],[Meat Spending]]+Table1[[#This Row],[Fruits Spending]]+Table1[[#This Row],[Wine Spending ]])</f>
        <v>859</v>
      </c>
      <c r="Q2178">
        <v>2</v>
      </c>
      <c r="R2178">
        <v>6</v>
      </c>
      <c r="S2178">
        <v>5</v>
      </c>
      <c r="T2178">
        <v>10</v>
      </c>
      <c r="U2178">
        <f>SUM(Table1[[#This Row],[Store_Purchases]]+Table1[[#This Row],[Catalog_Purchases]]+Table1[[#This Row],[Web_Purchases]]+Table1[[#This Row],[Deal_Purchases]])</f>
        <v>23</v>
      </c>
      <c r="V2178">
        <v>3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f>SUM(Table1[[#This Row],[Accepted_Campaign_2]]+Table1[[#This Row],[Accepted_Campaign_1]]+Table1[[#This Row],[Accepted_Campaign_5]]+Table1[[#This Row],[Accepted_Campaign_4]]+Table1[[#This Row],[Accepted_Campaign_3]])</f>
        <v>0</v>
      </c>
      <c r="AC2178">
        <v>0</v>
      </c>
      <c r="AD2178">
        <v>0</v>
      </c>
    </row>
    <row r="2179" spans="1:30" x14ac:dyDescent="0.25">
      <c r="A2179">
        <v>41210</v>
      </c>
      <c r="B2179">
        <v>3921</v>
      </c>
      <c r="C2179">
        <v>1952</v>
      </c>
      <c r="D2179" t="s">
        <v>8</v>
      </c>
      <c r="E2179" t="s">
        <v>15</v>
      </c>
      <c r="F2179" t="s">
        <v>19</v>
      </c>
      <c r="G2179">
        <v>28457</v>
      </c>
      <c r="H2179">
        <v>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f>SUM(Table1[[#This Row],[Gold Spending]]+Table1[[#This Row],[Sweet Spending]]+Table1[[#This Row],[Fish Spending]]+Table1[[#This Row],[Meat Spending]]+Table1[[#This Row],[Fruits Spending]]+Table1[[#This Row],[Wine Spending ]])</f>
        <v>205</v>
      </c>
      <c r="Q2179">
        <v>1</v>
      </c>
      <c r="R2179">
        <v>4</v>
      </c>
      <c r="S2179">
        <v>1</v>
      </c>
      <c r="T2179">
        <v>4</v>
      </c>
      <c r="U2179">
        <f>SUM(Table1[[#This Row],[Store_Purchases]]+Table1[[#This Row],[Catalog_Purchases]]+Table1[[#This Row],[Web_Purchases]]+Table1[[#This Row],[Deal_Purchases]])</f>
        <v>10</v>
      </c>
      <c r="V2179">
        <v>8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f>SUM(Table1[[#This Row],[Accepted_Campaign_2]]+Table1[[#This Row],[Accepted_Campaign_1]]+Table1[[#This Row],[Accepted_Campaign_5]]+Table1[[#This Row],[Accepted_Campaign_4]]+Table1[[#This Row],[Accepted_Campaign_3]])</f>
        <v>0</v>
      </c>
      <c r="AC2179">
        <v>0</v>
      </c>
      <c r="AD2179">
        <v>0</v>
      </c>
    </row>
    <row r="2180" spans="1:30" x14ac:dyDescent="0.25">
      <c r="A2180">
        <v>41164</v>
      </c>
      <c r="B2180">
        <v>9826</v>
      </c>
      <c r="C2180">
        <v>1972</v>
      </c>
      <c r="D2180" t="s">
        <v>63</v>
      </c>
      <c r="E2180" t="s">
        <v>14</v>
      </c>
      <c r="F2180" t="s">
        <v>9</v>
      </c>
      <c r="G2180">
        <v>86857</v>
      </c>
      <c r="H2180">
        <v>0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f>SUM(Table1[[#This Row],[Gold Spending]]+Table1[[#This Row],[Sweet Spending]]+Table1[[#This Row],[Fish Spending]]+Table1[[#This Row],[Meat Spending]]+Table1[[#This Row],[Fruits Spending]]+Table1[[#This Row],[Wine Spending ]])</f>
        <v>2114</v>
      </c>
      <c r="Q2180">
        <v>1</v>
      </c>
      <c r="R2180">
        <v>5</v>
      </c>
      <c r="S2180">
        <v>6</v>
      </c>
      <c r="T2180">
        <v>10</v>
      </c>
      <c r="U2180">
        <f>SUM(Table1[[#This Row],[Store_Purchases]]+Table1[[#This Row],[Catalog_Purchases]]+Table1[[#This Row],[Web_Purchases]]+Table1[[#This Row],[Deal_Purchases]])</f>
        <v>22</v>
      </c>
      <c r="V2180">
        <v>2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f>SUM(Table1[[#This Row],[Accepted_Campaign_2]]+Table1[[#This Row],[Accepted_Campaign_1]]+Table1[[#This Row],[Accepted_Campaign_5]]+Table1[[#This Row],[Accepted_Campaign_4]]+Table1[[#This Row],[Accepted_Campaign_3]])</f>
        <v>0</v>
      </c>
      <c r="AC2180">
        <v>1</v>
      </c>
      <c r="AD2180">
        <v>0</v>
      </c>
    </row>
    <row r="2181" spans="1:30" x14ac:dyDescent="0.25">
      <c r="A2181">
        <v>41164</v>
      </c>
      <c r="B2181">
        <v>5830</v>
      </c>
      <c r="C2181">
        <v>1972</v>
      </c>
      <c r="D2181" t="s">
        <v>20</v>
      </c>
      <c r="E2181" t="s">
        <v>14</v>
      </c>
      <c r="F2181" t="s">
        <v>9</v>
      </c>
      <c r="G2181">
        <v>86857</v>
      </c>
      <c r="H2181">
        <v>0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f>SUM(Table1[[#This Row],[Gold Spending]]+Table1[[#This Row],[Sweet Spending]]+Table1[[#This Row],[Fish Spending]]+Table1[[#This Row],[Meat Spending]]+Table1[[#This Row],[Fruits Spending]]+Table1[[#This Row],[Wine Spending ]])</f>
        <v>2114</v>
      </c>
      <c r="Q2181">
        <v>1</v>
      </c>
      <c r="R2181">
        <v>5</v>
      </c>
      <c r="S2181">
        <v>6</v>
      </c>
      <c r="T2181">
        <v>10</v>
      </c>
      <c r="U2181">
        <f>SUM(Table1[[#This Row],[Store_Purchases]]+Table1[[#This Row],[Catalog_Purchases]]+Table1[[#This Row],[Web_Purchases]]+Table1[[#This Row],[Deal_Purchases]])</f>
        <v>22</v>
      </c>
      <c r="V2181">
        <v>2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f>SUM(Table1[[#This Row],[Accepted_Campaign_2]]+Table1[[#This Row],[Accepted_Campaign_1]]+Table1[[#This Row],[Accepted_Campaign_5]]+Table1[[#This Row],[Accepted_Campaign_4]]+Table1[[#This Row],[Accepted_Campaign_3]])</f>
        <v>0</v>
      </c>
      <c r="AC2181">
        <v>1</v>
      </c>
      <c r="AD2181">
        <v>0</v>
      </c>
    </row>
    <row r="2182" spans="1:30" x14ac:dyDescent="0.25">
      <c r="A2182">
        <v>41150</v>
      </c>
      <c r="B2182">
        <v>8310</v>
      </c>
      <c r="C2182">
        <v>1964</v>
      </c>
      <c r="D2182" t="s">
        <v>8</v>
      </c>
      <c r="E2182" t="s">
        <v>6</v>
      </c>
      <c r="F2182" t="s">
        <v>12</v>
      </c>
      <c r="G2182">
        <v>68142</v>
      </c>
      <c r="H2182">
        <v>1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f>SUM(Table1[[#This Row],[Gold Spending]]+Table1[[#This Row],[Sweet Spending]]+Table1[[#This Row],[Fish Spending]]+Table1[[#This Row],[Meat Spending]]+Table1[[#This Row],[Fruits Spending]]+Table1[[#This Row],[Wine Spending ]])</f>
        <v>1459</v>
      </c>
      <c r="Q2182">
        <v>3</v>
      </c>
      <c r="R2182">
        <v>10</v>
      </c>
      <c r="S2182">
        <v>4</v>
      </c>
      <c r="T2182">
        <v>7</v>
      </c>
      <c r="U2182">
        <f>SUM(Table1[[#This Row],[Store_Purchases]]+Table1[[#This Row],[Catalog_Purchases]]+Table1[[#This Row],[Web_Purchases]]+Table1[[#This Row],[Deal_Purchases]])</f>
        <v>24</v>
      </c>
      <c r="V2182">
        <v>6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f>SUM(Table1[[#This Row],[Accepted_Campaign_2]]+Table1[[#This Row],[Accepted_Campaign_1]]+Table1[[#This Row],[Accepted_Campaign_5]]+Table1[[#This Row],[Accepted_Campaign_4]]+Table1[[#This Row],[Accepted_Campaign_3]])</f>
        <v>0</v>
      </c>
      <c r="AC2182">
        <v>0</v>
      </c>
      <c r="AD2182">
        <v>0</v>
      </c>
    </row>
    <row r="2183" spans="1:30" x14ac:dyDescent="0.25">
      <c r="A2183">
        <v>41816</v>
      </c>
      <c r="B2183">
        <v>6382</v>
      </c>
      <c r="C2183">
        <v>1953</v>
      </c>
      <c r="D2183" t="s">
        <v>63</v>
      </c>
      <c r="E2183" t="s">
        <v>6</v>
      </c>
      <c r="F2183" t="s">
        <v>12</v>
      </c>
      <c r="G2183">
        <v>48794</v>
      </c>
      <c r="H2183">
        <v>2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f>SUM(Table1[[#This Row],[Gold Spending]]+Table1[[#This Row],[Sweet Spending]]+Table1[[#This Row],[Fish Spending]]+Table1[[#This Row],[Meat Spending]]+Table1[[#This Row],[Fruits Spending]]+Table1[[#This Row],[Wine Spending ]])</f>
        <v>54</v>
      </c>
      <c r="Q2183">
        <v>1</v>
      </c>
      <c r="R2183">
        <v>1</v>
      </c>
      <c r="S2183">
        <v>0</v>
      </c>
      <c r="T2183">
        <v>3</v>
      </c>
      <c r="U2183">
        <f>SUM(Table1[[#This Row],[Store_Purchases]]+Table1[[#This Row],[Catalog_Purchases]]+Table1[[#This Row],[Web_Purchases]]+Table1[[#This Row],[Deal_Purchases]])</f>
        <v>5</v>
      </c>
      <c r="V2183">
        <v>4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f>SUM(Table1[[#This Row],[Accepted_Campaign_2]]+Table1[[#This Row],[Accepted_Campaign_1]]+Table1[[#This Row],[Accepted_Campaign_5]]+Table1[[#This Row],[Accepted_Campaign_4]]+Table1[[#This Row],[Accepted_Campaign_3]])</f>
        <v>0</v>
      </c>
      <c r="AC2183">
        <v>0</v>
      </c>
      <c r="AD2183">
        <v>0</v>
      </c>
    </row>
    <row r="2184" spans="1:30" x14ac:dyDescent="0.25">
      <c r="A2184">
        <v>41796</v>
      </c>
      <c r="B2184">
        <v>8439</v>
      </c>
      <c r="C2184">
        <v>1964</v>
      </c>
      <c r="D2184" t="s">
        <v>8</v>
      </c>
      <c r="E2184" t="s">
        <v>6</v>
      </c>
      <c r="F2184" t="s">
        <v>12</v>
      </c>
      <c r="G2184">
        <v>63404</v>
      </c>
      <c r="H2184">
        <v>2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f>SUM(Table1[[#This Row],[Gold Spending]]+Table1[[#This Row],[Sweet Spending]]+Table1[[#This Row],[Fish Spending]]+Table1[[#This Row],[Meat Spending]]+Table1[[#This Row],[Fruits Spending]]+Table1[[#This Row],[Wine Spending ]])</f>
        <v>902</v>
      </c>
      <c r="Q2184">
        <v>2</v>
      </c>
      <c r="R2184">
        <v>6</v>
      </c>
      <c r="S2184">
        <v>3</v>
      </c>
      <c r="T2184">
        <v>4</v>
      </c>
      <c r="U2184">
        <f>SUM(Table1[[#This Row],[Store_Purchases]]+Table1[[#This Row],[Catalog_Purchases]]+Table1[[#This Row],[Web_Purchases]]+Table1[[#This Row],[Deal_Purchases]])</f>
        <v>15</v>
      </c>
      <c r="V2184">
        <v>4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f>SUM(Table1[[#This Row],[Accepted_Campaign_2]]+Table1[[#This Row],[Accepted_Campaign_1]]+Table1[[#This Row],[Accepted_Campaign_5]]+Table1[[#This Row],[Accepted_Campaign_4]]+Table1[[#This Row],[Accepted_Campaign_3]])</f>
        <v>1</v>
      </c>
      <c r="AC2184">
        <v>0</v>
      </c>
      <c r="AD2184">
        <v>0</v>
      </c>
    </row>
    <row r="2185" spans="1:30" x14ac:dyDescent="0.25">
      <c r="A2185">
        <v>41783</v>
      </c>
      <c r="B2185">
        <v>7613</v>
      </c>
      <c r="C2185">
        <v>1974</v>
      </c>
      <c r="D2185" t="s">
        <v>8</v>
      </c>
      <c r="E2185" t="s">
        <v>15</v>
      </c>
      <c r="F2185" t="s">
        <v>12</v>
      </c>
      <c r="G2185">
        <v>49669</v>
      </c>
      <c r="H2185">
        <v>1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f>SUM(Table1[[#This Row],[Gold Spending]]+Table1[[#This Row],[Sweet Spending]]+Table1[[#This Row],[Fish Spending]]+Table1[[#This Row],[Meat Spending]]+Table1[[#This Row],[Fruits Spending]]+Table1[[#This Row],[Wine Spending ]])</f>
        <v>326</v>
      </c>
      <c r="Q2185">
        <v>2</v>
      </c>
      <c r="R2185">
        <v>5</v>
      </c>
      <c r="S2185">
        <v>1</v>
      </c>
      <c r="T2185">
        <v>6</v>
      </c>
      <c r="U2185">
        <f>SUM(Table1[[#This Row],[Store_Purchases]]+Table1[[#This Row],[Catalog_Purchases]]+Table1[[#This Row],[Web_Purchases]]+Table1[[#This Row],[Deal_Purchases]])</f>
        <v>14</v>
      </c>
      <c r="V2185">
        <v>6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f>SUM(Table1[[#This Row],[Accepted_Campaign_2]]+Table1[[#This Row],[Accepted_Campaign_1]]+Table1[[#This Row],[Accepted_Campaign_5]]+Table1[[#This Row],[Accepted_Campaign_4]]+Table1[[#This Row],[Accepted_Campaign_3]])</f>
        <v>0</v>
      </c>
      <c r="AC2185">
        <v>0</v>
      </c>
      <c r="AD2185">
        <v>0</v>
      </c>
    </row>
    <row r="2186" spans="1:30" x14ac:dyDescent="0.25">
      <c r="A2186">
        <v>41753</v>
      </c>
      <c r="B2186">
        <v>48</v>
      </c>
      <c r="C2186">
        <v>1964</v>
      </c>
      <c r="D2186" t="s">
        <v>8</v>
      </c>
      <c r="E2186" t="s">
        <v>6</v>
      </c>
      <c r="F2186" t="s">
        <v>12</v>
      </c>
      <c r="G2186">
        <v>55761</v>
      </c>
      <c r="H2186">
        <v>1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f>SUM(Table1[[#This Row],[Gold Spending]]+Table1[[#This Row],[Sweet Spending]]+Table1[[#This Row],[Fish Spending]]+Table1[[#This Row],[Meat Spending]]+Table1[[#This Row],[Fruits Spending]]+Table1[[#This Row],[Wine Spending ]])</f>
        <v>184</v>
      </c>
      <c r="Q2186">
        <v>2</v>
      </c>
      <c r="R2186">
        <v>4</v>
      </c>
      <c r="S2186">
        <v>1</v>
      </c>
      <c r="T2186">
        <v>3</v>
      </c>
      <c r="U2186">
        <f>SUM(Table1[[#This Row],[Store_Purchases]]+Table1[[#This Row],[Catalog_Purchases]]+Table1[[#This Row],[Web_Purchases]]+Table1[[#This Row],[Deal_Purchases]])</f>
        <v>10</v>
      </c>
      <c r="V2186">
        <v>6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f>SUM(Table1[[#This Row],[Accepted_Campaign_2]]+Table1[[#This Row],[Accepted_Campaign_1]]+Table1[[#This Row],[Accepted_Campaign_5]]+Table1[[#This Row],[Accepted_Campaign_4]]+Table1[[#This Row],[Accepted_Campaign_3]])</f>
        <v>1</v>
      </c>
      <c r="AC2186">
        <v>0</v>
      </c>
      <c r="AD2186">
        <v>0</v>
      </c>
    </row>
    <row r="2187" spans="1:30" x14ac:dyDescent="0.25">
      <c r="A2187">
        <v>41662</v>
      </c>
      <c r="B2187">
        <v>5046</v>
      </c>
      <c r="C2187">
        <v>1958</v>
      </c>
      <c r="D2187" t="s">
        <v>20</v>
      </c>
      <c r="E2187" t="s">
        <v>6</v>
      </c>
      <c r="F2187" t="s">
        <v>7</v>
      </c>
      <c r="G2187">
        <v>78331</v>
      </c>
      <c r="H2187">
        <v>1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f>SUM(Table1[[#This Row],[Gold Spending]]+Table1[[#This Row],[Sweet Spending]]+Table1[[#This Row],[Fish Spending]]+Table1[[#This Row],[Meat Spending]]+Table1[[#This Row],[Fruits Spending]]+Table1[[#This Row],[Wine Spending ]])</f>
        <v>1638</v>
      </c>
      <c r="Q2187">
        <v>2</v>
      </c>
      <c r="R2187">
        <v>10</v>
      </c>
      <c r="S2187">
        <v>6</v>
      </c>
      <c r="T2187">
        <v>7</v>
      </c>
      <c r="U2187">
        <f>SUM(Table1[[#This Row],[Store_Purchases]]+Table1[[#This Row],[Catalog_Purchases]]+Table1[[#This Row],[Web_Purchases]]+Table1[[#This Row],[Deal_Purchases]])</f>
        <v>25</v>
      </c>
      <c r="V2187">
        <v>4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f>SUM(Table1[[#This Row],[Accepted_Campaign_2]]+Table1[[#This Row],[Accepted_Campaign_1]]+Table1[[#This Row],[Accepted_Campaign_5]]+Table1[[#This Row],[Accepted_Campaign_4]]+Table1[[#This Row],[Accepted_Campaign_3]])</f>
        <v>0</v>
      </c>
      <c r="AC2187">
        <v>0</v>
      </c>
      <c r="AD2187">
        <v>0</v>
      </c>
    </row>
    <row r="2188" spans="1:30" x14ac:dyDescent="0.25">
      <c r="A2188">
        <v>41603</v>
      </c>
      <c r="B2188">
        <v>3231</v>
      </c>
      <c r="C2188">
        <v>1973</v>
      </c>
      <c r="D2188" t="s">
        <v>63</v>
      </c>
      <c r="E2188" t="s">
        <v>6</v>
      </c>
      <c r="F2188" t="s">
        <v>11</v>
      </c>
      <c r="G2188">
        <v>37971</v>
      </c>
      <c r="H2188">
        <v>1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f>SUM(Table1[[#This Row],[Gold Spending]]+Table1[[#This Row],[Sweet Spending]]+Table1[[#This Row],[Fish Spending]]+Table1[[#This Row],[Meat Spending]]+Table1[[#This Row],[Fruits Spending]]+Table1[[#This Row],[Wine Spending ]])</f>
        <v>30</v>
      </c>
      <c r="Q2188">
        <v>1</v>
      </c>
      <c r="R2188">
        <v>1</v>
      </c>
      <c r="S2188">
        <v>0</v>
      </c>
      <c r="T2188">
        <v>3</v>
      </c>
      <c r="U2188">
        <f>SUM(Table1[[#This Row],[Store_Purchases]]+Table1[[#This Row],[Catalog_Purchases]]+Table1[[#This Row],[Web_Purchases]]+Table1[[#This Row],[Deal_Purchases]])</f>
        <v>5</v>
      </c>
      <c r="V2188">
        <v>8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f>SUM(Table1[[#This Row],[Accepted_Campaign_2]]+Table1[[#This Row],[Accepted_Campaign_1]]+Table1[[#This Row],[Accepted_Campaign_5]]+Table1[[#This Row],[Accepted_Campaign_4]]+Table1[[#This Row],[Accepted_Campaign_3]])</f>
        <v>0</v>
      </c>
      <c r="AC2188">
        <v>0</v>
      </c>
      <c r="AD2188">
        <v>0</v>
      </c>
    </row>
    <row r="2189" spans="1:30" x14ac:dyDescent="0.25">
      <c r="A2189">
        <v>41585</v>
      </c>
      <c r="B2189">
        <v>7181</v>
      </c>
      <c r="C2189">
        <v>1977</v>
      </c>
      <c r="D2189" t="s">
        <v>8</v>
      </c>
      <c r="E2189" t="s">
        <v>6</v>
      </c>
      <c r="F2189" t="s">
        <v>11</v>
      </c>
      <c r="G2189">
        <v>30368</v>
      </c>
      <c r="H2189">
        <v>1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f>SUM(Table1[[#This Row],[Gold Spending]]+Table1[[#This Row],[Sweet Spending]]+Table1[[#This Row],[Fish Spending]]+Table1[[#This Row],[Meat Spending]]+Table1[[#This Row],[Fruits Spending]]+Table1[[#This Row],[Wine Spending ]])</f>
        <v>52</v>
      </c>
      <c r="Q2189">
        <v>2</v>
      </c>
      <c r="R2189">
        <v>2</v>
      </c>
      <c r="S2189">
        <v>0</v>
      </c>
      <c r="T2189">
        <v>3</v>
      </c>
      <c r="U2189">
        <f>SUM(Table1[[#This Row],[Store_Purchases]]+Table1[[#This Row],[Catalog_Purchases]]+Table1[[#This Row],[Web_Purchases]]+Table1[[#This Row],[Deal_Purchases]])</f>
        <v>7</v>
      </c>
      <c r="V2189">
        <v>8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f>SUM(Table1[[#This Row],[Accepted_Campaign_2]]+Table1[[#This Row],[Accepted_Campaign_1]]+Table1[[#This Row],[Accepted_Campaign_5]]+Table1[[#This Row],[Accepted_Campaign_4]]+Table1[[#This Row],[Accepted_Campaign_3]])</f>
        <v>0</v>
      </c>
      <c r="AC2189">
        <v>0</v>
      </c>
      <c r="AD2189">
        <v>0</v>
      </c>
    </row>
    <row r="2190" spans="1:30" x14ac:dyDescent="0.25">
      <c r="A2190">
        <v>41572</v>
      </c>
      <c r="B2190">
        <v>1663</v>
      </c>
      <c r="C2190">
        <v>1978</v>
      </c>
      <c r="D2190" t="s">
        <v>8</v>
      </c>
      <c r="E2190" t="s">
        <v>14</v>
      </c>
      <c r="F2190" t="s">
        <v>12</v>
      </c>
      <c r="G2190">
        <v>34043</v>
      </c>
      <c r="H2190">
        <v>1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f>SUM(Table1[[#This Row],[Gold Spending]]+Table1[[#This Row],[Sweet Spending]]+Table1[[#This Row],[Fish Spending]]+Table1[[#This Row],[Meat Spending]]+Table1[[#This Row],[Fruits Spending]]+Table1[[#This Row],[Wine Spending ]])</f>
        <v>49</v>
      </c>
      <c r="Q2190">
        <v>1</v>
      </c>
      <c r="R2190">
        <v>2</v>
      </c>
      <c r="S2190">
        <v>0</v>
      </c>
      <c r="T2190">
        <v>2</v>
      </c>
      <c r="U2190">
        <f>SUM(Table1[[#This Row],[Store_Purchases]]+Table1[[#This Row],[Catalog_Purchases]]+Table1[[#This Row],[Web_Purchases]]+Table1[[#This Row],[Deal_Purchases]])</f>
        <v>5</v>
      </c>
      <c r="V2190">
        <v>9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f>SUM(Table1[[#This Row],[Accepted_Campaign_2]]+Table1[[#This Row],[Accepted_Campaign_1]]+Table1[[#This Row],[Accepted_Campaign_5]]+Table1[[#This Row],[Accepted_Campaign_4]]+Table1[[#This Row],[Accepted_Campaign_3]])</f>
        <v>0</v>
      </c>
      <c r="AC2190">
        <v>0</v>
      </c>
      <c r="AD2190">
        <v>0</v>
      </c>
    </row>
    <row r="2191" spans="1:30" x14ac:dyDescent="0.25">
      <c r="A2191">
        <v>41511</v>
      </c>
      <c r="B2191">
        <v>5441</v>
      </c>
      <c r="C2191">
        <v>1965</v>
      </c>
      <c r="D2191" t="s">
        <v>8</v>
      </c>
      <c r="E2191" t="s">
        <v>14</v>
      </c>
      <c r="F2191" t="s">
        <v>19</v>
      </c>
      <c r="G2191">
        <v>54111</v>
      </c>
      <c r="H2191">
        <v>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f>SUM(Table1[[#This Row],[Gold Spending]]+Table1[[#This Row],[Sweet Spending]]+Table1[[#This Row],[Fish Spending]]+Table1[[#This Row],[Meat Spending]]+Table1[[#This Row],[Fruits Spending]]+Table1[[#This Row],[Wine Spending ]])</f>
        <v>388</v>
      </c>
      <c r="Q2191">
        <v>2</v>
      </c>
      <c r="R2191">
        <v>5</v>
      </c>
      <c r="S2191">
        <v>2</v>
      </c>
      <c r="T2191">
        <v>6</v>
      </c>
      <c r="U2191">
        <f>SUM(Table1[[#This Row],[Store_Purchases]]+Table1[[#This Row],[Catalog_Purchases]]+Table1[[#This Row],[Web_Purchases]]+Table1[[#This Row],[Deal_Purchases]])</f>
        <v>15</v>
      </c>
      <c r="V2191">
        <v>5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f>SUM(Table1[[#This Row],[Accepted_Campaign_2]]+Table1[[#This Row],[Accepted_Campaign_1]]+Table1[[#This Row],[Accepted_Campaign_5]]+Table1[[#This Row],[Accepted_Campaign_4]]+Table1[[#This Row],[Accepted_Campaign_3]])</f>
        <v>0</v>
      </c>
      <c r="AC2191">
        <v>0</v>
      </c>
      <c r="AD2191">
        <v>0</v>
      </c>
    </row>
    <row r="2192" spans="1:30" x14ac:dyDescent="0.25">
      <c r="A2192">
        <v>41437</v>
      </c>
      <c r="B2192">
        <v>8602</v>
      </c>
      <c r="C2192">
        <v>1964</v>
      </c>
      <c r="D2192" t="s">
        <v>8</v>
      </c>
      <c r="E2192" t="s">
        <v>6</v>
      </c>
      <c r="F2192" t="s">
        <v>7</v>
      </c>
      <c r="G2192">
        <v>69932</v>
      </c>
      <c r="H2192">
        <v>1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f>SUM(Table1[[#This Row],[Gold Spending]]+Table1[[#This Row],[Sweet Spending]]+Table1[[#This Row],[Fish Spending]]+Table1[[#This Row],[Meat Spending]]+Table1[[#This Row],[Fruits Spending]]+Table1[[#This Row],[Wine Spending ]])</f>
        <v>1049</v>
      </c>
      <c r="Q2192">
        <v>2</v>
      </c>
      <c r="R2192">
        <v>7</v>
      </c>
      <c r="S2192">
        <v>6</v>
      </c>
      <c r="T2192">
        <v>11</v>
      </c>
      <c r="U2192">
        <f>SUM(Table1[[#This Row],[Store_Purchases]]+Table1[[#This Row],[Catalog_Purchases]]+Table1[[#This Row],[Web_Purchases]]+Table1[[#This Row],[Deal_Purchases]])</f>
        <v>26</v>
      </c>
      <c r="V2192">
        <v>4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f>SUM(Table1[[#This Row],[Accepted_Campaign_2]]+Table1[[#This Row],[Accepted_Campaign_1]]+Table1[[#This Row],[Accepted_Campaign_5]]+Table1[[#This Row],[Accepted_Campaign_4]]+Table1[[#This Row],[Accepted_Campaign_3]])</f>
        <v>0</v>
      </c>
      <c r="AC2192">
        <v>0</v>
      </c>
      <c r="AD2192">
        <v>0</v>
      </c>
    </row>
    <row r="2193" spans="1:30" x14ac:dyDescent="0.25">
      <c r="A2193">
        <v>41419</v>
      </c>
      <c r="B2193">
        <v>9925</v>
      </c>
      <c r="C2193">
        <v>1981</v>
      </c>
      <c r="D2193" t="s">
        <v>8</v>
      </c>
      <c r="E2193" t="s">
        <v>14</v>
      </c>
      <c r="F2193" t="s">
        <v>12</v>
      </c>
      <c r="G2193">
        <v>39665</v>
      </c>
      <c r="H2193">
        <v>1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f>SUM(Table1[[#This Row],[Gold Spending]]+Table1[[#This Row],[Sweet Spending]]+Table1[[#This Row],[Fish Spending]]+Table1[[#This Row],[Meat Spending]]+Table1[[#This Row],[Fruits Spending]]+Table1[[#This Row],[Wine Spending ]])</f>
        <v>216</v>
      </c>
      <c r="Q2193">
        <v>3</v>
      </c>
      <c r="R2193">
        <v>4</v>
      </c>
      <c r="S2193">
        <v>2</v>
      </c>
      <c r="T2193">
        <v>3</v>
      </c>
      <c r="U2193">
        <f>SUM(Table1[[#This Row],[Store_Purchases]]+Table1[[#This Row],[Catalog_Purchases]]+Table1[[#This Row],[Web_Purchases]]+Table1[[#This Row],[Deal_Purchases]])</f>
        <v>12</v>
      </c>
      <c r="V2193">
        <v>7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f>SUM(Table1[[#This Row],[Accepted_Campaign_2]]+Table1[[#This Row],[Accepted_Campaign_1]]+Table1[[#This Row],[Accepted_Campaign_5]]+Table1[[#This Row],[Accepted_Campaign_4]]+Table1[[#This Row],[Accepted_Campaign_3]])</f>
        <v>1</v>
      </c>
      <c r="AC2193">
        <v>0</v>
      </c>
      <c r="AD2193">
        <v>0</v>
      </c>
    </row>
    <row r="2194" spans="1:30" x14ac:dyDescent="0.25">
      <c r="A2194">
        <v>41401</v>
      </c>
      <c r="B2194">
        <v>9499</v>
      </c>
      <c r="C2194">
        <v>1954</v>
      </c>
      <c r="D2194" t="s">
        <v>10</v>
      </c>
      <c r="E2194" t="s">
        <v>6</v>
      </c>
      <c r="F2194" t="s">
        <v>11</v>
      </c>
      <c r="G2194">
        <v>93404</v>
      </c>
      <c r="H2194">
        <v>3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f>SUM(Table1[[#This Row],[Gold Spending]]+Table1[[#This Row],[Sweet Spending]]+Table1[[#This Row],[Fish Spending]]+Table1[[#This Row],[Meat Spending]]+Table1[[#This Row],[Fruits Spending]]+Table1[[#This Row],[Wine Spending ]])</f>
        <v>1616</v>
      </c>
      <c r="Q2194">
        <v>3</v>
      </c>
      <c r="R2194">
        <v>3</v>
      </c>
      <c r="S2194">
        <v>4</v>
      </c>
      <c r="T2194">
        <v>7</v>
      </c>
      <c r="U2194">
        <f>SUM(Table1[[#This Row],[Store_Purchases]]+Table1[[#This Row],[Catalog_Purchases]]+Table1[[#This Row],[Web_Purchases]]+Table1[[#This Row],[Deal_Purchases]])</f>
        <v>17</v>
      </c>
      <c r="V2194">
        <v>5</v>
      </c>
      <c r="W2194">
        <v>0</v>
      </c>
      <c r="X2194">
        <v>1</v>
      </c>
      <c r="Y2194">
        <v>1</v>
      </c>
      <c r="Z2194">
        <v>0</v>
      </c>
      <c r="AA2194">
        <v>0</v>
      </c>
      <c r="AB2194">
        <f>SUM(Table1[[#This Row],[Accepted_Campaign_2]]+Table1[[#This Row],[Accepted_Campaign_1]]+Table1[[#This Row],[Accepted_Campaign_5]]+Table1[[#This Row],[Accepted_Campaign_4]]+Table1[[#This Row],[Accepted_Campaign_3]])</f>
        <v>2</v>
      </c>
      <c r="AC2194">
        <v>0</v>
      </c>
      <c r="AD2194">
        <v>0</v>
      </c>
    </row>
    <row r="2195" spans="1:30" x14ac:dyDescent="0.25">
      <c r="A2195">
        <v>41361</v>
      </c>
      <c r="B2195">
        <v>6568</v>
      </c>
      <c r="C2195">
        <v>1984</v>
      </c>
      <c r="D2195" t="s">
        <v>63</v>
      </c>
      <c r="E2195" t="s">
        <v>6</v>
      </c>
      <c r="F2195" t="s">
        <v>11</v>
      </c>
      <c r="G2195">
        <v>38680</v>
      </c>
      <c r="H2195">
        <v>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f>SUM(Table1[[#This Row],[Gold Spending]]+Table1[[#This Row],[Sweet Spending]]+Table1[[#This Row],[Fish Spending]]+Table1[[#This Row],[Meat Spending]]+Table1[[#This Row],[Fruits Spending]]+Table1[[#This Row],[Wine Spending ]])</f>
        <v>79</v>
      </c>
      <c r="Q2195">
        <v>1</v>
      </c>
      <c r="R2195">
        <v>2</v>
      </c>
      <c r="S2195">
        <v>0</v>
      </c>
      <c r="T2195">
        <v>3</v>
      </c>
      <c r="U2195">
        <f>SUM(Table1[[#This Row],[Store_Purchases]]+Table1[[#This Row],[Catalog_Purchases]]+Table1[[#This Row],[Web_Purchases]]+Table1[[#This Row],[Deal_Purchases]])</f>
        <v>6</v>
      </c>
      <c r="V2195">
        <v>7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f>SUM(Table1[[#This Row],[Accepted_Campaign_2]]+Table1[[#This Row],[Accepted_Campaign_1]]+Table1[[#This Row],[Accepted_Campaign_5]]+Table1[[#This Row],[Accepted_Campaign_4]]+Table1[[#This Row],[Accepted_Campaign_3]])</f>
        <v>0</v>
      </c>
      <c r="AC2195">
        <v>0</v>
      </c>
      <c r="AD2195">
        <v>0</v>
      </c>
    </row>
    <row r="2196" spans="1:30" x14ac:dyDescent="0.25">
      <c r="A2196">
        <v>41332</v>
      </c>
      <c r="B2196">
        <v>3032</v>
      </c>
      <c r="C2196">
        <v>1984</v>
      </c>
      <c r="D2196" t="s">
        <v>8</v>
      </c>
      <c r="E2196" t="s">
        <v>6</v>
      </c>
      <c r="F2196" t="s">
        <v>11</v>
      </c>
      <c r="G2196">
        <v>24570</v>
      </c>
      <c r="H2196">
        <v>1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f>SUM(Table1[[#This Row],[Gold Spending]]+Table1[[#This Row],[Sweet Spending]]+Table1[[#This Row],[Fish Spending]]+Table1[[#This Row],[Meat Spending]]+Table1[[#This Row],[Fruits Spending]]+Table1[[#This Row],[Wine Spending ]])</f>
        <v>193</v>
      </c>
      <c r="Q2196">
        <v>3</v>
      </c>
      <c r="R2196">
        <v>4</v>
      </c>
      <c r="S2196">
        <v>0</v>
      </c>
      <c r="T2196">
        <v>4</v>
      </c>
      <c r="U2196">
        <f>SUM(Table1[[#This Row],[Store_Purchases]]+Table1[[#This Row],[Catalog_Purchases]]+Table1[[#This Row],[Web_Purchases]]+Table1[[#This Row],[Deal_Purchases]])</f>
        <v>11</v>
      </c>
      <c r="V2196">
        <v>9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f>SUM(Table1[[#This Row],[Accepted_Campaign_2]]+Table1[[#This Row],[Accepted_Campaign_1]]+Table1[[#This Row],[Accepted_Campaign_5]]+Table1[[#This Row],[Accepted_Campaign_4]]+Table1[[#This Row],[Accepted_Campaign_3]])</f>
        <v>0</v>
      </c>
      <c r="AC2196">
        <v>0</v>
      </c>
      <c r="AD2196">
        <v>0</v>
      </c>
    </row>
    <row r="2197" spans="1:30" x14ac:dyDescent="0.25">
      <c r="A2197">
        <v>41327</v>
      </c>
      <c r="B2197">
        <v>5153</v>
      </c>
      <c r="C2197">
        <v>1967</v>
      </c>
      <c r="D2197" t="s">
        <v>8</v>
      </c>
      <c r="E2197" t="s">
        <v>14</v>
      </c>
      <c r="F2197" t="s">
        <v>11</v>
      </c>
      <c r="G2197">
        <v>77766</v>
      </c>
      <c r="H2197">
        <v>1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f>SUM(Table1[[#This Row],[Gold Spending]]+Table1[[#This Row],[Sweet Spending]]+Table1[[#This Row],[Fish Spending]]+Table1[[#This Row],[Meat Spending]]+Table1[[#This Row],[Fruits Spending]]+Table1[[#This Row],[Wine Spending ]])</f>
        <v>1529</v>
      </c>
      <c r="Q2197">
        <v>2</v>
      </c>
      <c r="R2197">
        <v>11</v>
      </c>
      <c r="S2197">
        <v>10</v>
      </c>
      <c r="T2197">
        <v>11</v>
      </c>
      <c r="U2197">
        <f>SUM(Table1[[#This Row],[Store_Purchases]]+Table1[[#This Row],[Catalog_Purchases]]+Table1[[#This Row],[Web_Purchases]]+Table1[[#This Row],[Deal_Purchases]])</f>
        <v>34</v>
      </c>
      <c r="V2197">
        <v>6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f>SUM(Table1[[#This Row],[Accepted_Campaign_2]]+Table1[[#This Row],[Accepted_Campaign_1]]+Table1[[#This Row],[Accepted_Campaign_5]]+Table1[[#This Row],[Accepted_Campaign_4]]+Table1[[#This Row],[Accepted_Campaign_3]])</f>
        <v>1</v>
      </c>
      <c r="AC2197">
        <v>1</v>
      </c>
      <c r="AD2197">
        <v>0</v>
      </c>
    </row>
    <row r="2198" spans="1:30" x14ac:dyDescent="0.25">
      <c r="A2198">
        <v>41327</v>
      </c>
      <c r="B2198">
        <v>4127</v>
      </c>
      <c r="C2198">
        <v>1967</v>
      </c>
      <c r="D2198" t="s">
        <v>8</v>
      </c>
      <c r="E2198" t="s">
        <v>14</v>
      </c>
      <c r="F2198" t="s">
        <v>11</v>
      </c>
      <c r="G2198">
        <v>77766</v>
      </c>
      <c r="H2198">
        <v>1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f>SUM(Table1[[#This Row],[Gold Spending]]+Table1[[#This Row],[Sweet Spending]]+Table1[[#This Row],[Fish Spending]]+Table1[[#This Row],[Meat Spending]]+Table1[[#This Row],[Fruits Spending]]+Table1[[#This Row],[Wine Spending ]])</f>
        <v>1529</v>
      </c>
      <c r="Q2198">
        <v>2</v>
      </c>
      <c r="R2198">
        <v>11</v>
      </c>
      <c r="S2198">
        <v>10</v>
      </c>
      <c r="T2198">
        <v>11</v>
      </c>
      <c r="U2198">
        <f>SUM(Table1[[#This Row],[Store_Purchases]]+Table1[[#This Row],[Catalog_Purchases]]+Table1[[#This Row],[Web_Purchases]]+Table1[[#This Row],[Deal_Purchases]])</f>
        <v>34</v>
      </c>
      <c r="V2198">
        <v>6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f>SUM(Table1[[#This Row],[Accepted_Campaign_2]]+Table1[[#This Row],[Accepted_Campaign_1]]+Table1[[#This Row],[Accepted_Campaign_5]]+Table1[[#This Row],[Accepted_Campaign_4]]+Table1[[#This Row],[Accepted_Campaign_3]])</f>
        <v>1</v>
      </c>
      <c r="AC2198">
        <v>1</v>
      </c>
      <c r="AD2198">
        <v>0</v>
      </c>
    </row>
    <row r="2199" spans="1:30" x14ac:dyDescent="0.25">
      <c r="A2199">
        <v>41266</v>
      </c>
      <c r="B2199">
        <v>9940</v>
      </c>
      <c r="C2199">
        <v>1958</v>
      </c>
      <c r="D2199" t="s">
        <v>20</v>
      </c>
      <c r="E2199" t="s">
        <v>6</v>
      </c>
      <c r="F2199" t="s">
        <v>12</v>
      </c>
      <c r="G2199">
        <v>64961</v>
      </c>
      <c r="H2199">
        <v>1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f>SUM(Table1[[#This Row],[Gold Spending]]+Table1[[#This Row],[Sweet Spending]]+Table1[[#This Row],[Fish Spending]]+Table1[[#This Row],[Meat Spending]]+Table1[[#This Row],[Fruits Spending]]+Table1[[#This Row],[Wine Spending ]])</f>
        <v>1009</v>
      </c>
      <c r="Q2199">
        <v>2</v>
      </c>
      <c r="R2199">
        <v>6</v>
      </c>
      <c r="S2199">
        <v>4</v>
      </c>
      <c r="T2199">
        <v>4</v>
      </c>
      <c r="U2199">
        <f>SUM(Table1[[#This Row],[Store_Purchases]]+Table1[[#This Row],[Catalog_Purchases]]+Table1[[#This Row],[Web_Purchases]]+Table1[[#This Row],[Deal_Purchases]])</f>
        <v>16</v>
      </c>
      <c r="V2199">
        <v>3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f>SUM(Table1[[#This Row],[Accepted_Campaign_2]]+Table1[[#This Row],[Accepted_Campaign_1]]+Table1[[#This Row],[Accepted_Campaign_5]]+Table1[[#This Row],[Accepted_Campaign_4]]+Table1[[#This Row],[Accepted_Campaign_3]])</f>
        <v>0</v>
      </c>
      <c r="AC2199">
        <v>0</v>
      </c>
      <c r="AD2199">
        <v>0</v>
      </c>
    </row>
    <row r="2200" spans="1:30" x14ac:dyDescent="0.25">
      <c r="A2200">
        <v>41234</v>
      </c>
      <c r="B2200">
        <v>7527</v>
      </c>
      <c r="C2200">
        <v>1968</v>
      </c>
      <c r="D2200" t="s">
        <v>8</v>
      </c>
      <c r="E2200" t="s">
        <v>18</v>
      </c>
      <c r="F2200" t="s">
        <v>7</v>
      </c>
      <c r="G2200">
        <v>23748</v>
      </c>
      <c r="H2200">
        <v>1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f>SUM(Table1[[#This Row],[Gold Spending]]+Table1[[#This Row],[Sweet Spending]]+Table1[[#This Row],[Fish Spending]]+Table1[[#This Row],[Meat Spending]]+Table1[[#This Row],[Fruits Spending]]+Table1[[#This Row],[Wine Spending ]])</f>
        <v>76</v>
      </c>
      <c r="Q2200">
        <v>3</v>
      </c>
      <c r="R2200">
        <v>2</v>
      </c>
      <c r="S2200">
        <v>1</v>
      </c>
      <c r="T2200">
        <v>3</v>
      </c>
      <c r="U2200">
        <f>SUM(Table1[[#This Row],[Store_Purchases]]+Table1[[#This Row],[Catalog_Purchases]]+Table1[[#This Row],[Web_Purchases]]+Table1[[#This Row],[Deal_Purchases]])</f>
        <v>9</v>
      </c>
      <c r="V2200">
        <v>8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f>SUM(Table1[[#This Row],[Accepted_Campaign_2]]+Table1[[#This Row],[Accepted_Campaign_1]]+Table1[[#This Row],[Accepted_Campaign_5]]+Table1[[#This Row],[Accepted_Campaign_4]]+Table1[[#This Row],[Accepted_Campaign_3]])</f>
        <v>0</v>
      </c>
      <c r="AC2200">
        <v>0</v>
      </c>
      <c r="AD2200">
        <v>0</v>
      </c>
    </row>
    <row r="2201" spans="1:30" x14ac:dyDescent="0.25">
      <c r="A2201">
        <v>41204</v>
      </c>
      <c r="B2201">
        <v>3406</v>
      </c>
      <c r="C2201">
        <v>1964</v>
      </c>
      <c r="D2201" t="s">
        <v>20</v>
      </c>
      <c r="E2201" t="s">
        <v>6</v>
      </c>
      <c r="F2201" t="s">
        <v>9</v>
      </c>
      <c r="G2201">
        <v>45989</v>
      </c>
      <c r="H2201">
        <v>1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f>SUM(Table1[[#This Row],[Gold Spending]]+Table1[[#This Row],[Sweet Spending]]+Table1[[#This Row],[Fish Spending]]+Table1[[#This Row],[Meat Spending]]+Table1[[#This Row],[Fruits Spending]]+Table1[[#This Row],[Wine Spending ]])</f>
        <v>322</v>
      </c>
      <c r="Q2201">
        <v>4</v>
      </c>
      <c r="R2201">
        <v>3</v>
      </c>
      <c r="S2201">
        <v>2</v>
      </c>
      <c r="T2201">
        <v>7</v>
      </c>
      <c r="U2201">
        <f>SUM(Table1[[#This Row],[Store_Purchases]]+Table1[[#This Row],[Catalog_Purchases]]+Table1[[#This Row],[Web_Purchases]]+Table1[[#This Row],[Deal_Purchases]])</f>
        <v>16</v>
      </c>
      <c r="V2201">
        <v>3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f>SUM(Table1[[#This Row],[Accepted_Campaign_2]]+Table1[[#This Row],[Accepted_Campaign_1]]+Table1[[#This Row],[Accepted_Campaign_5]]+Table1[[#This Row],[Accepted_Campaign_4]]+Table1[[#This Row],[Accepted_Campaign_3]])</f>
        <v>0</v>
      </c>
      <c r="AC2201">
        <v>0</v>
      </c>
      <c r="AD2201">
        <v>0</v>
      </c>
    </row>
    <row r="2202" spans="1:30" x14ac:dyDescent="0.25">
      <c r="A2202">
        <v>41187</v>
      </c>
      <c r="B2202">
        <v>9771</v>
      </c>
      <c r="C2202">
        <v>1988</v>
      </c>
      <c r="D2202" t="s">
        <v>17</v>
      </c>
      <c r="E2202" t="s">
        <v>15</v>
      </c>
      <c r="F2202" t="s">
        <v>9</v>
      </c>
      <c r="G2202">
        <v>23331</v>
      </c>
      <c r="H2202">
        <v>1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f>SUM(Table1[[#This Row],[Gold Spending]]+Table1[[#This Row],[Sweet Spending]]+Table1[[#This Row],[Fish Spending]]+Table1[[#This Row],[Meat Spending]]+Table1[[#This Row],[Fruits Spending]]+Table1[[#This Row],[Wine Spending ]])</f>
        <v>269</v>
      </c>
      <c r="Q2202">
        <v>6</v>
      </c>
      <c r="R2202">
        <v>5</v>
      </c>
      <c r="S2202">
        <v>1</v>
      </c>
      <c r="T2202">
        <v>5</v>
      </c>
      <c r="U2202">
        <f>SUM(Table1[[#This Row],[Store_Purchases]]+Table1[[#This Row],[Catalog_Purchases]]+Table1[[#This Row],[Web_Purchases]]+Table1[[#This Row],[Deal_Purchases]])</f>
        <v>17</v>
      </c>
      <c r="V2202">
        <v>9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f>SUM(Table1[[#This Row],[Accepted_Campaign_2]]+Table1[[#This Row],[Accepted_Campaign_1]]+Table1[[#This Row],[Accepted_Campaign_5]]+Table1[[#This Row],[Accepted_Campaign_4]]+Table1[[#This Row],[Accepted_Campaign_3]])</f>
        <v>0</v>
      </c>
      <c r="AC2202">
        <v>0</v>
      </c>
      <c r="AD2202">
        <v>0</v>
      </c>
    </row>
    <row r="2203" spans="1:30" x14ac:dyDescent="0.25">
      <c r="A2203">
        <v>41818</v>
      </c>
      <c r="B2203">
        <v>6722</v>
      </c>
      <c r="C2203">
        <v>1954</v>
      </c>
      <c r="D2203" t="s">
        <v>10</v>
      </c>
      <c r="E2203" t="s">
        <v>14</v>
      </c>
      <c r="F2203" t="s">
        <v>11</v>
      </c>
      <c r="G2203">
        <v>70421</v>
      </c>
      <c r="H2203">
        <v>1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f>SUM(Table1[[#This Row],[Gold Spending]]+Table1[[#This Row],[Sweet Spending]]+Table1[[#This Row],[Fish Spending]]+Table1[[#This Row],[Meat Spending]]+Table1[[#This Row],[Fruits Spending]]+Table1[[#This Row],[Wine Spending ]])</f>
        <v>767</v>
      </c>
      <c r="Q2203">
        <v>3</v>
      </c>
      <c r="R2203">
        <v>10</v>
      </c>
      <c r="S2203">
        <v>3</v>
      </c>
      <c r="T2203">
        <v>7</v>
      </c>
      <c r="U2203">
        <f>SUM(Table1[[#This Row],[Store_Purchases]]+Table1[[#This Row],[Catalog_Purchases]]+Table1[[#This Row],[Web_Purchases]]+Table1[[#This Row],[Deal_Purchases]])</f>
        <v>23</v>
      </c>
      <c r="V2203">
        <v>6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f>SUM(Table1[[#This Row],[Accepted_Campaign_2]]+Table1[[#This Row],[Accepted_Campaign_1]]+Table1[[#This Row],[Accepted_Campaign_5]]+Table1[[#This Row],[Accepted_Campaign_4]]+Table1[[#This Row],[Accepted_Campaign_3]])</f>
        <v>0</v>
      </c>
      <c r="AC2203">
        <v>0</v>
      </c>
      <c r="AD2203">
        <v>0</v>
      </c>
    </row>
    <row r="2204" spans="1:30" x14ac:dyDescent="0.25">
      <c r="A2204">
        <v>41787</v>
      </c>
      <c r="B2204">
        <v>213</v>
      </c>
      <c r="C2204">
        <v>1963</v>
      </c>
      <c r="D2204" t="s">
        <v>8</v>
      </c>
      <c r="E2204" t="s">
        <v>14</v>
      </c>
      <c r="F2204" t="s">
        <v>9</v>
      </c>
      <c r="G2204">
        <v>23091</v>
      </c>
      <c r="H2204">
        <v>2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f>SUM(Table1[[#This Row],[Gold Spending]]+Table1[[#This Row],[Sweet Spending]]+Table1[[#This Row],[Fish Spending]]+Table1[[#This Row],[Meat Spending]]+Table1[[#This Row],[Fruits Spending]]+Table1[[#This Row],[Wine Spending ]])</f>
        <v>48</v>
      </c>
      <c r="Q2204">
        <v>4</v>
      </c>
      <c r="R2204">
        <v>2</v>
      </c>
      <c r="S2204">
        <v>1</v>
      </c>
      <c r="T2204">
        <v>3</v>
      </c>
      <c r="U2204">
        <f>SUM(Table1[[#This Row],[Store_Purchases]]+Table1[[#This Row],[Catalog_Purchases]]+Table1[[#This Row],[Web_Purchases]]+Table1[[#This Row],[Deal_Purchases]])</f>
        <v>10</v>
      </c>
      <c r="V2204">
        <v>7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f>SUM(Table1[[#This Row],[Accepted_Campaign_2]]+Table1[[#This Row],[Accepted_Campaign_1]]+Table1[[#This Row],[Accepted_Campaign_5]]+Table1[[#This Row],[Accepted_Campaign_4]]+Table1[[#This Row],[Accepted_Campaign_3]])</f>
        <v>0</v>
      </c>
      <c r="AC2204">
        <v>0</v>
      </c>
      <c r="AD2204">
        <v>0</v>
      </c>
    </row>
    <row r="2205" spans="1:30" x14ac:dyDescent="0.25">
      <c r="A2205">
        <v>41706</v>
      </c>
      <c r="B2205">
        <v>8541</v>
      </c>
      <c r="C2205">
        <v>1990</v>
      </c>
      <c r="D2205" t="s">
        <v>8</v>
      </c>
      <c r="E2205" t="s">
        <v>15</v>
      </c>
      <c r="F2205" t="s">
        <v>11</v>
      </c>
      <c r="G2205">
        <v>24683</v>
      </c>
      <c r="H2205">
        <v>1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f>SUM(Table1[[#This Row],[Gold Spending]]+Table1[[#This Row],[Sweet Spending]]+Table1[[#This Row],[Fish Spending]]+Table1[[#This Row],[Meat Spending]]+Table1[[#This Row],[Fruits Spending]]+Table1[[#This Row],[Wine Spending ]])</f>
        <v>41</v>
      </c>
      <c r="Q2205">
        <v>2</v>
      </c>
      <c r="R2205">
        <v>2</v>
      </c>
      <c r="S2205">
        <v>0</v>
      </c>
      <c r="T2205">
        <v>4</v>
      </c>
      <c r="U2205">
        <f>SUM(Table1[[#This Row],[Store_Purchases]]+Table1[[#This Row],[Catalog_Purchases]]+Table1[[#This Row],[Web_Purchases]]+Table1[[#This Row],[Deal_Purchases]])</f>
        <v>8</v>
      </c>
      <c r="V2205">
        <v>5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f>SUM(Table1[[#This Row],[Accepted_Campaign_2]]+Table1[[#This Row],[Accepted_Campaign_1]]+Table1[[#This Row],[Accepted_Campaign_5]]+Table1[[#This Row],[Accepted_Campaign_4]]+Table1[[#This Row],[Accepted_Campaign_3]])</f>
        <v>0</v>
      </c>
      <c r="AC2205">
        <v>0</v>
      </c>
      <c r="AD2205">
        <v>0</v>
      </c>
    </row>
    <row r="2206" spans="1:30" x14ac:dyDescent="0.25">
      <c r="A2206">
        <v>41699</v>
      </c>
      <c r="B2206">
        <v>8475</v>
      </c>
      <c r="C2206">
        <v>1973</v>
      </c>
      <c r="D2206" t="s">
        <v>17</v>
      </c>
      <c r="E2206" t="s">
        <v>14</v>
      </c>
      <c r="F2206" t="s">
        <v>11</v>
      </c>
      <c r="G2206">
        <v>157243</v>
      </c>
      <c r="H2206">
        <v>1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f>SUM(Table1[[#This Row],[Gold Spending]]+Table1[[#This Row],[Sweet Spending]]+Table1[[#This Row],[Fish Spending]]+Table1[[#This Row],[Meat Spending]]+Table1[[#This Row],[Fruits Spending]]+Table1[[#This Row],[Wine Spending ]])</f>
        <v>1608</v>
      </c>
      <c r="Q2206">
        <v>15</v>
      </c>
      <c r="R2206">
        <v>0</v>
      </c>
      <c r="S2206">
        <v>22</v>
      </c>
      <c r="T2206">
        <v>0</v>
      </c>
      <c r="U2206">
        <f>SUM(Table1[[#This Row],[Store_Purchases]]+Table1[[#This Row],[Catalog_Purchases]]+Table1[[#This Row],[Web_Purchases]]+Table1[[#This Row],[Deal_Purchases]])</f>
        <v>37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f>SUM(Table1[[#This Row],[Accepted_Campaign_2]]+Table1[[#This Row],[Accepted_Campaign_1]]+Table1[[#This Row],[Accepted_Campaign_5]]+Table1[[#This Row],[Accepted_Campaign_4]]+Table1[[#This Row],[Accepted_Campaign_3]])</f>
        <v>0</v>
      </c>
      <c r="AC2206">
        <v>0</v>
      </c>
      <c r="AD2206">
        <v>0</v>
      </c>
    </row>
    <row r="2207" spans="1:30" x14ac:dyDescent="0.25">
      <c r="A2207">
        <v>41699</v>
      </c>
      <c r="B2207">
        <v>8070</v>
      </c>
      <c r="C2207">
        <v>1973</v>
      </c>
      <c r="D2207" t="s">
        <v>8</v>
      </c>
      <c r="E2207" t="s">
        <v>14</v>
      </c>
      <c r="F2207" t="s">
        <v>11</v>
      </c>
      <c r="G2207">
        <v>54222</v>
      </c>
      <c r="H2207">
        <v>1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f>SUM(Table1[[#This Row],[Gold Spending]]+Table1[[#This Row],[Sweet Spending]]+Table1[[#This Row],[Fish Spending]]+Table1[[#This Row],[Meat Spending]]+Table1[[#This Row],[Fruits Spending]]+Table1[[#This Row],[Wine Spending ]])</f>
        <v>264</v>
      </c>
      <c r="Q2207">
        <v>1</v>
      </c>
      <c r="R2207">
        <v>3</v>
      </c>
      <c r="S2207">
        <v>3</v>
      </c>
      <c r="T2207">
        <v>5</v>
      </c>
      <c r="U2207">
        <f>SUM(Table1[[#This Row],[Store_Purchases]]+Table1[[#This Row],[Catalog_Purchases]]+Table1[[#This Row],[Web_Purchases]]+Table1[[#This Row],[Deal_Purchases]])</f>
        <v>12</v>
      </c>
      <c r="V2207">
        <v>3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f>SUM(Table1[[#This Row],[Accepted_Campaign_2]]+Table1[[#This Row],[Accepted_Campaign_1]]+Table1[[#This Row],[Accepted_Campaign_5]]+Table1[[#This Row],[Accepted_Campaign_4]]+Table1[[#This Row],[Accepted_Campaign_3]])</f>
        <v>0</v>
      </c>
      <c r="AC2207">
        <v>0</v>
      </c>
      <c r="AD2207">
        <v>0</v>
      </c>
    </row>
    <row r="2208" spans="1:30" x14ac:dyDescent="0.25">
      <c r="A2208">
        <v>41575</v>
      </c>
      <c r="B2208">
        <v>313</v>
      </c>
      <c r="C2208">
        <v>1968</v>
      </c>
      <c r="D2208" t="s">
        <v>20</v>
      </c>
      <c r="E2208" t="s">
        <v>6</v>
      </c>
      <c r="F2208" t="s">
        <v>19</v>
      </c>
      <c r="G2208">
        <v>73455</v>
      </c>
      <c r="H2208">
        <v>0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f>SUM(Table1[[#This Row],[Gold Spending]]+Table1[[#This Row],[Sweet Spending]]+Table1[[#This Row],[Fish Spending]]+Table1[[#This Row],[Meat Spending]]+Table1[[#This Row],[Fruits Spending]]+Table1[[#This Row],[Wine Spending ]])</f>
        <v>2088</v>
      </c>
      <c r="Q2208">
        <v>1</v>
      </c>
      <c r="R2208">
        <v>6</v>
      </c>
      <c r="S2208">
        <v>5</v>
      </c>
      <c r="T2208">
        <v>10</v>
      </c>
      <c r="U2208">
        <f>SUM(Table1[[#This Row],[Store_Purchases]]+Table1[[#This Row],[Catalog_Purchases]]+Table1[[#This Row],[Web_Purchases]]+Table1[[#This Row],[Deal_Purchases]])</f>
        <v>22</v>
      </c>
      <c r="V2208">
        <v>3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f>SUM(Table1[[#This Row],[Accepted_Campaign_2]]+Table1[[#This Row],[Accepted_Campaign_1]]+Table1[[#This Row],[Accepted_Campaign_5]]+Table1[[#This Row],[Accepted_Campaign_4]]+Table1[[#This Row],[Accepted_Campaign_3]])</f>
        <v>1</v>
      </c>
      <c r="AC2208">
        <v>0</v>
      </c>
      <c r="AD2208">
        <v>0</v>
      </c>
    </row>
    <row r="2209" spans="1:30" x14ac:dyDescent="0.25">
      <c r="A2209">
        <v>41551</v>
      </c>
      <c r="B2209">
        <v>9757</v>
      </c>
      <c r="C2209">
        <v>1972</v>
      </c>
      <c r="D2209" t="s">
        <v>8</v>
      </c>
      <c r="E2209" t="s">
        <v>6</v>
      </c>
      <c r="F2209" t="s">
        <v>12</v>
      </c>
      <c r="G2209">
        <v>84906</v>
      </c>
      <c r="H2209">
        <v>0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f>SUM(Table1[[#This Row],[Gold Spending]]+Table1[[#This Row],[Sweet Spending]]+Table1[[#This Row],[Fish Spending]]+Table1[[#This Row],[Meat Spending]]+Table1[[#This Row],[Fruits Spending]]+Table1[[#This Row],[Wine Spending ]])</f>
        <v>1631</v>
      </c>
      <c r="Q2209">
        <v>1</v>
      </c>
      <c r="R2209">
        <v>5</v>
      </c>
      <c r="S2209">
        <v>6</v>
      </c>
      <c r="T2209">
        <v>12</v>
      </c>
      <c r="U2209">
        <f>SUM(Table1[[#This Row],[Store_Purchases]]+Table1[[#This Row],[Catalog_Purchases]]+Table1[[#This Row],[Web_Purchases]]+Table1[[#This Row],[Deal_Purchases]])</f>
        <v>24</v>
      </c>
      <c r="V2209">
        <v>2</v>
      </c>
      <c r="W2209">
        <v>0</v>
      </c>
      <c r="X2209">
        <v>1</v>
      </c>
      <c r="Y2209">
        <v>1</v>
      </c>
      <c r="Z2209">
        <v>0</v>
      </c>
      <c r="AA2209">
        <v>1</v>
      </c>
      <c r="AB2209">
        <f>SUM(Table1[[#This Row],[Accepted_Campaign_2]]+Table1[[#This Row],[Accepted_Campaign_1]]+Table1[[#This Row],[Accepted_Campaign_5]]+Table1[[#This Row],[Accepted_Campaign_4]]+Table1[[#This Row],[Accepted_Campaign_3]])</f>
        <v>3</v>
      </c>
      <c r="AC2209">
        <v>0</v>
      </c>
      <c r="AD2209">
        <v>0</v>
      </c>
    </row>
    <row r="2210" spans="1:30" x14ac:dyDescent="0.25">
      <c r="A2210">
        <v>41551</v>
      </c>
      <c r="B2210">
        <v>2088</v>
      </c>
      <c r="C2210">
        <v>1972</v>
      </c>
      <c r="D2210" t="s">
        <v>16</v>
      </c>
      <c r="E2210" t="s">
        <v>6</v>
      </c>
      <c r="F2210" t="s">
        <v>12</v>
      </c>
      <c r="G2210">
        <v>84906</v>
      </c>
      <c r="H2210">
        <v>0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f>SUM(Table1[[#This Row],[Gold Spending]]+Table1[[#This Row],[Sweet Spending]]+Table1[[#This Row],[Fish Spending]]+Table1[[#This Row],[Meat Spending]]+Table1[[#This Row],[Fruits Spending]]+Table1[[#This Row],[Wine Spending ]])</f>
        <v>1631</v>
      </c>
      <c r="Q2210">
        <v>1</v>
      </c>
      <c r="R2210">
        <v>5</v>
      </c>
      <c r="S2210">
        <v>6</v>
      </c>
      <c r="T2210">
        <v>12</v>
      </c>
      <c r="U2210">
        <f>SUM(Table1[[#This Row],[Store_Purchases]]+Table1[[#This Row],[Catalog_Purchases]]+Table1[[#This Row],[Web_Purchases]]+Table1[[#This Row],[Deal_Purchases]])</f>
        <v>24</v>
      </c>
      <c r="V2210">
        <v>2</v>
      </c>
      <c r="W2210">
        <v>0</v>
      </c>
      <c r="X2210">
        <v>1</v>
      </c>
      <c r="Y2210">
        <v>1</v>
      </c>
      <c r="Z2210">
        <v>0</v>
      </c>
      <c r="AA2210">
        <v>1</v>
      </c>
      <c r="AB2210">
        <f>SUM(Table1[[#This Row],[Accepted_Campaign_2]]+Table1[[#This Row],[Accepted_Campaign_1]]+Table1[[#This Row],[Accepted_Campaign_5]]+Table1[[#This Row],[Accepted_Campaign_4]]+Table1[[#This Row],[Accepted_Campaign_3]])</f>
        <v>3</v>
      </c>
      <c r="AC2210">
        <v>0</v>
      </c>
      <c r="AD2210">
        <v>0</v>
      </c>
    </row>
    <row r="2211" spans="1:30" x14ac:dyDescent="0.25">
      <c r="A2211">
        <v>41529</v>
      </c>
      <c r="B2211">
        <v>2320</v>
      </c>
      <c r="C2211">
        <v>1978</v>
      </c>
      <c r="D2211" t="s">
        <v>8</v>
      </c>
      <c r="E2211" t="s">
        <v>15</v>
      </c>
      <c r="F2211" t="s">
        <v>11</v>
      </c>
      <c r="G2211">
        <v>47025</v>
      </c>
      <c r="H2211">
        <v>1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f>SUM(Table1[[#This Row],[Gold Spending]]+Table1[[#This Row],[Sweet Spending]]+Table1[[#This Row],[Fish Spending]]+Table1[[#This Row],[Meat Spending]]+Table1[[#This Row],[Fruits Spending]]+Table1[[#This Row],[Wine Spending ]])</f>
        <v>635</v>
      </c>
      <c r="Q2211">
        <v>5</v>
      </c>
      <c r="R2211">
        <v>11</v>
      </c>
      <c r="S2211">
        <v>1</v>
      </c>
      <c r="T2211">
        <v>6</v>
      </c>
      <c r="U2211">
        <f>SUM(Table1[[#This Row],[Store_Purchases]]+Table1[[#This Row],[Catalog_Purchases]]+Table1[[#This Row],[Web_Purchases]]+Table1[[#This Row],[Deal_Purchases]])</f>
        <v>23</v>
      </c>
      <c r="V2211">
        <v>9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f>SUM(Table1[[#This Row],[Accepted_Campaign_2]]+Table1[[#This Row],[Accepted_Campaign_1]]+Table1[[#This Row],[Accepted_Campaign_5]]+Table1[[#This Row],[Accepted_Campaign_4]]+Table1[[#This Row],[Accepted_Campaign_3]])</f>
        <v>0</v>
      </c>
      <c r="AC2211">
        <v>0</v>
      </c>
      <c r="AD2211">
        <v>0</v>
      </c>
    </row>
    <row r="2212" spans="1:30" x14ac:dyDescent="0.25">
      <c r="A2212">
        <v>41460</v>
      </c>
      <c r="B2212">
        <v>966</v>
      </c>
      <c r="C2212">
        <v>1966</v>
      </c>
      <c r="D2212" t="s">
        <v>8</v>
      </c>
      <c r="E2212" t="s">
        <v>6</v>
      </c>
      <c r="F2212" t="s">
        <v>11</v>
      </c>
      <c r="G2212">
        <v>44529</v>
      </c>
      <c r="H2212">
        <v>1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f>SUM(Table1[[#This Row],[Gold Spending]]+Table1[[#This Row],[Sweet Spending]]+Table1[[#This Row],[Fish Spending]]+Table1[[#This Row],[Meat Spending]]+Table1[[#This Row],[Fruits Spending]]+Table1[[#This Row],[Wine Spending ]])</f>
        <v>691</v>
      </c>
      <c r="Q2212">
        <v>6</v>
      </c>
      <c r="R2212">
        <v>6</v>
      </c>
      <c r="S2212">
        <v>2</v>
      </c>
      <c r="T2212">
        <v>11</v>
      </c>
      <c r="U2212">
        <f>SUM(Table1[[#This Row],[Store_Purchases]]+Table1[[#This Row],[Catalog_Purchases]]+Table1[[#This Row],[Web_Purchases]]+Table1[[#This Row],[Deal_Purchases]])</f>
        <v>25</v>
      </c>
      <c r="V2212">
        <v>5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f>SUM(Table1[[#This Row],[Accepted_Campaign_2]]+Table1[[#This Row],[Accepted_Campaign_1]]+Table1[[#This Row],[Accepted_Campaign_5]]+Table1[[#This Row],[Accepted_Campaign_4]]+Table1[[#This Row],[Accepted_Campaign_3]])</f>
        <v>1</v>
      </c>
      <c r="AC2212">
        <v>0</v>
      </c>
      <c r="AD2212">
        <v>0</v>
      </c>
    </row>
    <row r="2213" spans="1:30" x14ac:dyDescent="0.25">
      <c r="A2213">
        <v>41449</v>
      </c>
      <c r="B2213">
        <v>9706</v>
      </c>
      <c r="C2213">
        <v>1974</v>
      </c>
      <c r="D2213" t="s">
        <v>10</v>
      </c>
      <c r="E2213" t="s">
        <v>14</v>
      </c>
      <c r="F2213" t="s">
        <v>9</v>
      </c>
      <c r="G2213">
        <v>31560</v>
      </c>
      <c r="H2213">
        <v>1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f>SUM(Table1[[#This Row],[Gold Spending]]+Table1[[#This Row],[Sweet Spending]]+Table1[[#This Row],[Fish Spending]]+Table1[[#This Row],[Meat Spending]]+Table1[[#This Row],[Fruits Spending]]+Table1[[#This Row],[Wine Spending ]])</f>
        <v>94</v>
      </c>
      <c r="Q2213">
        <v>2</v>
      </c>
      <c r="R2213">
        <v>2</v>
      </c>
      <c r="S2213">
        <v>1</v>
      </c>
      <c r="T2213">
        <v>3</v>
      </c>
      <c r="U2213">
        <f>SUM(Table1[[#This Row],[Store_Purchases]]+Table1[[#This Row],[Catalog_Purchases]]+Table1[[#This Row],[Web_Purchases]]+Table1[[#This Row],[Deal_Purchases]])</f>
        <v>8</v>
      </c>
      <c r="V2213">
        <v>8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f>SUM(Table1[[#This Row],[Accepted_Campaign_2]]+Table1[[#This Row],[Accepted_Campaign_1]]+Table1[[#This Row],[Accepted_Campaign_5]]+Table1[[#This Row],[Accepted_Campaign_4]]+Table1[[#This Row],[Accepted_Campaign_3]])</f>
        <v>0</v>
      </c>
      <c r="AC2213">
        <v>0</v>
      </c>
      <c r="AD2213">
        <v>0</v>
      </c>
    </row>
    <row r="2214" spans="1:30" x14ac:dyDescent="0.25">
      <c r="A2214">
        <v>41416</v>
      </c>
      <c r="B2214">
        <v>3979</v>
      </c>
      <c r="C2214">
        <v>1983</v>
      </c>
      <c r="D2214" t="s">
        <v>8</v>
      </c>
      <c r="E2214" t="s">
        <v>14</v>
      </c>
      <c r="F2214" t="s">
        <v>7</v>
      </c>
      <c r="G2214">
        <v>90687</v>
      </c>
      <c r="H2214">
        <v>0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f>SUM(Table1[[#This Row],[Gold Spending]]+Table1[[#This Row],[Sweet Spending]]+Table1[[#This Row],[Fish Spending]]+Table1[[#This Row],[Meat Spending]]+Table1[[#This Row],[Fruits Spending]]+Table1[[#This Row],[Wine Spending ]])</f>
        <v>1779</v>
      </c>
      <c r="Q2214">
        <v>1</v>
      </c>
      <c r="R2214">
        <v>6</v>
      </c>
      <c r="S2214">
        <v>2</v>
      </c>
      <c r="T2214">
        <v>8</v>
      </c>
      <c r="U2214">
        <f>SUM(Table1[[#This Row],[Store_Purchases]]+Table1[[#This Row],[Catalog_Purchases]]+Table1[[#This Row],[Web_Purchases]]+Table1[[#This Row],[Deal_Purchases]])</f>
        <v>17</v>
      </c>
      <c r="V2214">
        <v>2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f>SUM(Table1[[#This Row],[Accepted_Campaign_2]]+Table1[[#This Row],[Accepted_Campaign_1]]+Table1[[#This Row],[Accepted_Campaign_5]]+Table1[[#This Row],[Accepted_Campaign_4]]+Table1[[#This Row],[Accepted_Campaign_3]])</f>
        <v>1</v>
      </c>
      <c r="AC2214">
        <v>1</v>
      </c>
      <c r="AD2214">
        <v>0</v>
      </c>
    </row>
    <row r="2215" spans="1:30" x14ac:dyDescent="0.25">
      <c r="A2215">
        <v>41411</v>
      </c>
      <c r="B2215">
        <v>5602</v>
      </c>
      <c r="C2215">
        <v>1989</v>
      </c>
      <c r="D2215" t="s">
        <v>17</v>
      </c>
      <c r="E2215" t="s">
        <v>14</v>
      </c>
      <c r="F2215" t="s">
        <v>12</v>
      </c>
      <c r="G2215">
        <v>66973</v>
      </c>
      <c r="H2215">
        <v>0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f>SUM(Table1[[#This Row],[Gold Spending]]+Table1[[#This Row],[Sweet Spending]]+Table1[[#This Row],[Fish Spending]]+Table1[[#This Row],[Meat Spending]]+Table1[[#This Row],[Fruits Spending]]+Table1[[#This Row],[Wine Spending ]])</f>
        <v>1282</v>
      </c>
      <c r="Q2215">
        <v>1</v>
      </c>
      <c r="R2215">
        <v>8</v>
      </c>
      <c r="S2215">
        <v>7</v>
      </c>
      <c r="T2215">
        <v>12</v>
      </c>
      <c r="U2215">
        <f>SUM(Table1[[#This Row],[Store_Purchases]]+Table1[[#This Row],[Catalog_Purchases]]+Table1[[#This Row],[Web_Purchases]]+Table1[[#This Row],[Deal_Purchases]])</f>
        <v>28</v>
      </c>
      <c r="V2215">
        <v>3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f>SUM(Table1[[#This Row],[Accepted_Campaign_2]]+Table1[[#This Row],[Accepted_Campaign_1]]+Table1[[#This Row],[Accepted_Campaign_5]]+Table1[[#This Row],[Accepted_Campaign_4]]+Table1[[#This Row],[Accepted_Campaign_3]])</f>
        <v>0</v>
      </c>
      <c r="AC2215">
        <v>0</v>
      </c>
      <c r="AD2215">
        <v>0</v>
      </c>
    </row>
    <row r="2216" spans="1:30" x14ac:dyDescent="0.25">
      <c r="A2216">
        <v>41373</v>
      </c>
      <c r="B2216">
        <v>2202</v>
      </c>
      <c r="C2216">
        <v>1978</v>
      </c>
      <c r="D2216" t="s">
        <v>8</v>
      </c>
      <c r="E2216" t="s">
        <v>6</v>
      </c>
      <c r="F2216" t="s">
        <v>12</v>
      </c>
      <c r="G2216">
        <v>41154</v>
      </c>
      <c r="H2216">
        <v>1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f>SUM(Table1[[#This Row],[Gold Spending]]+Table1[[#This Row],[Sweet Spending]]+Table1[[#This Row],[Fish Spending]]+Table1[[#This Row],[Meat Spending]]+Table1[[#This Row],[Fruits Spending]]+Table1[[#This Row],[Wine Spending ]])</f>
        <v>69</v>
      </c>
      <c r="Q2216">
        <v>1</v>
      </c>
      <c r="R2216">
        <v>1</v>
      </c>
      <c r="S2216">
        <v>0</v>
      </c>
      <c r="T2216">
        <v>4</v>
      </c>
      <c r="U2216">
        <f>SUM(Table1[[#This Row],[Store_Purchases]]+Table1[[#This Row],[Catalog_Purchases]]+Table1[[#This Row],[Web_Purchases]]+Table1[[#This Row],[Deal_Purchases]])</f>
        <v>6</v>
      </c>
      <c r="V2216">
        <v>5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f>SUM(Table1[[#This Row],[Accepted_Campaign_2]]+Table1[[#This Row],[Accepted_Campaign_1]]+Table1[[#This Row],[Accepted_Campaign_5]]+Table1[[#This Row],[Accepted_Campaign_4]]+Table1[[#This Row],[Accepted_Campaign_3]])</f>
        <v>0</v>
      </c>
      <c r="AC2216">
        <v>0</v>
      </c>
      <c r="AD2216">
        <v>0</v>
      </c>
    </row>
    <row r="2217" spans="1:30" x14ac:dyDescent="0.25">
      <c r="A2217">
        <v>41196</v>
      </c>
      <c r="B2217">
        <v>9645</v>
      </c>
      <c r="C2217">
        <v>1968</v>
      </c>
      <c r="D2217" t="s">
        <v>8</v>
      </c>
      <c r="E2217" t="s">
        <v>6</v>
      </c>
      <c r="F2217" t="s">
        <v>11</v>
      </c>
      <c r="G2217">
        <v>64590</v>
      </c>
      <c r="H2217">
        <v>0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f>SUM(Table1[[#This Row],[Gold Spending]]+Table1[[#This Row],[Sweet Spending]]+Table1[[#This Row],[Fish Spending]]+Table1[[#This Row],[Meat Spending]]+Table1[[#This Row],[Fruits Spending]]+Table1[[#This Row],[Wine Spending ]])</f>
        <v>1338</v>
      </c>
      <c r="Q2217">
        <v>1</v>
      </c>
      <c r="R2217">
        <v>9</v>
      </c>
      <c r="S2217">
        <v>4</v>
      </c>
      <c r="T2217">
        <v>10</v>
      </c>
      <c r="U2217">
        <f>SUM(Table1[[#This Row],[Store_Purchases]]+Table1[[#This Row],[Catalog_Purchases]]+Table1[[#This Row],[Web_Purchases]]+Table1[[#This Row],[Deal_Purchases]])</f>
        <v>24</v>
      </c>
      <c r="V2217">
        <v>6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f>SUM(Table1[[#This Row],[Accepted_Campaign_2]]+Table1[[#This Row],[Accepted_Campaign_1]]+Table1[[#This Row],[Accepted_Campaign_5]]+Table1[[#This Row],[Accepted_Campaign_4]]+Table1[[#This Row],[Accepted_Campaign_3]])</f>
        <v>0</v>
      </c>
      <c r="AC2217">
        <v>0</v>
      </c>
      <c r="AD2217">
        <v>0</v>
      </c>
    </row>
    <row r="2218" spans="1:30" x14ac:dyDescent="0.25">
      <c r="A2218">
        <v>41186</v>
      </c>
      <c r="B2218">
        <v>7230</v>
      </c>
      <c r="C2218">
        <v>1960</v>
      </c>
      <c r="D2218" t="s">
        <v>63</v>
      </c>
      <c r="E2218" t="s">
        <v>14</v>
      </c>
      <c r="F2218" t="s">
        <v>7</v>
      </c>
      <c r="G2218">
        <v>50611</v>
      </c>
      <c r="H2218">
        <v>1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f>SUM(Table1[[#This Row],[Gold Spending]]+Table1[[#This Row],[Sweet Spending]]+Table1[[#This Row],[Fish Spending]]+Table1[[#This Row],[Meat Spending]]+Table1[[#This Row],[Fruits Spending]]+Table1[[#This Row],[Wine Spending ]])</f>
        <v>493</v>
      </c>
      <c r="Q2218">
        <v>6</v>
      </c>
      <c r="R2218">
        <v>4</v>
      </c>
      <c r="S2218">
        <v>5</v>
      </c>
      <c r="T2218">
        <v>7</v>
      </c>
      <c r="U2218">
        <f>SUM(Table1[[#This Row],[Store_Purchases]]+Table1[[#This Row],[Catalog_Purchases]]+Table1[[#This Row],[Web_Purchases]]+Table1[[#This Row],[Deal_Purchases]])</f>
        <v>22</v>
      </c>
      <c r="V2218">
        <v>6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f>SUM(Table1[[#This Row],[Accepted_Campaign_2]]+Table1[[#This Row],[Accepted_Campaign_1]]+Table1[[#This Row],[Accepted_Campaign_5]]+Table1[[#This Row],[Accepted_Campaign_4]]+Table1[[#This Row],[Accepted_Campaign_3]])</f>
        <v>1</v>
      </c>
      <c r="AC2218">
        <v>1</v>
      </c>
      <c r="AD2218">
        <v>0</v>
      </c>
    </row>
    <row r="2219" spans="1:30" x14ac:dyDescent="0.25">
      <c r="A2219">
        <v>41186</v>
      </c>
      <c r="B2219">
        <v>5675</v>
      </c>
      <c r="C2219">
        <v>1960</v>
      </c>
      <c r="D2219" t="s">
        <v>63</v>
      </c>
      <c r="E2219" t="s">
        <v>14</v>
      </c>
      <c r="F2219" t="s">
        <v>7</v>
      </c>
      <c r="G2219">
        <v>50611</v>
      </c>
      <c r="H2219">
        <v>1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f>SUM(Table1[[#This Row],[Gold Spending]]+Table1[[#This Row],[Sweet Spending]]+Table1[[#This Row],[Fish Spending]]+Table1[[#This Row],[Meat Spending]]+Table1[[#This Row],[Fruits Spending]]+Table1[[#This Row],[Wine Spending ]])</f>
        <v>493</v>
      </c>
      <c r="Q2219">
        <v>6</v>
      </c>
      <c r="R2219">
        <v>4</v>
      </c>
      <c r="S2219">
        <v>5</v>
      </c>
      <c r="T2219">
        <v>7</v>
      </c>
      <c r="U2219">
        <f>SUM(Table1[[#This Row],[Store_Purchases]]+Table1[[#This Row],[Catalog_Purchases]]+Table1[[#This Row],[Web_Purchases]]+Table1[[#This Row],[Deal_Purchases]])</f>
        <v>22</v>
      </c>
      <c r="V2219">
        <v>6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f>SUM(Table1[[#This Row],[Accepted_Campaign_2]]+Table1[[#This Row],[Accepted_Campaign_1]]+Table1[[#This Row],[Accepted_Campaign_5]]+Table1[[#This Row],[Accepted_Campaign_4]]+Table1[[#This Row],[Accepted_Campaign_3]])</f>
        <v>1</v>
      </c>
      <c r="AC2219">
        <v>0</v>
      </c>
      <c r="AD2219">
        <v>0</v>
      </c>
    </row>
    <row r="2220" spans="1:30" x14ac:dyDescent="0.25">
      <c r="A2220">
        <v>41177</v>
      </c>
      <c r="B2220">
        <v>4974</v>
      </c>
      <c r="C2220">
        <v>1970</v>
      </c>
      <c r="D2220" t="s">
        <v>63</v>
      </c>
      <c r="E2220" t="s">
        <v>6</v>
      </c>
      <c r="F2220" t="s">
        <v>9</v>
      </c>
      <c r="G2220">
        <v>83273</v>
      </c>
      <c r="H2220">
        <v>3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f>SUM(Table1[[#This Row],[Gold Spending]]+Table1[[#This Row],[Sweet Spending]]+Table1[[#This Row],[Fish Spending]]+Table1[[#This Row],[Meat Spending]]+Table1[[#This Row],[Fruits Spending]]+Table1[[#This Row],[Wine Spending ]])</f>
        <v>1392</v>
      </c>
      <c r="Q2220">
        <v>10</v>
      </c>
      <c r="R2220">
        <v>4</v>
      </c>
      <c r="S2220">
        <v>6</v>
      </c>
      <c r="T2220">
        <v>9</v>
      </c>
      <c r="U2220">
        <f>SUM(Table1[[#This Row],[Store_Purchases]]+Table1[[#This Row],[Catalog_Purchases]]+Table1[[#This Row],[Web_Purchases]]+Table1[[#This Row],[Deal_Purchases]])</f>
        <v>29</v>
      </c>
      <c r="V2220">
        <v>7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f>SUM(Table1[[#This Row],[Accepted_Campaign_2]]+Table1[[#This Row],[Accepted_Campaign_1]]+Table1[[#This Row],[Accepted_Campaign_5]]+Table1[[#This Row],[Accepted_Campaign_4]]+Table1[[#This Row],[Accepted_Campaign_3]])</f>
        <v>0</v>
      </c>
      <c r="AC2220">
        <v>0</v>
      </c>
      <c r="AD2220">
        <v>0</v>
      </c>
    </row>
    <row r="2221" spans="1:30" x14ac:dyDescent="0.25">
      <c r="A2221">
        <v>41175</v>
      </c>
      <c r="B2221">
        <v>5687</v>
      </c>
      <c r="C2221">
        <v>1980</v>
      </c>
      <c r="D2221" t="s">
        <v>10</v>
      </c>
      <c r="E2221" t="s">
        <v>6</v>
      </c>
      <c r="F2221" t="s">
        <v>7</v>
      </c>
      <c r="G2221">
        <v>81702</v>
      </c>
      <c r="H2221">
        <v>0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f>SUM(Table1[[#This Row],[Gold Spending]]+Table1[[#This Row],[Sweet Spending]]+Table1[[#This Row],[Fish Spending]]+Table1[[#This Row],[Meat Spending]]+Table1[[#This Row],[Fruits Spending]]+Table1[[#This Row],[Wine Spending ]])</f>
        <v>1633</v>
      </c>
      <c r="Q2221">
        <v>1</v>
      </c>
      <c r="R2221">
        <v>7</v>
      </c>
      <c r="S2221">
        <v>7</v>
      </c>
      <c r="T2221">
        <v>12</v>
      </c>
      <c r="U2221">
        <f>SUM(Table1[[#This Row],[Store_Purchases]]+Table1[[#This Row],[Catalog_Purchases]]+Table1[[#This Row],[Web_Purchases]]+Table1[[#This Row],[Deal_Purchases]])</f>
        <v>27</v>
      </c>
      <c r="V2221">
        <v>3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f>SUM(Table1[[#This Row],[Accepted_Campaign_2]]+Table1[[#This Row],[Accepted_Campaign_1]]+Table1[[#This Row],[Accepted_Campaign_5]]+Table1[[#This Row],[Accepted_Campaign_4]]+Table1[[#This Row],[Accepted_Campaign_3]])</f>
        <v>0</v>
      </c>
      <c r="AC2221">
        <v>0</v>
      </c>
      <c r="AD2221">
        <v>0</v>
      </c>
    </row>
    <row r="2222" spans="1:30" x14ac:dyDescent="0.25">
      <c r="A2222">
        <v>41152</v>
      </c>
      <c r="B2222">
        <v>5871</v>
      </c>
      <c r="C2222">
        <v>1979</v>
      </c>
      <c r="D2222" t="s">
        <v>20</v>
      </c>
      <c r="E2222" t="s">
        <v>18</v>
      </c>
      <c r="F2222" t="s">
        <v>12</v>
      </c>
      <c r="G2222">
        <v>24401</v>
      </c>
      <c r="H2222">
        <v>0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f>SUM(Table1[[#This Row],[Gold Spending]]+Table1[[#This Row],[Sweet Spending]]+Table1[[#This Row],[Fish Spending]]+Table1[[#This Row],[Meat Spending]]+Table1[[#This Row],[Fruits Spending]]+Table1[[#This Row],[Wine Spending ]])</f>
        <v>467</v>
      </c>
      <c r="Q2222">
        <v>3</v>
      </c>
      <c r="R2222">
        <v>6</v>
      </c>
      <c r="S2222">
        <v>1</v>
      </c>
      <c r="T2222">
        <v>6</v>
      </c>
      <c r="U2222">
        <f>SUM(Table1[[#This Row],[Store_Purchases]]+Table1[[#This Row],[Catalog_Purchases]]+Table1[[#This Row],[Web_Purchases]]+Table1[[#This Row],[Deal_Purchases]])</f>
        <v>16</v>
      </c>
      <c r="V2222">
        <v>8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f>SUM(Table1[[#This Row],[Accepted_Campaign_2]]+Table1[[#This Row],[Accepted_Campaign_1]]+Table1[[#This Row],[Accepted_Campaign_5]]+Table1[[#This Row],[Accepted_Campaign_4]]+Table1[[#This Row],[Accepted_Campaign_3]])</f>
        <v>0</v>
      </c>
      <c r="AC2222">
        <v>0</v>
      </c>
      <c r="AD2222">
        <v>0</v>
      </c>
    </row>
    <row r="2223" spans="1:30" x14ac:dyDescent="0.25">
      <c r="A2223">
        <v>41150</v>
      </c>
      <c r="B2223">
        <v>3846</v>
      </c>
      <c r="C2223">
        <v>1974</v>
      </c>
      <c r="D2223" t="s">
        <v>8</v>
      </c>
      <c r="E2223" t="s">
        <v>6</v>
      </c>
      <c r="F2223" t="s">
        <v>11</v>
      </c>
      <c r="G2223">
        <v>42557</v>
      </c>
      <c r="H2223">
        <v>1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f>SUM(Table1[[#This Row],[Gold Spending]]+Table1[[#This Row],[Sweet Spending]]+Table1[[#This Row],[Fish Spending]]+Table1[[#This Row],[Meat Spending]]+Table1[[#This Row],[Fruits Spending]]+Table1[[#This Row],[Wine Spending ]])</f>
        <v>270</v>
      </c>
      <c r="Q2223">
        <v>4</v>
      </c>
      <c r="R2223">
        <v>6</v>
      </c>
      <c r="S2223">
        <v>1</v>
      </c>
      <c r="T2223">
        <v>4</v>
      </c>
      <c r="U2223">
        <f>SUM(Table1[[#This Row],[Store_Purchases]]+Table1[[#This Row],[Catalog_Purchases]]+Table1[[#This Row],[Web_Purchases]]+Table1[[#This Row],[Deal_Purchases]])</f>
        <v>15</v>
      </c>
      <c r="V2223">
        <v>8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f>SUM(Table1[[#This Row],[Accepted_Campaign_2]]+Table1[[#This Row],[Accepted_Campaign_1]]+Table1[[#This Row],[Accepted_Campaign_5]]+Table1[[#This Row],[Accepted_Campaign_4]]+Table1[[#This Row],[Accepted_Campaign_3]])</f>
        <v>0</v>
      </c>
      <c r="AC2223">
        <v>0</v>
      </c>
      <c r="AD2223">
        <v>0</v>
      </c>
    </row>
    <row r="2224" spans="1:30" x14ac:dyDescent="0.25">
      <c r="A2224">
        <v>41122</v>
      </c>
      <c r="B2224">
        <v>10001</v>
      </c>
      <c r="C2224">
        <v>1985</v>
      </c>
      <c r="D2224" t="s">
        <v>8</v>
      </c>
      <c r="E2224" t="s">
        <v>15</v>
      </c>
      <c r="F2224" t="s">
        <v>12</v>
      </c>
      <c r="G2224">
        <v>7500</v>
      </c>
      <c r="H2224">
        <v>1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f>SUM(Table1[[#This Row],[Gold Spending]]+Table1[[#This Row],[Sweet Spending]]+Table1[[#This Row],[Fish Spending]]+Table1[[#This Row],[Meat Spending]]+Table1[[#This Row],[Fruits Spending]]+Table1[[#This Row],[Wine Spending ]])</f>
        <v>100</v>
      </c>
      <c r="Q2224">
        <v>4</v>
      </c>
      <c r="R2224">
        <v>2</v>
      </c>
      <c r="S2224">
        <v>1</v>
      </c>
      <c r="T2224">
        <v>3</v>
      </c>
      <c r="U2224">
        <f>SUM(Table1[[#This Row],[Store_Purchases]]+Table1[[#This Row],[Catalog_Purchases]]+Table1[[#This Row],[Web_Purchases]]+Table1[[#This Row],[Deal_Purchases]])</f>
        <v>10</v>
      </c>
      <c r="V2224">
        <v>9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f>SUM(Table1[[#This Row],[Accepted_Campaign_2]]+Table1[[#This Row],[Accepted_Campaign_1]]+Table1[[#This Row],[Accepted_Campaign_5]]+Table1[[#This Row],[Accepted_Campaign_4]]+Table1[[#This Row],[Accepted_Campaign_3]])</f>
        <v>0</v>
      </c>
      <c r="AC2224">
        <v>0</v>
      </c>
      <c r="AD2224">
        <v>0</v>
      </c>
    </row>
    <row r="2225" spans="1:30" x14ac:dyDescent="0.25">
      <c r="A2225">
        <v>41817</v>
      </c>
      <c r="B2225">
        <v>2831</v>
      </c>
      <c r="C2225">
        <v>1976</v>
      </c>
      <c r="D2225" t="s">
        <v>8</v>
      </c>
      <c r="E2225" t="s">
        <v>6</v>
      </c>
      <c r="F2225" t="s">
        <v>12</v>
      </c>
      <c r="G2225">
        <v>78416</v>
      </c>
      <c r="H2225">
        <v>1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f>SUM(Table1[[#This Row],[Gold Spending]]+Table1[[#This Row],[Sweet Spending]]+Table1[[#This Row],[Fish Spending]]+Table1[[#This Row],[Meat Spending]]+Table1[[#This Row],[Fruits Spending]]+Table1[[#This Row],[Wine Spending ]])</f>
        <v>1179</v>
      </c>
      <c r="Q2225">
        <v>2</v>
      </c>
      <c r="R2225">
        <v>7</v>
      </c>
      <c r="S2225">
        <v>7</v>
      </c>
      <c r="T2225">
        <v>10</v>
      </c>
      <c r="U2225">
        <f>SUM(Table1[[#This Row],[Store_Purchases]]+Table1[[#This Row],[Catalog_Purchases]]+Table1[[#This Row],[Web_Purchases]]+Table1[[#This Row],[Deal_Purchases]])</f>
        <v>26</v>
      </c>
      <c r="V2225">
        <v>3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f>SUM(Table1[[#This Row],[Accepted_Campaign_2]]+Table1[[#This Row],[Accepted_Campaign_1]]+Table1[[#This Row],[Accepted_Campaign_5]]+Table1[[#This Row],[Accepted_Campaign_4]]+Table1[[#This Row],[Accepted_Campaign_3]])</f>
        <v>0</v>
      </c>
      <c r="AC2225">
        <v>0</v>
      </c>
      <c r="AD2225">
        <v>0</v>
      </c>
    </row>
    <row r="2226" spans="1:30" x14ac:dyDescent="0.25">
      <c r="A2226">
        <v>41798</v>
      </c>
      <c r="B2226">
        <v>868</v>
      </c>
      <c r="C2226">
        <v>1966</v>
      </c>
      <c r="D2226" t="s">
        <v>20</v>
      </c>
      <c r="E2226" t="s">
        <v>6</v>
      </c>
      <c r="F2226" t="s">
        <v>11</v>
      </c>
      <c r="G2226">
        <v>44794</v>
      </c>
      <c r="H2226">
        <v>1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f>SUM(Table1[[#This Row],[Gold Spending]]+Table1[[#This Row],[Sweet Spending]]+Table1[[#This Row],[Fish Spending]]+Table1[[#This Row],[Meat Spending]]+Table1[[#This Row],[Fruits Spending]]+Table1[[#This Row],[Wine Spending ]])</f>
        <v>65</v>
      </c>
      <c r="Q2226">
        <v>1</v>
      </c>
      <c r="R2226">
        <v>2</v>
      </c>
      <c r="S2226">
        <v>0</v>
      </c>
      <c r="T2226">
        <v>3</v>
      </c>
      <c r="U2226">
        <f>SUM(Table1[[#This Row],[Store_Purchases]]+Table1[[#This Row],[Catalog_Purchases]]+Table1[[#This Row],[Web_Purchases]]+Table1[[#This Row],[Deal_Purchases]])</f>
        <v>6</v>
      </c>
      <c r="V2226">
        <v>6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f>SUM(Table1[[#This Row],[Accepted_Campaign_2]]+Table1[[#This Row],[Accepted_Campaign_1]]+Table1[[#This Row],[Accepted_Campaign_5]]+Table1[[#This Row],[Accepted_Campaign_4]]+Table1[[#This Row],[Accepted_Campaign_3]])</f>
        <v>0</v>
      </c>
      <c r="AC2226">
        <v>0</v>
      </c>
      <c r="AD2226">
        <v>0</v>
      </c>
    </row>
    <row r="2227" spans="1:30" x14ac:dyDescent="0.25">
      <c r="A2227">
        <v>41798</v>
      </c>
      <c r="B2227">
        <v>7212</v>
      </c>
      <c r="C2227">
        <v>1966</v>
      </c>
      <c r="D2227" t="s">
        <v>13</v>
      </c>
      <c r="E2227" t="s">
        <v>6</v>
      </c>
      <c r="F2227" t="s">
        <v>11</v>
      </c>
      <c r="G2227">
        <v>44794</v>
      </c>
      <c r="H2227">
        <v>1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f>SUM(Table1[[#This Row],[Gold Spending]]+Table1[[#This Row],[Sweet Spending]]+Table1[[#This Row],[Fish Spending]]+Table1[[#This Row],[Meat Spending]]+Table1[[#This Row],[Fruits Spending]]+Table1[[#This Row],[Wine Spending ]])</f>
        <v>65</v>
      </c>
      <c r="Q2227">
        <v>1</v>
      </c>
      <c r="R2227">
        <v>2</v>
      </c>
      <c r="S2227">
        <v>0</v>
      </c>
      <c r="T2227">
        <v>3</v>
      </c>
      <c r="U2227">
        <f>SUM(Table1[[#This Row],[Store_Purchases]]+Table1[[#This Row],[Catalog_Purchases]]+Table1[[#This Row],[Web_Purchases]]+Table1[[#This Row],[Deal_Purchases]])</f>
        <v>6</v>
      </c>
      <c r="V2227">
        <v>6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f>SUM(Table1[[#This Row],[Accepted_Campaign_2]]+Table1[[#This Row],[Accepted_Campaign_1]]+Table1[[#This Row],[Accepted_Campaign_5]]+Table1[[#This Row],[Accepted_Campaign_4]]+Table1[[#This Row],[Accepted_Campaign_3]])</f>
        <v>0</v>
      </c>
      <c r="AC2227">
        <v>0</v>
      </c>
      <c r="AD2227">
        <v>0</v>
      </c>
    </row>
    <row r="2228" spans="1:30" x14ac:dyDescent="0.25">
      <c r="A2228">
        <v>41785</v>
      </c>
      <c r="B2228">
        <v>1743</v>
      </c>
      <c r="C2228">
        <v>1974</v>
      </c>
      <c r="D2228" t="s">
        <v>8</v>
      </c>
      <c r="E2228" t="s">
        <v>6</v>
      </c>
      <c r="F2228" t="s">
        <v>9</v>
      </c>
      <c r="G2228">
        <v>69719</v>
      </c>
      <c r="H2228">
        <v>0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f>SUM(Table1[[#This Row],[Gold Spending]]+Table1[[#This Row],[Sweet Spending]]+Table1[[#This Row],[Fish Spending]]+Table1[[#This Row],[Meat Spending]]+Table1[[#This Row],[Fruits Spending]]+Table1[[#This Row],[Wine Spending ]])</f>
        <v>801</v>
      </c>
      <c r="Q2228">
        <v>1</v>
      </c>
      <c r="R2228">
        <v>2</v>
      </c>
      <c r="S2228">
        <v>3</v>
      </c>
      <c r="T2228">
        <v>5</v>
      </c>
      <c r="U2228">
        <f>SUM(Table1[[#This Row],[Store_Purchases]]+Table1[[#This Row],[Catalog_Purchases]]+Table1[[#This Row],[Web_Purchases]]+Table1[[#This Row],[Deal_Purchases]])</f>
        <v>11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f>SUM(Table1[[#This Row],[Accepted_Campaign_2]]+Table1[[#This Row],[Accepted_Campaign_1]]+Table1[[#This Row],[Accepted_Campaign_5]]+Table1[[#This Row],[Accepted_Campaign_4]]+Table1[[#This Row],[Accepted_Campaign_3]])</f>
        <v>0</v>
      </c>
      <c r="AC2228">
        <v>0</v>
      </c>
      <c r="AD2228">
        <v>0</v>
      </c>
    </row>
    <row r="2229" spans="1:30" x14ac:dyDescent="0.25">
      <c r="A2229">
        <v>41736</v>
      </c>
      <c r="B2229">
        <v>2415</v>
      </c>
      <c r="C2229">
        <v>1962</v>
      </c>
      <c r="D2229" t="s">
        <v>8</v>
      </c>
      <c r="E2229" t="s">
        <v>6</v>
      </c>
      <c r="F2229" t="s">
        <v>12</v>
      </c>
      <c r="G2229">
        <v>62568</v>
      </c>
      <c r="H2229">
        <v>1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f>SUM(Table1[[#This Row],[Gold Spending]]+Table1[[#This Row],[Sweet Spending]]+Table1[[#This Row],[Fish Spending]]+Table1[[#This Row],[Meat Spending]]+Table1[[#This Row],[Fruits Spending]]+Table1[[#This Row],[Wine Spending ]])</f>
        <v>953</v>
      </c>
      <c r="Q2229">
        <v>3</v>
      </c>
      <c r="R2229">
        <v>5</v>
      </c>
      <c r="S2229">
        <v>3</v>
      </c>
      <c r="T2229">
        <v>5</v>
      </c>
      <c r="U2229">
        <f>SUM(Table1[[#This Row],[Store_Purchases]]+Table1[[#This Row],[Catalog_Purchases]]+Table1[[#This Row],[Web_Purchases]]+Table1[[#This Row],[Deal_Purchases]])</f>
        <v>16</v>
      </c>
      <c r="V2229">
        <v>4</v>
      </c>
      <c r="W2229">
        <v>0</v>
      </c>
      <c r="X2229">
        <v>0</v>
      </c>
      <c r="Y2229">
        <v>0</v>
      </c>
      <c r="Z2229">
        <v>1</v>
      </c>
      <c r="AA2229">
        <v>0</v>
      </c>
      <c r="AB2229">
        <f>SUM(Table1[[#This Row],[Accepted_Campaign_2]]+Table1[[#This Row],[Accepted_Campaign_1]]+Table1[[#This Row],[Accepted_Campaign_5]]+Table1[[#This Row],[Accepted_Campaign_4]]+Table1[[#This Row],[Accepted_Campaign_3]])</f>
        <v>1</v>
      </c>
      <c r="AC2229">
        <v>0</v>
      </c>
      <c r="AD2229">
        <v>0</v>
      </c>
    </row>
    <row r="2230" spans="1:30" x14ac:dyDescent="0.25">
      <c r="A2230">
        <v>41723</v>
      </c>
      <c r="B2230">
        <v>7947</v>
      </c>
      <c r="C2230">
        <v>1969</v>
      </c>
      <c r="D2230" t="s">
        <v>8</v>
      </c>
      <c r="E2230" t="s">
        <v>6</v>
      </c>
      <c r="F2230" t="s">
        <v>11</v>
      </c>
      <c r="G2230">
        <v>42231</v>
      </c>
      <c r="H2230">
        <v>2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f>SUM(Table1[[#This Row],[Gold Spending]]+Table1[[#This Row],[Sweet Spending]]+Table1[[#This Row],[Fish Spending]]+Table1[[#This Row],[Meat Spending]]+Table1[[#This Row],[Fruits Spending]]+Table1[[#This Row],[Wine Spending ]])</f>
        <v>37</v>
      </c>
      <c r="Q2230">
        <v>1</v>
      </c>
      <c r="R2230">
        <v>1</v>
      </c>
      <c r="S2230">
        <v>0</v>
      </c>
      <c r="T2230">
        <v>3</v>
      </c>
      <c r="U2230">
        <f>SUM(Table1[[#This Row],[Store_Purchases]]+Table1[[#This Row],[Catalog_Purchases]]+Table1[[#This Row],[Web_Purchases]]+Table1[[#This Row],[Deal_Purchases]])</f>
        <v>5</v>
      </c>
      <c r="V2230">
        <v>5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f>SUM(Table1[[#This Row],[Accepted_Campaign_2]]+Table1[[#This Row],[Accepted_Campaign_1]]+Table1[[#This Row],[Accepted_Campaign_5]]+Table1[[#This Row],[Accepted_Campaign_4]]+Table1[[#This Row],[Accepted_Campaign_3]])</f>
        <v>0</v>
      </c>
      <c r="AC2230">
        <v>0</v>
      </c>
      <c r="AD2230">
        <v>0</v>
      </c>
    </row>
    <row r="2231" spans="1:30" x14ac:dyDescent="0.25">
      <c r="A2231">
        <v>41715</v>
      </c>
      <c r="B2231">
        <v>2106</v>
      </c>
      <c r="C2231">
        <v>1974</v>
      </c>
      <c r="D2231" t="s">
        <v>8</v>
      </c>
      <c r="E2231" t="s">
        <v>15</v>
      </c>
      <c r="F2231" t="s">
        <v>11</v>
      </c>
      <c r="G2231">
        <v>20130</v>
      </c>
      <c r="H2231">
        <v>0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f>SUM(Table1[[#This Row],[Gold Spending]]+Table1[[#This Row],[Sweet Spending]]+Table1[[#This Row],[Fish Spending]]+Table1[[#This Row],[Meat Spending]]+Table1[[#This Row],[Fruits Spending]]+Table1[[#This Row],[Wine Spending ]])</f>
        <v>34</v>
      </c>
      <c r="Q2231">
        <v>1</v>
      </c>
      <c r="R2231">
        <v>1</v>
      </c>
      <c r="S2231">
        <v>0</v>
      </c>
      <c r="T2231">
        <v>3</v>
      </c>
      <c r="U2231">
        <f>SUM(Table1[[#This Row],[Store_Purchases]]+Table1[[#This Row],[Catalog_Purchases]]+Table1[[#This Row],[Web_Purchases]]+Table1[[#This Row],[Deal_Purchases]])</f>
        <v>5</v>
      </c>
      <c r="V2231">
        <v>8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f>SUM(Table1[[#This Row],[Accepted_Campaign_2]]+Table1[[#This Row],[Accepted_Campaign_1]]+Table1[[#This Row],[Accepted_Campaign_5]]+Table1[[#This Row],[Accepted_Campaign_4]]+Table1[[#This Row],[Accepted_Campaign_3]])</f>
        <v>0</v>
      </c>
      <c r="AC2231">
        <v>0</v>
      </c>
      <c r="AD2231">
        <v>0</v>
      </c>
    </row>
    <row r="2232" spans="1:30" x14ac:dyDescent="0.25">
      <c r="A2232">
        <v>41715</v>
      </c>
      <c r="B2232">
        <v>3363</v>
      </c>
      <c r="C2232">
        <v>1974</v>
      </c>
      <c r="D2232" t="s">
        <v>8</v>
      </c>
      <c r="E2232" t="s">
        <v>15</v>
      </c>
      <c r="F2232" t="s">
        <v>11</v>
      </c>
      <c r="G2232">
        <v>20130</v>
      </c>
      <c r="H2232">
        <v>0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f>SUM(Table1[[#This Row],[Gold Spending]]+Table1[[#This Row],[Sweet Spending]]+Table1[[#This Row],[Fish Spending]]+Table1[[#This Row],[Meat Spending]]+Table1[[#This Row],[Fruits Spending]]+Table1[[#This Row],[Wine Spending ]])</f>
        <v>34</v>
      </c>
      <c r="Q2232">
        <v>1</v>
      </c>
      <c r="R2232">
        <v>1</v>
      </c>
      <c r="S2232">
        <v>0</v>
      </c>
      <c r="T2232">
        <v>3</v>
      </c>
      <c r="U2232">
        <f>SUM(Table1[[#This Row],[Store_Purchases]]+Table1[[#This Row],[Catalog_Purchases]]+Table1[[#This Row],[Web_Purchases]]+Table1[[#This Row],[Deal_Purchases]])</f>
        <v>5</v>
      </c>
      <c r="V2232">
        <v>8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f>SUM(Table1[[#This Row],[Accepted_Campaign_2]]+Table1[[#This Row],[Accepted_Campaign_1]]+Table1[[#This Row],[Accepted_Campaign_5]]+Table1[[#This Row],[Accepted_Campaign_4]]+Table1[[#This Row],[Accepted_Campaign_3]])</f>
        <v>0</v>
      </c>
      <c r="AC2232">
        <v>0</v>
      </c>
      <c r="AD2232">
        <v>0</v>
      </c>
    </row>
    <row r="2233" spans="1:30" x14ac:dyDescent="0.25">
      <c r="A2233">
        <v>41681</v>
      </c>
      <c r="B2233">
        <v>8595</v>
      </c>
      <c r="C2233">
        <v>1973</v>
      </c>
      <c r="D2233" t="s">
        <v>13</v>
      </c>
      <c r="E2233" t="s">
        <v>6</v>
      </c>
      <c r="F2233" t="s">
        <v>19</v>
      </c>
      <c r="G2233">
        <v>42429</v>
      </c>
      <c r="H2233">
        <v>1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f>SUM(Table1[[#This Row],[Gold Spending]]+Table1[[#This Row],[Sweet Spending]]+Table1[[#This Row],[Fish Spending]]+Table1[[#This Row],[Meat Spending]]+Table1[[#This Row],[Fruits Spending]]+Table1[[#This Row],[Wine Spending ]])</f>
        <v>67</v>
      </c>
      <c r="Q2233">
        <v>2</v>
      </c>
      <c r="R2233">
        <v>1</v>
      </c>
      <c r="S2233">
        <v>1</v>
      </c>
      <c r="T2233">
        <v>3</v>
      </c>
      <c r="U2233">
        <f>SUM(Table1[[#This Row],[Store_Purchases]]+Table1[[#This Row],[Catalog_Purchases]]+Table1[[#This Row],[Web_Purchases]]+Table1[[#This Row],[Deal_Purchases]])</f>
        <v>7</v>
      </c>
      <c r="V2233">
        <v>5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f>SUM(Table1[[#This Row],[Accepted_Campaign_2]]+Table1[[#This Row],[Accepted_Campaign_1]]+Table1[[#This Row],[Accepted_Campaign_5]]+Table1[[#This Row],[Accepted_Campaign_4]]+Table1[[#This Row],[Accepted_Campaign_3]])</f>
        <v>0</v>
      </c>
      <c r="AC2233">
        <v>0</v>
      </c>
      <c r="AD2233">
        <v>0</v>
      </c>
    </row>
    <row r="2234" spans="1:30" x14ac:dyDescent="0.25">
      <c r="A2234">
        <v>41681</v>
      </c>
      <c r="B2234">
        <v>7232</v>
      </c>
      <c r="C2234">
        <v>1973</v>
      </c>
      <c r="D2234" t="s">
        <v>8</v>
      </c>
      <c r="E2234" t="s">
        <v>6</v>
      </c>
      <c r="F2234" t="s">
        <v>19</v>
      </c>
      <c r="G2234">
        <v>42429</v>
      </c>
      <c r="H2234">
        <v>1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f>SUM(Table1[[#This Row],[Gold Spending]]+Table1[[#This Row],[Sweet Spending]]+Table1[[#This Row],[Fish Spending]]+Table1[[#This Row],[Meat Spending]]+Table1[[#This Row],[Fruits Spending]]+Table1[[#This Row],[Wine Spending ]])</f>
        <v>67</v>
      </c>
      <c r="Q2234">
        <v>2</v>
      </c>
      <c r="R2234">
        <v>1</v>
      </c>
      <c r="S2234">
        <v>1</v>
      </c>
      <c r="T2234">
        <v>3</v>
      </c>
      <c r="U2234">
        <f>SUM(Table1[[#This Row],[Store_Purchases]]+Table1[[#This Row],[Catalog_Purchases]]+Table1[[#This Row],[Web_Purchases]]+Table1[[#This Row],[Deal_Purchases]])</f>
        <v>7</v>
      </c>
      <c r="V2234">
        <v>5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f>SUM(Table1[[#This Row],[Accepted_Campaign_2]]+Table1[[#This Row],[Accepted_Campaign_1]]+Table1[[#This Row],[Accepted_Campaign_5]]+Table1[[#This Row],[Accepted_Campaign_4]]+Table1[[#This Row],[Accepted_Campaign_3]])</f>
        <v>0</v>
      </c>
      <c r="AC2234">
        <v>0</v>
      </c>
      <c r="AD2234">
        <v>0</v>
      </c>
    </row>
    <row r="2235" spans="1:30" x14ac:dyDescent="0.25">
      <c r="A2235">
        <v>41543</v>
      </c>
      <c r="B2235">
        <v>7829</v>
      </c>
      <c r="C2235">
        <v>1900</v>
      </c>
      <c r="D2235" t="s">
        <v>17</v>
      </c>
      <c r="E2235" t="s">
        <v>15</v>
      </c>
      <c r="F2235" t="s">
        <v>7</v>
      </c>
      <c r="G2235">
        <v>36640</v>
      </c>
      <c r="H2235">
        <v>1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f>SUM(Table1[[#This Row],[Gold Spending]]+Table1[[#This Row],[Sweet Spending]]+Table1[[#This Row],[Fish Spending]]+Table1[[#This Row],[Meat Spending]]+Table1[[#This Row],[Fruits Spending]]+Table1[[#This Row],[Wine Spending ]])</f>
        <v>65</v>
      </c>
      <c r="Q2235">
        <v>1</v>
      </c>
      <c r="R2235">
        <v>2</v>
      </c>
      <c r="S2235">
        <v>1</v>
      </c>
      <c r="T2235">
        <v>2</v>
      </c>
      <c r="U2235">
        <f>SUM(Table1[[#This Row],[Store_Purchases]]+Table1[[#This Row],[Catalog_Purchases]]+Table1[[#This Row],[Web_Purchases]]+Table1[[#This Row],[Deal_Purchases]])</f>
        <v>6</v>
      </c>
      <c r="V2235">
        <v>5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f>SUM(Table1[[#This Row],[Accepted_Campaign_2]]+Table1[[#This Row],[Accepted_Campaign_1]]+Table1[[#This Row],[Accepted_Campaign_5]]+Table1[[#This Row],[Accepted_Campaign_4]]+Table1[[#This Row],[Accepted_Campaign_3]])</f>
        <v>0</v>
      </c>
      <c r="AC2235">
        <v>0</v>
      </c>
      <c r="AD2235">
        <v>1</v>
      </c>
    </row>
    <row r="2236" spans="1:30" x14ac:dyDescent="0.25">
      <c r="A2236">
        <v>41534</v>
      </c>
      <c r="B2236">
        <v>9977</v>
      </c>
      <c r="C2236">
        <v>1973</v>
      </c>
      <c r="D2236" t="s">
        <v>63</v>
      </c>
      <c r="E2236" t="s">
        <v>6</v>
      </c>
      <c r="F2236" t="s">
        <v>7</v>
      </c>
      <c r="G2236">
        <v>78901</v>
      </c>
      <c r="H2236">
        <v>1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f>SUM(Table1[[#This Row],[Gold Spending]]+Table1[[#This Row],[Sweet Spending]]+Table1[[#This Row],[Fish Spending]]+Table1[[#This Row],[Meat Spending]]+Table1[[#This Row],[Fruits Spending]]+Table1[[#This Row],[Wine Spending ]])</f>
        <v>734</v>
      </c>
      <c r="Q2236">
        <v>3</v>
      </c>
      <c r="R2236">
        <v>9</v>
      </c>
      <c r="S2236">
        <v>3</v>
      </c>
      <c r="T2236">
        <v>5</v>
      </c>
      <c r="U2236">
        <f>SUM(Table1[[#This Row],[Store_Purchases]]+Table1[[#This Row],[Catalog_Purchases]]+Table1[[#This Row],[Web_Purchases]]+Table1[[#This Row],[Deal_Purchases]])</f>
        <v>20</v>
      </c>
      <c r="V2236">
        <v>4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f>SUM(Table1[[#This Row],[Accepted_Campaign_2]]+Table1[[#This Row],[Accepted_Campaign_1]]+Table1[[#This Row],[Accepted_Campaign_5]]+Table1[[#This Row],[Accepted_Campaign_4]]+Table1[[#This Row],[Accepted_Campaign_3]])</f>
        <v>0</v>
      </c>
      <c r="AC2236">
        <v>0</v>
      </c>
      <c r="AD2236">
        <v>0</v>
      </c>
    </row>
    <row r="2237" spans="1:30" x14ac:dyDescent="0.25">
      <c r="A2237">
        <v>41340</v>
      </c>
      <c r="B2237">
        <v>10142</v>
      </c>
      <c r="C2237">
        <v>1976</v>
      </c>
      <c r="D2237" t="s">
        <v>63</v>
      </c>
      <c r="E2237" t="s">
        <v>14</v>
      </c>
      <c r="F2237" t="s">
        <v>7</v>
      </c>
      <c r="G2237">
        <v>66476</v>
      </c>
      <c r="H2237">
        <v>1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f>SUM(Table1[[#This Row],[Gold Spending]]+Table1[[#This Row],[Sweet Spending]]+Table1[[#This Row],[Fish Spending]]+Table1[[#This Row],[Meat Spending]]+Table1[[#This Row],[Fruits Spending]]+Table1[[#This Row],[Wine Spending ]])</f>
        <v>689</v>
      </c>
      <c r="Q2237">
        <v>2</v>
      </c>
      <c r="R2237">
        <v>5</v>
      </c>
      <c r="S2237">
        <v>2</v>
      </c>
      <c r="T2237">
        <v>11</v>
      </c>
      <c r="U2237">
        <f>SUM(Table1[[#This Row],[Store_Purchases]]+Table1[[#This Row],[Catalog_Purchases]]+Table1[[#This Row],[Web_Purchases]]+Table1[[#This Row],[Deal_Purchases]])</f>
        <v>20</v>
      </c>
      <c r="V2237">
        <v>4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f>SUM(Table1[[#This Row],[Accepted_Campaign_2]]+Table1[[#This Row],[Accepted_Campaign_1]]+Table1[[#This Row],[Accepted_Campaign_5]]+Table1[[#This Row],[Accepted_Campaign_4]]+Table1[[#This Row],[Accepted_Campaign_3]])</f>
        <v>0</v>
      </c>
      <c r="AC2237">
        <v>0</v>
      </c>
      <c r="AD2237">
        <v>0</v>
      </c>
    </row>
    <row r="2238" spans="1:30" x14ac:dyDescent="0.25">
      <c r="A2238">
        <v>41296</v>
      </c>
      <c r="B2238">
        <v>5263</v>
      </c>
      <c r="C2238">
        <v>1977</v>
      </c>
      <c r="D2238" t="s">
        <v>8</v>
      </c>
      <c r="E2238" t="s">
        <v>15</v>
      </c>
      <c r="F2238" t="s">
        <v>11</v>
      </c>
      <c r="G2238">
        <v>31056</v>
      </c>
      <c r="H2238">
        <v>1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f>SUM(Table1[[#This Row],[Gold Spending]]+Table1[[#This Row],[Sweet Spending]]+Table1[[#This Row],[Fish Spending]]+Table1[[#This Row],[Meat Spending]]+Table1[[#This Row],[Fruits Spending]]+Table1[[#This Row],[Wine Spending ]])</f>
        <v>55</v>
      </c>
      <c r="Q2238">
        <v>1</v>
      </c>
      <c r="R2238">
        <v>1</v>
      </c>
      <c r="S2238">
        <v>0</v>
      </c>
      <c r="T2238">
        <v>3</v>
      </c>
      <c r="U2238">
        <f>SUM(Table1[[#This Row],[Store_Purchases]]+Table1[[#This Row],[Catalog_Purchases]]+Table1[[#This Row],[Web_Purchases]]+Table1[[#This Row],[Deal_Purchases]])</f>
        <v>5</v>
      </c>
      <c r="V2238">
        <v>8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f>SUM(Table1[[#This Row],[Accepted_Campaign_2]]+Table1[[#This Row],[Accepted_Campaign_1]]+Table1[[#This Row],[Accepted_Campaign_5]]+Table1[[#This Row],[Accepted_Campaign_4]]+Table1[[#This Row],[Accepted_Campaign_3]])</f>
        <v>0</v>
      </c>
      <c r="AC2238">
        <v>0</v>
      </c>
      <c r="AD2238">
        <v>0</v>
      </c>
    </row>
    <row r="2239" spans="1:30" x14ac:dyDescent="0.25">
      <c r="A2239">
        <v>41246</v>
      </c>
      <c r="B2239">
        <v>22</v>
      </c>
      <c r="C2239">
        <v>1976</v>
      </c>
      <c r="D2239" t="s">
        <v>8</v>
      </c>
      <c r="E2239" t="s">
        <v>6</v>
      </c>
      <c r="F2239" t="s">
        <v>7</v>
      </c>
      <c r="G2239">
        <v>46310</v>
      </c>
      <c r="H2239">
        <v>1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f>SUM(Table1[[#This Row],[Gold Spending]]+Table1[[#This Row],[Sweet Spending]]+Table1[[#This Row],[Fish Spending]]+Table1[[#This Row],[Meat Spending]]+Table1[[#This Row],[Fruits Spending]]+Table1[[#This Row],[Wine Spending ]])</f>
        <v>309</v>
      </c>
      <c r="Q2239">
        <v>2</v>
      </c>
      <c r="R2239">
        <v>6</v>
      </c>
      <c r="S2239">
        <v>1</v>
      </c>
      <c r="T2239">
        <v>5</v>
      </c>
      <c r="U2239">
        <f>SUM(Table1[[#This Row],[Store_Purchases]]+Table1[[#This Row],[Catalog_Purchases]]+Table1[[#This Row],[Web_Purchases]]+Table1[[#This Row],[Deal_Purchases]])</f>
        <v>14</v>
      </c>
      <c r="V2239">
        <v>8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f>SUM(Table1[[#This Row],[Accepted_Campaign_2]]+Table1[[#This Row],[Accepted_Campaign_1]]+Table1[[#This Row],[Accepted_Campaign_5]]+Table1[[#This Row],[Accepted_Campaign_4]]+Table1[[#This Row],[Accepted_Campaign_3]])</f>
        <v>0</v>
      </c>
      <c r="AC2239">
        <v>0</v>
      </c>
      <c r="AD2239">
        <v>0</v>
      </c>
    </row>
    <row r="2240" spans="1:30" x14ac:dyDescent="0.25">
      <c r="A2240">
        <v>41242</v>
      </c>
      <c r="B2240">
        <v>528</v>
      </c>
      <c r="C2240">
        <v>1978</v>
      </c>
      <c r="D2240" t="s">
        <v>17</v>
      </c>
      <c r="E2240" t="s">
        <v>6</v>
      </c>
      <c r="F2240" t="s">
        <v>11</v>
      </c>
      <c r="G2240">
        <v>65819</v>
      </c>
      <c r="H2240">
        <v>0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f>SUM(Table1[[#This Row],[Gold Spending]]+Table1[[#This Row],[Sweet Spending]]+Table1[[#This Row],[Fish Spending]]+Table1[[#This Row],[Meat Spending]]+Table1[[#This Row],[Fruits Spending]]+Table1[[#This Row],[Wine Spending ]])</f>
        <v>1383</v>
      </c>
      <c r="Q2240">
        <v>1</v>
      </c>
      <c r="R2240">
        <v>5</v>
      </c>
      <c r="S2240">
        <v>4</v>
      </c>
      <c r="T2240">
        <v>10</v>
      </c>
      <c r="U2240">
        <f>SUM(Table1[[#This Row],[Store_Purchases]]+Table1[[#This Row],[Catalog_Purchases]]+Table1[[#This Row],[Web_Purchases]]+Table1[[#This Row],[Deal_Purchases]])</f>
        <v>20</v>
      </c>
      <c r="V2240">
        <v>3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f>SUM(Table1[[#This Row],[Accepted_Campaign_2]]+Table1[[#This Row],[Accepted_Campaign_1]]+Table1[[#This Row],[Accepted_Campaign_5]]+Table1[[#This Row],[Accepted_Campaign_4]]+Table1[[#This Row],[Accepted_Campaign_3]])</f>
        <v>0</v>
      </c>
      <c r="AC2240">
        <v>0</v>
      </c>
      <c r="AD2240">
        <v>0</v>
      </c>
    </row>
    <row r="2241" spans="1:30" x14ac:dyDescent="0.25">
      <c r="A2241">
        <v>41153</v>
      </c>
      <c r="B2241">
        <v>4070</v>
      </c>
      <c r="C2241">
        <v>1969</v>
      </c>
      <c r="D2241" t="s">
        <v>10</v>
      </c>
      <c r="E2241" t="s">
        <v>14</v>
      </c>
      <c r="F2241" t="s">
        <v>11</v>
      </c>
      <c r="G2241">
        <v>94871</v>
      </c>
      <c r="H2241">
        <v>2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f>SUM(Table1[[#This Row],[Gold Spending]]+Table1[[#This Row],[Sweet Spending]]+Table1[[#This Row],[Fish Spending]]+Table1[[#This Row],[Meat Spending]]+Table1[[#This Row],[Fruits Spending]]+Table1[[#This Row],[Wine Spending ]])</f>
        <v>1078</v>
      </c>
      <c r="Q2241">
        <v>1</v>
      </c>
      <c r="R2241">
        <v>8</v>
      </c>
      <c r="S2241">
        <v>5</v>
      </c>
      <c r="T2241">
        <v>4</v>
      </c>
      <c r="U2241">
        <f>SUM(Table1[[#This Row],[Store_Purchases]]+Table1[[#This Row],[Catalog_Purchases]]+Table1[[#This Row],[Web_Purchases]]+Table1[[#This Row],[Deal_Purchases]])</f>
        <v>18</v>
      </c>
      <c r="V2241">
        <v>7</v>
      </c>
      <c r="W2241">
        <v>0</v>
      </c>
      <c r="X2241">
        <v>1</v>
      </c>
      <c r="Y2241">
        <v>1</v>
      </c>
      <c r="Z2241">
        <v>0</v>
      </c>
      <c r="AA2241">
        <v>0</v>
      </c>
      <c r="AB2241">
        <f>SUM(Table1[[#This Row],[Accepted_Campaign_2]]+Table1[[#This Row],[Accepted_Campaign_1]]+Table1[[#This Row],[Accepted_Campaign_5]]+Table1[[#This Row],[Accepted_Campaign_4]]+Table1[[#This Row],[Accepted_Campaign_3]])</f>
        <v>2</v>
      </c>
      <c r="AC2241">
        <v>1</v>
      </c>
      <c r="AD224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15" sqref="A15"/>
    </sheetView>
  </sheetViews>
  <sheetFormatPr defaultRowHeight="15" x14ac:dyDescent="0.25"/>
  <cols>
    <col min="1" max="1" width="76.28515625" bestFit="1" customWidth="1"/>
  </cols>
  <sheetData>
    <row r="1" spans="1:6" ht="23.25" x14ac:dyDescent="0.35">
      <c r="A1" s="14" t="s">
        <v>23</v>
      </c>
      <c r="B1" s="14"/>
      <c r="C1" s="14"/>
      <c r="D1" s="14"/>
      <c r="E1" s="14"/>
      <c r="F1" s="14"/>
    </row>
    <row r="2" spans="1:6" x14ac:dyDescent="0.25">
      <c r="A2" s="13" t="s">
        <v>24</v>
      </c>
      <c r="B2" s="13"/>
      <c r="C2" s="13"/>
      <c r="D2" s="13"/>
      <c r="E2" s="13"/>
      <c r="F2" s="13"/>
    </row>
    <row r="3" spans="1:6" x14ac:dyDescent="0.25">
      <c r="A3" s="13" t="s">
        <v>25</v>
      </c>
      <c r="B3" s="13"/>
      <c r="C3" s="13"/>
      <c r="D3" s="13"/>
      <c r="E3" s="13"/>
      <c r="F3" s="13"/>
    </row>
    <row r="4" spans="1:6" x14ac:dyDescent="0.25">
      <c r="A4" s="13" t="s">
        <v>26</v>
      </c>
      <c r="B4" s="13"/>
      <c r="C4" s="13"/>
      <c r="D4" s="13"/>
      <c r="E4" s="13"/>
      <c r="F4" s="13"/>
    </row>
    <row r="5" spans="1:6" x14ac:dyDescent="0.25">
      <c r="A5" s="13" t="s">
        <v>65</v>
      </c>
      <c r="B5" s="13"/>
      <c r="C5" s="13"/>
      <c r="D5" s="13"/>
      <c r="E5" s="13"/>
      <c r="F5" s="13"/>
    </row>
    <row r="6" spans="1:6" x14ac:dyDescent="0.25">
      <c r="A6" s="13" t="s">
        <v>62</v>
      </c>
      <c r="B6" s="13"/>
      <c r="C6" s="13"/>
      <c r="D6" s="13"/>
      <c r="E6" s="13"/>
      <c r="F6" s="13"/>
    </row>
    <row r="7" spans="1:6" x14ac:dyDescent="0.25">
      <c r="A7" s="13" t="s">
        <v>64</v>
      </c>
      <c r="B7" s="13"/>
      <c r="C7" s="13"/>
      <c r="D7" s="13"/>
      <c r="E7" s="13"/>
      <c r="F7" s="13"/>
    </row>
    <row r="8" spans="1:6" x14ac:dyDescent="0.25">
      <c r="A8" s="13" t="s">
        <v>66</v>
      </c>
      <c r="B8" s="13"/>
      <c r="C8" s="13"/>
      <c r="D8" s="13"/>
      <c r="E8" s="13"/>
      <c r="F8" s="13"/>
    </row>
    <row r="9" spans="1:6" x14ac:dyDescent="0.25">
      <c r="A9" s="13" t="s">
        <v>74</v>
      </c>
      <c r="B9" s="13"/>
      <c r="C9" s="13"/>
      <c r="D9" s="13"/>
      <c r="E9" s="13"/>
      <c r="F9" s="13"/>
    </row>
    <row r="10" spans="1:6" x14ac:dyDescent="0.25">
      <c r="A10" s="13" t="s">
        <v>73</v>
      </c>
      <c r="B10" s="13"/>
      <c r="C10" s="13"/>
      <c r="D10" s="13"/>
      <c r="E10" s="13"/>
      <c r="F10" s="13"/>
    </row>
    <row r="11" spans="1:6" x14ac:dyDescent="0.25">
      <c r="A11" s="13"/>
      <c r="B11" s="13"/>
      <c r="C11" s="13"/>
      <c r="D11" s="13"/>
      <c r="E11" s="13"/>
      <c r="F11" s="13"/>
    </row>
    <row r="12" spans="1:6" x14ac:dyDescent="0.25">
      <c r="A12" s="13"/>
      <c r="B12" s="13"/>
      <c r="C12" s="13"/>
      <c r="D12" s="13"/>
      <c r="E12" s="13"/>
      <c r="F12" s="13"/>
    </row>
  </sheetData>
  <mergeCells count="1">
    <mergeCell ref="A1:F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D17" sqref="D17"/>
    </sheetView>
  </sheetViews>
  <sheetFormatPr defaultRowHeight="15" x14ac:dyDescent="0.25"/>
  <cols>
    <col min="1" max="1" width="13.140625" bestFit="1" customWidth="1"/>
    <col min="2" max="2" width="30.7109375" bestFit="1" customWidth="1"/>
  </cols>
  <sheetData>
    <row r="3" spans="1:2" x14ac:dyDescent="0.25">
      <c r="A3" s="11" t="s">
        <v>67</v>
      </c>
      <c r="B3" t="s">
        <v>70</v>
      </c>
    </row>
    <row r="4" spans="1:2" x14ac:dyDescent="0.25">
      <c r="A4" s="12" t="s">
        <v>13</v>
      </c>
      <c r="B4" s="15">
        <v>89763</v>
      </c>
    </row>
    <row r="5" spans="1:2" x14ac:dyDescent="0.25">
      <c r="A5" s="12" t="s">
        <v>10</v>
      </c>
      <c r="B5" s="15">
        <v>168532</v>
      </c>
    </row>
    <row r="6" spans="1:2" x14ac:dyDescent="0.25">
      <c r="A6" s="12" t="s">
        <v>16</v>
      </c>
      <c r="B6" s="15">
        <v>74913</v>
      </c>
    </row>
    <row r="7" spans="1:2" x14ac:dyDescent="0.25">
      <c r="A7" s="12" t="s">
        <v>17</v>
      </c>
      <c r="B7" s="15">
        <v>79485</v>
      </c>
    </row>
    <row r="8" spans="1:2" x14ac:dyDescent="0.25">
      <c r="A8" s="12" t="s">
        <v>22</v>
      </c>
      <c r="B8" s="15">
        <v>3122</v>
      </c>
    </row>
    <row r="9" spans="1:2" x14ac:dyDescent="0.25">
      <c r="A9" s="12" t="s">
        <v>20</v>
      </c>
      <c r="B9" s="15">
        <v>211071</v>
      </c>
    </row>
    <row r="10" spans="1:2" x14ac:dyDescent="0.25">
      <c r="A10" s="12" t="s">
        <v>8</v>
      </c>
      <c r="B10" s="15">
        <v>662220</v>
      </c>
    </row>
    <row r="11" spans="1:2" x14ac:dyDescent="0.25">
      <c r="A11" s="12" t="s">
        <v>63</v>
      </c>
      <c r="B11" s="15">
        <v>67882</v>
      </c>
    </row>
    <row r="12" spans="1:2" x14ac:dyDescent="0.25">
      <c r="A12" s="12" t="s">
        <v>68</v>
      </c>
      <c r="B12" s="15">
        <v>1356988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L22" sqref="L22"/>
    </sheetView>
  </sheetViews>
  <sheetFormatPr defaultRowHeight="15" x14ac:dyDescent="0.25"/>
  <cols>
    <col min="1" max="1" width="18.140625" bestFit="1" customWidth="1"/>
    <col min="2" max="2" width="12.7109375" bestFit="1" customWidth="1"/>
  </cols>
  <sheetData>
    <row r="1" spans="1:2" x14ac:dyDescent="0.25">
      <c r="A1" s="9" t="s">
        <v>41</v>
      </c>
      <c r="B1" s="9"/>
    </row>
    <row r="2" spans="1:2" x14ac:dyDescent="0.25">
      <c r="A2" s="7"/>
      <c r="B2" s="7"/>
    </row>
    <row r="3" spans="1:2" x14ac:dyDescent="0.25">
      <c r="A3" s="7" t="s">
        <v>28</v>
      </c>
      <c r="B3" s="7">
        <v>53790.455223880599</v>
      </c>
    </row>
    <row r="4" spans="1:2" x14ac:dyDescent="0.25">
      <c r="A4" s="7" t="s">
        <v>29</v>
      </c>
      <c r="B4" s="7">
        <v>1721.7478892194433</v>
      </c>
    </row>
    <row r="5" spans="1:2" x14ac:dyDescent="0.25">
      <c r="A5" s="7" t="s">
        <v>30</v>
      </c>
      <c r="B5" s="7">
        <v>54809</v>
      </c>
    </row>
    <row r="6" spans="1:2" x14ac:dyDescent="0.25">
      <c r="A6" s="7" t="s">
        <v>31</v>
      </c>
      <c r="B6" s="7">
        <v>48432</v>
      </c>
    </row>
    <row r="7" spans="1:2" x14ac:dyDescent="0.25">
      <c r="A7" s="7" t="s">
        <v>32</v>
      </c>
      <c r="B7" s="7">
        <v>19930.67275332761</v>
      </c>
    </row>
    <row r="8" spans="1:2" x14ac:dyDescent="0.25">
      <c r="A8" s="7" t="s">
        <v>33</v>
      </c>
      <c r="B8" s="7">
        <v>397231716.40023553</v>
      </c>
    </row>
    <row r="9" spans="1:2" x14ac:dyDescent="0.25">
      <c r="A9" s="7" t="s">
        <v>34</v>
      </c>
      <c r="B9" s="7">
        <v>-0.67409062398947794</v>
      </c>
    </row>
    <row r="10" spans="1:2" x14ac:dyDescent="0.25">
      <c r="A10" s="7" t="s">
        <v>35</v>
      </c>
      <c r="B10" s="7">
        <v>-0.21624000071787833</v>
      </c>
    </row>
    <row r="11" spans="1:2" x14ac:dyDescent="0.25">
      <c r="A11" s="7" t="s">
        <v>36</v>
      </c>
      <c r="B11" s="7">
        <v>92119</v>
      </c>
    </row>
    <row r="12" spans="1:2" x14ac:dyDescent="0.25">
      <c r="A12" s="7" t="s">
        <v>37</v>
      </c>
      <c r="B12" s="7">
        <v>4428</v>
      </c>
    </row>
    <row r="13" spans="1:2" x14ac:dyDescent="0.25">
      <c r="A13" s="7" t="s">
        <v>38</v>
      </c>
      <c r="B13" s="7">
        <v>96547</v>
      </c>
    </row>
    <row r="14" spans="1:2" x14ac:dyDescent="0.25">
      <c r="A14" s="7" t="s">
        <v>39</v>
      </c>
      <c r="B14" s="7">
        <v>7207921</v>
      </c>
    </row>
    <row r="15" spans="1:2" ht="15.75" thickBot="1" x14ac:dyDescent="0.3">
      <c r="A15" s="8" t="s">
        <v>40</v>
      </c>
      <c r="B15" s="8">
        <v>134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Marketing data cleaned</vt:lpstr>
      <vt:lpstr>Cleaning process</vt:lpstr>
      <vt:lpstr>Pivot chart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MUSFAR NIYAS</dc:creator>
  <cp:lastModifiedBy>Windows User</cp:lastModifiedBy>
  <dcterms:created xsi:type="dcterms:W3CDTF">2026-05-10T07:29:44Z</dcterms:created>
  <dcterms:modified xsi:type="dcterms:W3CDTF">2026-05-10T11:52:24Z</dcterms:modified>
</cp:coreProperties>
</file>